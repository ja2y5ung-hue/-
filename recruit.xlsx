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pivotTables/pivotTable1.xml" ContentType="application/vnd.openxmlformats-officedocument.spreadsheetml.pivotTable+xml"/>
  <Override PartName="/xl/comments4.xml" ContentType="application/vnd.openxmlformats-officedocument.spreadsheetml.comments+xml"/>
  <Override PartName="/xl/pivotTables/pivotTable2.xml" ContentType="application/vnd.openxmlformats-officedocument.spreadsheetml.pivotTable+xml"/>
  <Override PartName="/xl/comments5.xml" ContentType="application/vnd.openxmlformats-officedocument.spreadsheetml.comments+xml"/>
  <Override PartName="/xl/pivotTables/pivotTable3.xml" ContentType="application/vnd.openxmlformats-officedocument.spreadsheetml.pivotTable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#코리아교육그룹_본사_0922\1. 모집현황보고\"/>
    </mc:Choice>
  </mc:AlternateContent>
  <xr:revisionPtr revIDLastSave="0" documentId="13_ncr:1_{A6E3E728-E1D0-4B3D-97DE-09C912E8025E}" xr6:coauthVersionLast="47" xr6:coauthVersionMax="47" xr10:uidLastSave="{00000000-0000-0000-0000-000000000000}"/>
  <bookViews>
    <workbookView xWindow="-28920" yWindow="45" windowWidth="29040" windowHeight="15840" tabRatio="911" activeTab="2" xr2:uid="{00000000-000D-0000-FFFF-FFFF00000000}"/>
  </bookViews>
  <sheets>
    <sheet name="20~25년 모집 누적" sheetId="54" r:id="rId1"/>
    <sheet name="26년" sheetId="91" r:id="rId2"/>
    <sheet name="25년" sheetId="89" r:id="rId3"/>
    <sheet name="25년 피벗" sheetId="90" r:id="rId4"/>
    <sheet name="24년" sheetId="79" r:id="rId5"/>
    <sheet name="24년 피벗" sheetId="86" r:id="rId6"/>
    <sheet name="23년" sheetId="71" r:id="rId7"/>
    <sheet name="23년 피벗" sheetId="87" r:id="rId8"/>
    <sheet name="22년" sheetId="72" r:id="rId9"/>
    <sheet name="21년" sheetId="61" r:id="rId10"/>
    <sheet name="20년" sheetId="88" r:id="rId11"/>
  </sheets>
  <definedNames>
    <definedName name="_xlnm._FilterDatabase" localSheetId="10" hidden="1">'20년'!$B$1:$B$2</definedName>
    <definedName name="_xlnm._FilterDatabase" localSheetId="9" hidden="1">'21년'!$A$1:$S$164</definedName>
    <definedName name="_xlnm._FilterDatabase" localSheetId="8" hidden="1">'22년'!$A$1:$Q$175</definedName>
    <definedName name="_xlnm._FilterDatabase" localSheetId="6" hidden="1">'23년'!$A$3:$Q$163</definedName>
    <definedName name="_xlnm._FilterDatabase" localSheetId="4" hidden="1">'24년'!$A$4:$Q$177</definedName>
    <definedName name="_xlnm._FilterDatabase" localSheetId="2" hidden="1">'25년'!$A$2:$P$150</definedName>
    <definedName name="_xlnm._FilterDatabase" localSheetId="1" hidden="1">'26년'!$A$2:$P$6</definedName>
    <definedName name="_xlnm.Print_Area" localSheetId="0">'20~25년 모집 누적'!$A$28:$AE$36</definedName>
    <definedName name="_xlnm.Print_Area" localSheetId="9">'21년'!$A$1:$S$55</definedName>
    <definedName name="_xlnm.Print_Area" localSheetId="8">'22년'!$A$1:$Q$60</definedName>
    <definedName name="_xlnm.Print_Area" localSheetId="6">'23년'!$A$3:$Q$69</definedName>
    <definedName name="_xlnm.Print_Area" localSheetId="4">'24년'!$A$4:$Q$47</definedName>
  </definedNames>
  <calcPr calcId="191029"/>
  <pivotCaches>
    <pivotCache cacheId="0" r:id="rId12"/>
    <pivotCache cacheId="1" r:id="rId13"/>
    <pivotCache cacheId="2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" i="91" l="1"/>
  <c r="M1" i="91"/>
  <c r="O1" i="91" s="1"/>
  <c r="P19" i="91"/>
  <c r="O19" i="91"/>
  <c r="P18" i="91"/>
  <c r="O18" i="91"/>
  <c r="P17" i="91"/>
  <c r="O17" i="91"/>
  <c r="P16" i="91"/>
  <c r="O16" i="91"/>
  <c r="P15" i="91"/>
  <c r="O15" i="91"/>
  <c r="P14" i="91"/>
  <c r="O14" i="91"/>
  <c r="P13" i="91"/>
  <c r="O13" i="91"/>
  <c r="P12" i="91"/>
  <c r="O12" i="91"/>
  <c r="P11" i="91"/>
  <c r="O11" i="91"/>
  <c r="P10" i="91"/>
  <c r="O10" i="91"/>
  <c r="P9" i="91"/>
  <c r="O9" i="91"/>
  <c r="P8" i="91"/>
  <c r="O8" i="91"/>
  <c r="P7" i="91"/>
  <c r="O7" i="91"/>
  <c r="O57" i="54" l="1"/>
  <c r="N57" i="54"/>
  <c r="M57" i="54"/>
  <c r="L57" i="54"/>
  <c r="K57" i="54"/>
  <c r="J57" i="54"/>
  <c r="I57" i="54"/>
  <c r="H57" i="54"/>
  <c r="G57" i="54"/>
  <c r="F57" i="54"/>
  <c r="E57" i="54"/>
  <c r="D57" i="54"/>
  <c r="O56" i="54"/>
  <c r="N56" i="54"/>
  <c r="M56" i="54"/>
  <c r="L56" i="54"/>
  <c r="K56" i="54"/>
  <c r="J56" i="54"/>
  <c r="I56" i="54"/>
  <c r="H56" i="54"/>
  <c r="G56" i="54"/>
  <c r="F56" i="54"/>
  <c r="E56" i="54"/>
  <c r="D56" i="54"/>
  <c r="C55" i="54"/>
  <c r="C56" i="54" s="1"/>
  <c r="C54" i="54"/>
  <c r="C53" i="54"/>
  <c r="Q6" i="91"/>
  <c r="R6" i="91"/>
  <c r="S6" i="91"/>
  <c r="T6" i="91"/>
  <c r="P6" i="91"/>
  <c r="O6" i="91"/>
  <c r="P5" i="91"/>
  <c r="O5" i="91"/>
  <c r="P4" i="91"/>
  <c r="O4" i="91"/>
  <c r="P3" i="91"/>
  <c r="O3" i="91"/>
  <c r="N1" i="91" l="1"/>
  <c r="O49" i="54"/>
  <c r="N49" i="54"/>
  <c r="M49" i="54"/>
  <c r="L49" i="54"/>
  <c r="L50" i="54" s="1"/>
  <c r="K49" i="54"/>
  <c r="J49" i="54"/>
  <c r="I49" i="54"/>
  <c r="H49" i="54"/>
  <c r="H50" i="54" s="1"/>
  <c r="G49" i="54"/>
  <c r="F49" i="54"/>
  <c r="E49" i="54"/>
  <c r="D49" i="54"/>
  <c r="D50" i="54" s="1"/>
  <c r="C48" i="54"/>
  <c r="C49" i="54" s="1"/>
  <c r="C47" i="54"/>
  <c r="C46" i="54"/>
  <c r="Q183" i="89"/>
  <c r="Q162" i="89"/>
  <c r="Q150" i="89"/>
  <c r="Q141" i="89"/>
  <c r="Q119" i="89"/>
  <c r="Q107" i="89"/>
  <c r="Q95" i="89"/>
  <c r="Q74" i="89"/>
  <c r="Q60" i="89"/>
  <c r="Q43" i="89"/>
  <c r="Q20" i="89"/>
  <c r="Q8" i="89"/>
  <c r="S183" i="89"/>
  <c r="R183" i="89"/>
  <c r="S162" i="89"/>
  <c r="R162" i="89"/>
  <c r="S150" i="89"/>
  <c r="R150" i="89"/>
  <c r="S141" i="89"/>
  <c r="R141" i="89"/>
  <c r="R119" i="89"/>
  <c r="S119" i="89"/>
  <c r="T119" i="89" s="1"/>
  <c r="S107" i="89"/>
  <c r="R107" i="89"/>
  <c r="S95" i="89"/>
  <c r="R95" i="89"/>
  <c r="S74" i="89"/>
  <c r="R74" i="89"/>
  <c r="S60" i="89"/>
  <c r="R60" i="89"/>
  <c r="S43" i="89"/>
  <c r="R43" i="89"/>
  <c r="S20" i="89"/>
  <c r="R20" i="89"/>
  <c r="S8" i="89"/>
  <c r="R8" i="89"/>
  <c r="L1" i="89"/>
  <c r="M1" i="89"/>
  <c r="P183" i="89"/>
  <c r="O183" i="89"/>
  <c r="P182" i="89"/>
  <c r="O182" i="89"/>
  <c r="P181" i="89"/>
  <c r="O181" i="89"/>
  <c r="P180" i="89"/>
  <c r="O180" i="89"/>
  <c r="P179" i="89"/>
  <c r="O179" i="89"/>
  <c r="P178" i="89"/>
  <c r="O178" i="89"/>
  <c r="P177" i="89"/>
  <c r="O177" i="89"/>
  <c r="P176" i="89"/>
  <c r="O176" i="89"/>
  <c r="P175" i="89"/>
  <c r="O175" i="89"/>
  <c r="P174" i="89"/>
  <c r="O174" i="89"/>
  <c r="P173" i="89"/>
  <c r="O173" i="89"/>
  <c r="P172" i="89"/>
  <c r="O172" i="89"/>
  <c r="P171" i="89"/>
  <c r="O171" i="89"/>
  <c r="P170" i="89"/>
  <c r="O170" i="89"/>
  <c r="P169" i="89"/>
  <c r="O169" i="89"/>
  <c r="P168" i="89"/>
  <c r="O168" i="89"/>
  <c r="P167" i="89"/>
  <c r="O167" i="89"/>
  <c r="P166" i="89"/>
  <c r="O166" i="89"/>
  <c r="P165" i="89"/>
  <c r="O165" i="89"/>
  <c r="P164" i="89"/>
  <c r="O164" i="89"/>
  <c r="P163" i="89"/>
  <c r="O163" i="89"/>
  <c r="P193" i="89"/>
  <c r="O193" i="89"/>
  <c r="P192" i="89"/>
  <c r="O192" i="89"/>
  <c r="P162" i="89"/>
  <c r="O162" i="89"/>
  <c r="P161" i="89"/>
  <c r="O161" i="89"/>
  <c r="P160" i="89"/>
  <c r="O160" i="89"/>
  <c r="P159" i="89"/>
  <c r="O159" i="89"/>
  <c r="P158" i="89"/>
  <c r="O158" i="89"/>
  <c r="P157" i="89"/>
  <c r="O157" i="89"/>
  <c r="P156" i="89"/>
  <c r="O156" i="89"/>
  <c r="P155" i="89"/>
  <c r="O155" i="89"/>
  <c r="P154" i="89"/>
  <c r="O154" i="89"/>
  <c r="P153" i="89"/>
  <c r="O153" i="89"/>
  <c r="P152" i="89"/>
  <c r="O152" i="89"/>
  <c r="P151" i="89"/>
  <c r="O151" i="89"/>
  <c r="P150" i="89"/>
  <c r="O150" i="89"/>
  <c r="P149" i="89"/>
  <c r="O149" i="89"/>
  <c r="P148" i="89"/>
  <c r="O148" i="89"/>
  <c r="P147" i="89"/>
  <c r="O147" i="89"/>
  <c r="P146" i="89"/>
  <c r="O146" i="89"/>
  <c r="P145" i="89"/>
  <c r="O145" i="89"/>
  <c r="P144" i="89"/>
  <c r="O144" i="89"/>
  <c r="P143" i="89"/>
  <c r="O143" i="89"/>
  <c r="P142" i="89"/>
  <c r="O142" i="89"/>
  <c r="P141" i="89"/>
  <c r="O141" i="89"/>
  <c r="P140" i="89"/>
  <c r="O140" i="89"/>
  <c r="P139" i="89"/>
  <c r="O139" i="89"/>
  <c r="P138" i="89"/>
  <c r="O138" i="89"/>
  <c r="P137" i="89"/>
  <c r="O137" i="89"/>
  <c r="P136" i="89"/>
  <c r="O136" i="89"/>
  <c r="P135" i="89"/>
  <c r="O135" i="89"/>
  <c r="P134" i="89"/>
  <c r="O134" i="89"/>
  <c r="P133" i="89"/>
  <c r="O133" i="89"/>
  <c r="P132" i="89"/>
  <c r="O132" i="89"/>
  <c r="P131" i="89"/>
  <c r="O131" i="89"/>
  <c r="P130" i="89"/>
  <c r="O130" i="89"/>
  <c r="P129" i="89"/>
  <c r="O129" i="89"/>
  <c r="P128" i="89"/>
  <c r="O128" i="89"/>
  <c r="P127" i="89"/>
  <c r="O127" i="89"/>
  <c r="P126" i="89"/>
  <c r="O126" i="89"/>
  <c r="P125" i="89"/>
  <c r="O125" i="89"/>
  <c r="P124" i="89"/>
  <c r="O124" i="89"/>
  <c r="P123" i="89"/>
  <c r="O123" i="89"/>
  <c r="P122" i="89"/>
  <c r="O122" i="89"/>
  <c r="P121" i="89"/>
  <c r="O121" i="89"/>
  <c r="P120" i="89"/>
  <c r="O120" i="89"/>
  <c r="P119" i="89"/>
  <c r="O119" i="89"/>
  <c r="P118" i="89"/>
  <c r="O118" i="89"/>
  <c r="P117" i="89"/>
  <c r="O117" i="89"/>
  <c r="P116" i="89"/>
  <c r="O116" i="89"/>
  <c r="P115" i="89"/>
  <c r="O115" i="89"/>
  <c r="P114" i="89"/>
  <c r="O114" i="89"/>
  <c r="P113" i="89"/>
  <c r="O113" i="89"/>
  <c r="P112" i="89"/>
  <c r="O112" i="89"/>
  <c r="P111" i="89"/>
  <c r="O111" i="89"/>
  <c r="P110" i="89"/>
  <c r="O110" i="89"/>
  <c r="P109" i="89"/>
  <c r="O109" i="89"/>
  <c r="P108" i="89"/>
  <c r="O108" i="89"/>
  <c r="P107" i="89"/>
  <c r="O107" i="89"/>
  <c r="P106" i="89"/>
  <c r="O106" i="89"/>
  <c r="P105" i="89"/>
  <c r="O105" i="89"/>
  <c r="P104" i="89"/>
  <c r="O104" i="89"/>
  <c r="P103" i="89"/>
  <c r="O103" i="89"/>
  <c r="P102" i="89"/>
  <c r="O102" i="89"/>
  <c r="P101" i="89"/>
  <c r="O101" i="89"/>
  <c r="P100" i="89"/>
  <c r="O100" i="89"/>
  <c r="P99" i="89"/>
  <c r="O99" i="89"/>
  <c r="P98" i="89"/>
  <c r="O98" i="89"/>
  <c r="P97" i="89"/>
  <c r="O97" i="89"/>
  <c r="P96" i="89"/>
  <c r="O96" i="89"/>
  <c r="P95" i="89"/>
  <c r="O95" i="89"/>
  <c r="P94" i="89"/>
  <c r="O94" i="89"/>
  <c r="P93" i="89"/>
  <c r="O93" i="89"/>
  <c r="P92" i="89"/>
  <c r="O92" i="89"/>
  <c r="P91" i="89"/>
  <c r="O91" i="89"/>
  <c r="P90" i="89"/>
  <c r="O90" i="89"/>
  <c r="P89" i="89"/>
  <c r="O89" i="89"/>
  <c r="P88" i="89"/>
  <c r="O88" i="89"/>
  <c r="P87" i="89"/>
  <c r="O87" i="89"/>
  <c r="P86" i="89"/>
  <c r="O86" i="89"/>
  <c r="P85" i="89"/>
  <c r="O85" i="89"/>
  <c r="P84" i="89"/>
  <c r="O84" i="89"/>
  <c r="P83" i="89"/>
  <c r="O83" i="89"/>
  <c r="P82" i="89"/>
  <c r="O82" i="89"/>
  <c r="P81" i="89"/>
  <c r="O81" i="89"/>
  <c r="P80" i="89"/>
  <c r="O80" i="89"/>
  <c r="P79" i="89"/>
  <c r="O79" i="89"/>
  <c r="P78" i="89"/>
  <c r="O78" i="89"/>
  <c r="P77" i="89"/>
  <c r="O77" i="89"/>
  <c r="P76" i="89"/>
  <c r="O76" i="89"/>
  <c r="P75" i="89"/>
  <c r="O75" i="89"/>
  <c r="P67" i="89"/>
  <c r="O67" i="89"/>
  <c r="P60" i="89"/>
  <c r="O60" i="89"/>
  <c r="P59" i="89"/>
  <c r="O59" i="89"/>
  <c r="P58" i="89"/>
  <c r="O58" i="89"/>
  <c r="P57" i="89"/>
  <c r="O57" i="89"/>
  <c r="P56" i="89"/>
  <c r="O56" i="89"/>
  <c r="P55" i="89"/>
  <c r="O55" i="89"/>
  <c r="P54" i="89"/>
  <c r="O54" i="89"/>
  <c r="P53" i="89"/>
  <c r="O53" i="89"/>
  <c r="P52" i="89"/>
  <c r="O52" i="89"/>
  <c r="P51" i="89"/>
  <c r="O51" i="89"/>
  <c r="P50" i="89"/>
  <c r="O50" i="89"/>
  <c r="P49" i="89"/>
  <c r="O49" i="89"/>
  <c r="P48" i="89"/>
  <c r="O48" i="89"/>
  <c r="P47" i="89"/>
  <c r="O47" i="89"/>
  <c r="P46" i="89"/>
  <c r="O46" i="89"/>
  <c r="P45" i="89"/>
  <c r="O45" i="89"/>
  <c r="P44" i="89"/>
  <c r="O44" i="89"/>
  <c r="P43" i="89"/>
  <c r="O43" i="89"/>
  <c r="P42" i="89"/>
  <c r="O42" i="89"/>
  <c r="P41" i="89"/>
  <c r="O41" i="89"/>
  <c r="P40" i="89"/>
  <c r="O40" i="89"/>
  <c r="P39" i="89"/>
  <c r="O39" i="89"/>
  <c r="P38" i="89"/>
  <c r="O38" i="89"/>
  <c r="P37" i="89"/>
  <c r="O37" i="89"/>
  <c r="P36" i="89"/>
  <c r="O36" i="89"/>
  <c r="P35" i="89"/>
  <c r="O35" i="89"/>
  <c r="P34" i="89"/>
  <c r="O34" i="89"/>
  <c r="P32" i="89"/>
  <c r="O32" i="89"/>
  <c r="P31" i="89"/>
  <c r="O31" i="89"/>
  <c r="P30" i="89"/>
  <c r="O30" i="89"/>
  <c r="P29" i="89"/>
  <c r="O29" i="89"/>
  <c r="P28" i="89"/>
  <c r="O28" i="89"/>
  <c r="P27" i="89"/>
  <c r="O27" i="89"/>
  <c r="P26" i="89"/>
  <c r="O26" i="89"/>
  <c r="P25" i="89"/>
  <c r="O25" i="89"/>
  <c r="P24" i="89"/>
  <c r="O24" i="89"/>
  <c r="P23" i="89"/>
  <c r="O23" i="89"/>
  <c r="P22" i="89"/>
  <c r="O22" i="89"/>
  <c r="P21" i="89"/>
  <c r="O21" i="89"/>
  <c r="P20" i="89"/>
  <c r="O20" i="89"/>
  <c r="P19" i="89"/>
  <c r="O19" i="89"/>
  <c r="P18" i="89"/>
  <c r="O18" i="89"/>
  <c r="P17" i="89"/>
  <c r="O17" i="89"/>
  <c r="P16" i="89"/>
  <c r="O16" i="89"/>
  <c r="P15" i="89"/>
  <c r="O15" i="89"/>
  <c r="P14" i="89"/>
  <c r="O14" i="89"/>
  <c r="P13" i="89"/>
  <c r="O13" i="89"/>
  <c r="P12" i="89"/>
  <c r="O12" i="89"/>
  <c r="P11" i="89"/>
  <c r="O11" i="89"/>
  <c r="P10" i="89"/>
  <c r="O10" i="89"/>
  <c r="P9" i="89"/>
  <c r="O9" i="89"/>
  <c r="P8" i="89"/>
  <c r="O8" i="89"/>
  <c r="P7" i="89"/>
  <c r="O7" i="89"/>
  <c r="P6" i="89"/>
  <c r="O6" i="89"/>
  <c r="P5" i="89"/>
  <c r="O5" i="89"/>
  <c r="P4" i="89"/>
  <c r="O4" i="89"/>
  <c r="P3" i="89"/>
  <c r="O3" i="89"/>
  <c r="N1" i="89"/>
  <c r="P142" i="79"/>
  <c r="Q142" i="79"/>
  <c r="R9" i="79"/>
  <c r="AD42" i="54"/>
  <c r="AC42" i="54"/>
  <c r="AB42" i="54"/>
  <c r="AA42" i="54"/>
  <c r="Z42" i="54"/>
  <c r="Y42" i="54"/>
  <c r="X42" i="54"/>
  <c r="W42" i="54"/>
  <c r="V42" i="54"/>
  <c r="U42" i="54"/>
  <c r="T42" i="54"/>
  <c r="S42" i="54"/>
  <c r="O42" i="54"/>
  <c r="N42" i="54"/>
  <c r="M42" i="54"/>
  <c r="L42" i="54"/>
  <c r="L43" i="54" s="1"/>
  <c r="K42" i="54"/>
  <c r="J42" i="54"/>
  <c r="I42" i="54"/>
  <c r="H42" i="54"/>
  <c r="G42" i="54"/>
  <c r="F42" i="54"/>
  <c r="F43" i="54" s="1"/>
  <c r="E42" i="54"/>
  <c r="D42" i="54"/>
  <c r="R41" i="54"/>
  <c r="C41" i="54"/>
  <c r="R40" i="54"/>
  <c r="C40" i="54"/>
  <c r="R39" i="54"/>
  <c r="C39" i="54"/>
  <c r="S177" i="79"/>
  <c r="S151" i="79"/>
  <c r="S141" i="79"/>
  <c r="S128" i="79"/>
  <c r="S115" i="79"/>
  <c r="S101" i="79"/>
  <c r="S81" i="79"/>
  <c r="S72" i="79"/>
  <c r="S59" i="79"/>
  <c r="S43" i="79"/>
  <c r="S20" i="79"/>
  <c r="S9" i="79"/>
  <c r="N2" i="79"/>
  <c r="M3" i="79"/>
  <c r="M2" i="79"/>
  <c r="L3" i="79"/>
  <c r="L2" i="79"/>
  <c r="U177" i="79"/>
  <c r="U151" i="79"/>
  <c r="U141" i="79"/>
  <c r="U128" i="79"/>
  <c r="U115" i="79"/>
  <c r="U101" i="79"/>
  <c r="U81" i="79"/>
  <c r="U72" i="79"/>
  <c r="U59" i="79"/>
  <c r="U43" i="79"/>
  <c r="U20" i="79"/>
  <c r="U9" i="79"/>
  <c r="U152" i="79"/>
  <c r="U117" i="79"/>
  <c r="U102" i="79"/>
  <c r="U82" i="79"/>
  <c r="U73" i="79"/>
  <c r="U61" i="79"/>
  <c r="U44" i="79"/>
  <c r="U22" i="79"/>
  <c r="U10" i="79"/>
  <c r="S152" i="79"/>
  <c r="R152" i="79"/>
  <c r="R151" i="79"/>
  <c r="S117" i="79"/>
  <c r="R117" i="79"/>
  <c r="S102" i="79"/>
  <c r="R102" i="79"/>
  <c r="S82" i="79"/>
  <c r="R82" i="79"/>
  <c r="S73" i="79"/>
  <c r="R73" i="79"/>
  <c r="S61" i="79"/>
  <c r="R61" i="79"/>
  <c r="R43" i="79"/>
  <c r="S44" i="79"/>
  <c r="R44" i="79"/>
  <c r="S22" i="79"/>
  <c r="R22" i="79"/>
  <c r="S10" i="79"/>
  <c r="R10" i="79"/>
  <c r="R115" i="79"/>
  <c r="R177" i="79"/>
  <c r="R141" i="79"/>
  <c r="R128" i="79"/>
  <c r="R101" i="79"/>
  <c r="R81" i="79"/>
  <c r="R72" i="79"/>
  <c r="R59" i="79"/>
  <c r="R20" i="79"/>
  <c r="P1" i="91" l="1"/>
  <c r="E50" i="54"/>
  <c r="I50" i="54"/>
  <c r="M50" i="54"/>
  <c r="R42" i="54"/>
  <c r="F50" i="54"/>
  <c r="J50" i="54"/>
  <c r="N50" i="54"/>
  <c r="O43" i="54"/>
  <c r="AA43" i="54"/>
  <c r="G50" i="54"/>
  <c r="K50" i="54"/>
  <c r="O50" i="54"/>
  <c r="T8" i="89"/>
  <c r="T183" i="89"/>
  <c r="T20" i="89"/>
  <c r="T162" i="89"/>
  <c r="T150" i="89"/>
  <c r="T141" i="89"/>
  <c r="T107" i="89"/>
  <c r="T95" i="89"/>
  <c r="T74" i="89"/>
  <c r="T60" i="89"/>
  <c r="T43" i="89"/>
  <c r="P1" i="89"/>
  <c r="O1" i="89"/>
  <c r="T43" i="54"/>
  <c r="AB43" i="54"/>
  <c r="U43" i="54"/>
  <c r="Y43" i="54"/>
  <c r="AC43" i="54"/>
  <c r="V43" i="54"/>
  <c r="Z43" i="54"/>
  <c r="AD43" i="54"/>
  <c r="X43" i="54"/>
  <c r="S43" i="54"/>
  <c r="W43" i="54"/>
  <c r="M43" i="54"/>
  <c r="D43" i="54"/>
  <c r="I43" i="54"/>
  <c r="N43" i="54"/>
  <c r="H43" i="54"/>
  <c r="E43" i="54"/>
  <c r="J43" i="54"/>
  <c r="C42" i="54"/>
  <c r="G43" i="54"/>
  <c r="K43" i="54"/>
  <c r="T61" i="79"/>
  <c r="T82" i="79"/>
  <c r="T117" i="79"/>
  <c r="T81" i="79"/>
  <c r="T9" i="79"/>
  <c r="T101" i="79"/>
  <c r="T44" i="79"/>
  <c r="T102" i="79"/>
  <c r="T22" i="79"/>
  <c r="T152" i="79"/>
  <c r="T73" i="79"/>
  <c r="T43" i="79"/>
  <c r="T59" i="79"/>
  <c r="T177" i="79"/>
  <c r="T72" i="79"/>
  <c r="T20" i="79"/>
  <c r="T141" i="79"/>
  <c r="T151" i="79"/>
  <c r="T10" i="79"/>
  <c r="T128" i="79"/>
  <c r="T115" i="79"/>
  <c r="P164" i="79"/>
  <c r="Q164" i="79"/>
  <c r="L1" i="79" l="1"/>
  <c r="J1" i="79"/>
  <c r="H1" i="79"/>
  <c r="P152" i="79"/>
  <c r="Q152" i="79"/>
  <c r="P117" i="79"/>
  <c r="Q117" i="79"/>
  <c r="Q116" i="79"/>
  <c r="P116" i="79"/>
  <c r="P102" i="79"/>
  <c r="Q102" i="79"/>
  <c r="P82" i="79"/>
  <c r="Q82" i="79"/>
  <c r="P73" i="79" l="1"/>
  <c r="Q73" i="79"/>
  <c r="P61" i="79"/>
  <c r="Q61" i="79"/>
  <c r="P60" i="79"/>
  <c r="Q60" i="79"/>
  <c r="Q22" i="79"/>
  <c r="P22" i="79"/>
  <c r="P21" i="79"/>
  <c r="Q21" i="79"/>
  <c r="P10" i="79"/>
  <c r="Q10" i="79"/>
  <c r="Q177" i="79"/>
  <c r="P177" i="79"/>
  <c r="Q176" i="79"/>
  <c r="P176" i="79"/>
  <c r="Q175" i="79"/>
  <c r="P175" i="79"/>
  <c r="Q174" i="79"/>
  <c r="P174" i="79"/>
  <c r="Q173" i="79"/>
  <c r="P173" i="79"/>
  <c r="Q172" i="79"/>
  <c r="P172" i="79"/>
  <c r="Q171" i="79"/>
  <c r="P171" i="79"/>
  <c r="Q170" i="79"/>
  <c r="P170" i="79"/>
  <c r="Q169" i="79"/>
  <c r="P169" i="79"/>
  <c r="Q168" i="79"/>
  <c r="P168" i="79"/>
  <c r="Q167" i="79"/>
  <c r="P167" i="79"/>
  <c r="Q166" i="79"/>
  <c r="P166" i="79"/>
  <c r="Q165" i="79"/>
  <c r="P165" i="79"/>
  <c r="Q163" i="79"/>
  <c r="P163" i="79"/>
  <c r="Q162" i="79"/>
  <c r="P162" i="79"/>
  <c r="Q161" i="79"/>
  <c r="P161" i="79"/>
  <c r="Q160" i="79"/>
  <c r="P160" i="79"/>
  <c r="Q159" i="79"/>
  <c r="P159" i="79"/>
  <c r="Q158" i="79"/>
  <c r="P158" i="79"/>
  <c r="Q157" i="79"/>
  <c r="P157" i="79"/>
  <c r="Q156" i="79"/>
  <c r="P156" i="79"/>
  <c r="Q155" i="79"/>
  <c r="P155" i="79"/>
  <c r="Q154" i="79"/>
  <c r="P154" i="79"/>
  <c r="Q153" i="79"/>
  <c r="P153" i="79"/>
  <c r="Q151" i="79"/>
  <c r="P151" i="79"/>
  <c r="Q150" i="79"/>
  <c r="P150" i="79"/>
  <c r="Q149" i="79"/>
  <c r="P149" i="79"/>
  <c r="Q148" i="79"/>
  <c r="P148" i="79"/>
  <c r="Q147" i="79"/>
  <c r="P147" i="79"/>
  <c r="Q146" i="79"/>
  <c r="P146" i="79"/>
  <c r="Q145" i="79"/>
  <c r="P145" i="79"/>
  <c r="Q143" i="79"/>
  <c r="P143" i="79"/>
  <c r="Q144" i="79"/>
  <c r="P144" i="79"/>
  <c r="Q141" i="79"/>
  <c r="P141" i="79"/>
  <c r="Q140" i="79"/>
  <c r="P140" i="79"/>
  <c r="Q139" i="79"/>
  <c r="P139" i="79"/>
  <c r="Q138" i="79"/>
  <c r="P138" i="79"/>
  <c r="Q137" i="79"/>
  <c r="P137" i="79"/>
  <c r="Q136" i="79"/>
  <c r="P136" i="79"/>
  <c r="Q135" i="79"/>
  <c r="P135" i="79"/>
  <c r="Q134" i="79"/>
  <c r="P134" i="79"/>
  <c r="Q133" i="79"/>
  <c r="P133" i="79"/>
  <c r="Q132" i="79"/>
  <c r="P132" i="79"/>
  <c r="Q131" i="79"/>
  <c r="P131" i="79"/>
  <c r="Q130" i="79"/>
  <c r="P130" i="79"/>
  <c r="Q129" i="79"/>
  <c r="P129" i="79"/>
  <c r="Q128" i="79"/>
  <c r="P128" i="79"/>
  <c r="Q127" i="79"/>
  <c r="P127" i="79"/>
  <c r="Q125" i="79"/>
  <c r="P125" i="79"/>
  <c r="Q126" i="79"/>
  <c r="P126" i="79"/>
  <c r="Q124" i="79"/>
  <c r="P124" i="79"/>
  <c r="Q123" i="79"/>
  <c r="P123" i="79"/>
  <c r="Q122" i="79"/>
  <c r="P122" i="79"/>
  <c r="Q121" i="79"/>
  <c r="P121" i="79"/>
  <c r="Q120" i="79"/>
  <c r="P120" i="79"/>
  <c r="Q119" i="79"/>
  <c r="P119" i="79"/>
  <c r="Q118" i="79"/>
  <c r="P118" i="79"/>
  <c r="Q115" i="79"/>
  <c r="P115" i="79"/>
  <c r="Q113" i="79"/>
  <c r="P113" i="79"/>
  <c r="Q114" i="79"/>
  <c r="P114" i="79"/>
  <c r="Q112" i="79"/>
  <c r="P112" i="79"/>
  <c r="Q111" i="79"/>
  <c r="P111" i="79"/>
  <c r="Q110" i="79"/>
  <c r="P110" i="79"/>
  <c r="Q107" i="79"/>
  <c r="P107" i="79"/>
  <c r="Q109" i="79"/>
  <c r="P109" i="79"/>
  <c r="Q108" i="79"/>
  <c r="P108" i="79"/>
  <c r="Q106" i="79"/>
  <c r="P106" i="79"/>
  <c r="Q105" i="79"/>
  <c r="P105" i="79"/>
  <c r="Q104" i="79"/>
  <c r="P104" i="79"/>
  <c r="Q103" i="79"/>
  <c r="P103" i="79"/>
  <c r="Q101" i="79"/>
  <c r="P101" i="79"/>
  <c r="Q99" i="79"/>
  <c r="P99" i="79"/>
  <c r="Q100" i="79"/>
  <c r="P100" i="79"/>
  <c r="Q98" i="79"/>
  <c r="P98" i="79"/>
  <c r="Q97" i="79"/>
  <c r="P97" i="79"/>
  <c r="Q96" i="79"/>
  <c r="P96" i="79"/>
  <c r="Q95" i="79"/>
  <c r="P95" i="79"/>
  <c r="Q94" i="79"/>
  <c r="P94" i="79"/>
  <c r="Q93" i="79"/>
  <c r="P93" i="79"/>
  <c r="Q92" i="79"/>
  <c r="P92" i="79"/>
  <c r="Q91" i="79"/>
  <c r="P91" i="79"/>
  <c r="Q90" i="79"/>
  <c r="P90" i="79"/>
  <c r="Q89" i="79"/>
  <c r="P89" i="79"/>
  <c r="Q88" i="79"/>
  <c r="P88" i="79"/>
  <c r="Q87" i="79"/>
  <c r="P87" i="79"/>
  <c r="Q86" i="79"/>
  <c r="P86" i="79"/>
  <c r="Q85" i="79"/>
  <c r="P85" i="79"/>
  <c r="Q84" i="79"/>
  <c r="P84" i="79"/>
  <c r="Q83" i="79"/>
  <c r="P83" i="79"/>
  <c r="Q81" i="79"/>
  <c r="P81" i="79"/>
  <c r="Q80" i="79"/>
  <c r="P80" i="79"/>
  <c r="Q78" i="79"/>
  <c r="P78" i="79"/>
  <c r="Q77" i="79"/>
  <c r="P77" i="79"/>
  <c r="Q79" i="79"/>
  <c r="P79" i="79"/>
  <c r="Q76" i="79"/>
  <c r="P76" i="79"/>
  <c r="Q74" i="79"/>
  <c r="P74" i="79"/>
  <c r="Q75" i="79"/>
  <c r="P75" i="79"/>
  <c r="Q72" i="79"/>
  <c r="P72" i="79"/>
  <c r="Q70" i="79"/>
  <c r="P70" i="79"/>
  <c r="Q71" i="79"/>
  <c r="P71" i="79"/>
  <c r="Q69" i="79"/>
  <c r="P69" i="79"/>
  <c r="Q68" i="79"/>
  <c r="P68" i="79"/>
  <c r="Q67" i="79"/>
  <c r="P67" i="79"/>
  <c r="Q66" i="79"/>
  <c r="P66" i="79"/>
  <c r="Q65" i="79"/>
  <c r="P65" i="79"/>
  <c r="Q62" i="79"/>
  <c r="P62" i="79"/>
  <c r="Q64" i="79"/>
  <c r="P64" i="79"/>
  <c r="Q63" i="79"/>
  <c r="P63" i="79"/>
  <c r="Q59" i="79"/>
  <c r="P59" i="79"/>
  <c r="Q57" i="79"/>
  <c r="P57" i="79"/>
  <c r="Q58" i="79"/>
  <c r="P58" i="79"/>
  <c r="Q56" i="79"/>
  <c r="P56" i="79"/>
  <c r="Q55" i="79"/>
  <c r="P55" i="79"/>
  <c r="Q54" i="79"/>
  <c r="P54" i="79"/>
  <c r="Q52" i="79"/>
  <c r="P52" i="79"/>
  <c r="Q53" i="79"/>
  <c r="P53" i="79"/>
  <c r="Q51" i="79"/>
  <c r="P51" i="79"/>
  <c r="Q50" i="79"/>
  <c r="P50" i="79"/>
  <c r="Q49" i="79"/>
  <c r="P49" i="79"/>
  <c r="Q46" i="79"/>
  <c r="P46" i="79"/>
  <c r="Q48" i="79"/>
  <c r="P48" i="79"/>
  <c r="Q47" i="79"/>
  <c r="P47" i="79"/>
  <c r="Q45" i="79"/>
  <c r="P45" i="79"/>
  <c r="Q43" i="79"/>
  <c r="P43" i="79"/>
  <c r="Q44" i="79"/>
  <c r="P44" i="79"/>
  <c r="Q42" i="79"/>
  <c r="P42" i="79"/>
  <c r="Q41" i="79"/>
  <c r="P41" i="79"/>
  <c r="Q40" i="79"/>
  <c r="P40" i="79"/>
  <c r="Q39" i="79"/>
  <c r="P39" i="79"/>
  <c r="Q38" i="79"/>
  <c r="P38" i="79"/>
  <c r="Q37" i="79"/>
  <c r="P37" i="79"/>
  <c r="Q36" i="79"/>
  <c r="P36" i="79"/>
  <c r="Q35" i="79"/>
  <c r="P35" i="79"/>
  <c r="Q34" i="79"/>
  <c r="P34" i="79"/>
  <c r="Q32" i="79"/>
  <c r="P32" i="79"/>
  <c r="Q31" i="79"/>
  <c r="P31" i="79"/>
  <c r="Q33" i="79"/>
  <c r="P33" i="79"/>
  <c r="Q30" i="79"/>
  <c r="P30" i="79"/>
  <c r="Q29" i="79"/>
  <c r="P29" i="79"/>
  <c r="Q28" i="79"/>
  <c r="P28" i="79"/>
  <c r="Q27" i="79"/>
  <c r="P27" i="79"/>
  <c r="Q26" i="79"/>
  <c r="P26" i="79"/>
  <c r="Q25" i="79"/>
  <c r="P25" i="79"/>
  <c r="Q24" i="79"/>
  <c r="P24" i="79"/>
  <c r="Q23" i="79"/>
  <c r="P23" i="79"/>
  <c r="Q20" i="79"/>
  <c r="P20" i="79"/>
  <c r="Q19" i="79"/>
  <c r="P19" i="79"/>
  <c r="Q18" i="79"/>
  <c r="P18" i="79"/>
  <c r="Q16" i="79"/>
  <c r="P16" i="79"/>
  <c r="Q15" i="79"/>
  <c r="P15" i="79"/>
  <c r="Q17" i="79"/>
  <c r="P17" i="79"/>
  <c r="Q14" i="79"/>
  <c r="P14" i="79"/>
  <c r="Q13" i="79"/>
  <c r="P13" i="79"/>
  <c r="Q12" i="79"/>
  <c r="P12" i="79"/>
  <c r="Q11" i="79"/>
  <c r="P11" i="79"/>
  <c r="Q9" i="79"/>
  <c r="P9" i="79"/>
  <c r="Q8" i="79"/>
  <c r="P8" i="79"/>
  <c r="Q7" i="79"/>
  <c r="P7" i="79"/>
  <c r="Q6" i="79"/>
  <c r="P6" i="79"/>
  <c r="Q5" i="79"/>
  <c r="P5" i="79"/>
  <c r="AC35" i="54" l="1"/>
  <c r="AB35" i="54"/>
  <c r="AA35" i="54"/>
  <c r="Z35" i="54"/>
  <c r="Y35" i="54"/>
  <c r="X35" i="54"/>
  <c r="W35" i="54"/>
  <c r="V35" i="54"/>
  <c r="U35" i="54"/>
  <c r="T35" i="54"/>
  <c r="S35" i="54"/>
  <c r="N35" i="54"/>
  <c r="M35" i="54"/>
  <c r="L35" i="54"/>
  <c r="K35" i="54"/>
  <c r="J35" i="54"/>
  <c r="I35" i="54"/>
  <c r="H35" i="54"/>
  <c r="G35" i="54"/>
  <c r="F35" i="54"/>
  <c r="E35" i="54"/>
  <c r="D35" i="54"/>
  <c r="AC34" i="54"/>
  <c r="AB34" i="54"/>
  <c r="AA34" i="54"/>
  <c r="Z34" i="54"/>
  <c r="Y34" i="54"/>
  <c r="X34" i="54"/>
  <c r="W34" i="54"/>
  <c r="V34" i="54"/>
  <c r="U34" i="54"/>
  <c r="T34" i="54"/>
  <c r="T36" i="54" s="1"/>
  <c r="S34" i="54"/>
  <c r="O34" i="54"/>
  <c r="N34" i="54"/>
  <c r="M34" i="54"/>
  <c r="L34" i="54"/>
  <c r="K34" i="54"/>
  <c r="J34" i="54"/>
  <c r="I34" i="54"/>
  <c r="H34" i="54"/>
  <c r="G34" i="54"/>
  <c r="F34" i="54"/>
  <c r="E34" i="54"/>
  <c r="E36" i="54" s="1"/>
  <c r="D34" i="54"/>
  <c r="AD33" i="54"/>
  <c r="R33" i="54" s="1"/>
  <c r="O33" i="54"/>
  <c r="O35" i="54" s="1"/>
  <c r="C33" i="54"/>
  <c r="R32" i="54"/>
  <c r="C32" i="54"/>
  <c r="AD31" i="54"/>
  <c r="AD34" i="54" s="1"/>
  <c r="R31" i="54"/>
  <c r="C31" i="54"/>
  <c r="AD30" i="54"/>
  <c r="R30" i="54" s="1"/>
  <c r="C30" i="54"/>
  <c r="AD26" i="54"/>
  <c r="AC26" i="54"/>
  <c r="AA26" i="54"/>
  <c r="Z26" i="54"/>
  <c r="Y26" i="54"/>
  <c r="X26" i="54"/>
  <c r="W26" i="54"/>
  <c r="V26" i="54"/>
  <c r="U26" i="54"/>
  <c r="T26" i="54"/>
  <c r="S26" i="54"/>
  <c r="O26" i="54"/>
  <c r="N26" i="54"/>
  <c r="M26" i="54"/>
  <c r="L26" i="54"/>
  <c r="K26" i="54"/>
  <c r="J26" i="54"/>
  <c r="I26" i="54"/>
  <c r="H26" i="54"/>
  <c r="G26" i="54"/>
  <c r="F26" i="54"/>
  <c r="E26" i="54"/>
  <c r="D26" i="54"/>
  <c r="AD25" i="54"/>
  <c r="AC25" i="54"/>
  <c r="AA25" i="54"/>
  <c r="Z25" i="54"/>
  <c r="Y25" i="54"/>
  <c r="X25" i="54"/>
  <c r="W25" i="54"/>
  <c r="V25" i="54"/>
  <c r="U25" i="54"/>
  <c r="T25" i="54"/>
  <c r="S25" i="54"/>
  <c r="O25" i="54"/>
  <c r="N25" i="54"/>
  <c r="M25" i="54"/>
  <c r="L25" i="54"/>
  <c r="K25" i="54"/>
  <c r="J25" i="54"/>
  <c r="I25" i="54"/>
  <c r="H25" i="54"/>
  <c r="G25" i="54"/>
  <c r="F25" i="54"/>
  <c r="E25" i="54"/>
  <c r="E27" i="54" s="1"/>
  <c r="D25" i="54"/>
  <c r="AB24" i="54"/>
  <c r="R24" i="54" s="1"/>
  <c r="C24" i="54"/>
  <c r="AB23" i="54"/>
  <c r="R23" i="54" s="1"/>
  <c r="R25" i="54" s="1"/>
  <c r="C23" i="54"/>
  <c r="R22" i="54"/>
  <c r="C22" i="54"/>
  <c r="R21" i="54"/>
  <c r="C21" i="54"/>
  <c r="AD17" i="54"/>
  <c r="AC17" i="54"/>
  <c r="AB17" i="54"/>
  <c r="AA17" i="54"/>
  <c r="Z17" i="54"/>
  <c r="Y17" i="54"/>
  <c r="X17" i="54"/>
  <c r="W17" i="54"/>
  <c r="V17" i="54"/>
  <c r="U17" i="54"/>
  <c r="T17" i="54"/>
  <c r="S17" i="54"/>
  <c r="O17" i="54"/>
  <c r="D17" i="54"/>
  <c r="AD16" i="54"/>
  <c r="AC16" i="54"/>
  <c r="AB16" i="54"/>
  <c r="AA16" i="54"/>
  <c r="Z16" i="54"/>
  <c r="Y16" i="54"/>
  <c r="W16" i="54"/>
  <c r="V16" i="54"/>
  <c r="U16" i="54"/>
  <c r="AB18" i="54" s="1"/>
  <c r="T16" i="54"/>
  <c r="S16" i="54"/>
  <c r="O16" i="54"/>
  <c r="K16" i="54"/>
  <c r="D16" i="54"/>
  <c r="R15" i="54"/>
  <c r="I15" i="54"/>
  <c r="H15" i="54"/>
  <c r="R14" i="54"/>
  <c r="L14" i="54"/>
  <c r="J14" i="54"/>
  <c r="I14" i="54"/>
  <c r="H14" i="54"/>
  <c r="G14" i="54"/>
  <c r="F14" i="54"/>
  <c r="E14" i="54"/>
  <c r="E16" i="54" s="1"/>
  <c r="R13" i="54"/>
  <c r="N13" i="54"/>
  <c r="N16" i="54" s="1"/>
  <c r="M13" i="54"/>
  <c r="M17" i="54" s="1"/>
  <c r="L13" i="54"/>
  <c r="L17" i="54" s="1"/>
  <c r="K13" i="54"/>
  <c r="K17" i="54" s="1"/>
  <c r="J13" i="54"/>
  <c r="J17" i="54" s="1"/>
  <c r="I13" i="54"/>
  <c r="H13" i="54"/>
  <c r="G13" i="54"/>
  <c r="G17" i="54" s="1"/>
  <c r="F13" i="54"/>
  <c r="E13" i="54"/>
  <c r="E17" i="54" s="1"/>
  <c r="R12" i="54"/>
  <c r="M12" i="54"/>
  <c r="J12" i="54"/>
  <c r="G12" i="54"/>
  <c r="O8" i="54"/>
  <c r="N8" i="54"/>
  <c r="M8" i="54"/>
  <c r="L8" i="54"/>
  <c r="K8" i="54"/>
  <c r="J8" i="54"/>
  <c r="I8" i="54"/>
  <c r="H8" i="54"/>
  <c r="G8" i="54"/>
  <c r="F8" i="54"/>
  <c r="E8" i="54"/>
  <c r="D8" i="54"/>
  <c r="O7" i="54"/>
  <c r="N7" i="54"/>
  <c r="M7" i="54"/>
  <c r="L7" i="54"/>
  <c r="K7" i="54"/>
  <c r="J7" i="54"/>
  <c r="I7" i="54"/>
  <c r="H7" i="54"/>
  <c r="G7" i="54"/>
  <c r="F7" i="54"/>
  <c r="E7" i="54"/>
  <c r="D7" i="54"/>
  <c r="C6" i="54"/>
  <c r="C8" i="54" s="1"/>
  <c r="C5" i="54"/>
  <c r="C4" i="54"/>
  <c r="C3" i="54"/>
  <c r="P148" i="88"/>
  <c r="R148" i="88" s="1"/>
  <c r="O148" i="88"/>
  <c r="N148" i="88"/>
  <c r="Q148" i="88" s="1"/>
  <c r="J148" i="88"/>
  <c r="G148" i="88"/>
  <c r="F148" i="88"/>
  <c r="S147" i="88"/>
  <c r="T147" i="88" s="1"/>
  <c r="R147" i="88"/>
  <c r="Q147" i="88"/>
  <c r="K147" i="88"/>
  <c r="T146" i="88"/>
  <c r="S146" i="88"/>
  <c r="R146" i="88"/>
  <c r="Q146" i="88"/>
  <c r="K146" i="88"/>
  <c r="S145" i="88"/>
  <c r="T145" i="88" s="1"/>
  <c r="R145" i="88"/>
  <c r="Q145" i="88"/>
  <c r="K145" i="88"/>
  <c r="T144" i="88"/>
  <c r="S144" i="88"/>
  <c r="R144" i="88"/>
  <c r="Q144" i="88"/>
  <c r="K144" i="88"/>
  <c r="S143" i="88"/>
  <c r="T143" i="88" s="1"/>
  <c r="R143" i="88"/>
  <c r="Q143" i="88"/>
  <c r="K143" i="88"/>
  <c r="S142" i="88"/>
  <c r="T142" i="88" s="1"/>
  <c r="R142" i="88"/>
  <c r="Q142" i="88"/>
  <c r="K142" i="88"/>
  <c r="T141" i="88"/>
  <c r="S141" i="88"/>
  <c r="R141" i="88"/>
  <c r="Q141" i="88"/>
  <c r="K141" i="88"/>
  <c r="S140" i="88"/>
  <c r="T140" i="88" s="1"/>
  <c r="R140" i="88"/>
  <c r="Q140" i="88"/>
  <c r="K140" i="88"/>
  <c r="S139" i="88"/>
  <c r="T139" i="88" s="1"/>
  <c r="R139" i="88"/>
  <c r="Q139" i="88"/>
  <c r="K139" i="88"/>
  <c r="S138" i="88"/>
  <c r="T138" i="88" s="1"/>
  <c r="R138" i="88"/>
  <c r="Q138" i="88"/>
  <c r="K138" i="88"/>
  <c r="S137" i="88"/>
  <c r="T137" i="88" s="1"/>
  <c r="R137" i="88"/>
  <c r="Q137" i="88"/>
  <c r="K137" i="88"/>
  <c r="S136" i="88"/>
  <c r="T136" i="88" s="1"/>
  <c r="R136" i="88"/>
  <c r="Q136" i="88"/>
  <c r="K136" i="88"/>
  <c r="S135" i="88"/>
  <c r="T135" i="88" s="1"/>
  <c r="R135" i="88"/>
  <c r="Q135" i="88"/>
  <c r="K135" i="88"/>
  <c r="T134" i="88"/>
  <c r="S134" i="88"/>
  <c r="R134" i="88"/>
  <c r="Q134" i="88"/>
  <c r="K134" i="88"/>
  <c r="P129" i="88"/>
  <c r="O129" i="88"/>
  <c r="Q129" i="88" s="1"/>
  <c r="N129" i="88"/>
  <c r="J129" i="88"/>
  <c r="G129" i="88"/>
  <c r="F129" i="88"/>
  <c r="S128" i="88"/>
  <c r="T128" i="88" s="1"/>
  <c r="R128" i="88"/>
  <c r="Q128" i="88"/>
  <c r="K128" i="88"/>
  <c r="T127" i="88"/>
  <c r="S127" i="88"/>
  <c r="R127" i="88"/>
  <c r="Q127" i="88"/>
  <c r="K127" i="88"/>
  <c r="S126" i="88"/>
  <c r="T126" i="88" s="1"/>
  <c r="R126" i="88"/>
  <c r="Q126" i="88"/>
  <c r="K126" i="88"/>
  <c r="P121" i="88"/>
  <c r="O121" i="88"/>
  <c r="Q121" i="88" s="1"/>
  <c r="N121" i="88"/>
  <c r="R121" i="88" s="1"/>
  <c r="J121" i="88"/>
  <c r="G121" i="88"/>
  <c r="F121" i="88"/>
  <c r="S120" i="88"/>
  <c r="T120" i="88" s="1"/>
  <c r="R120" i="88"/>
  <c r="Q120" i="88"/>
  <c r="K120" i="88"/>
  <c r="S119" i="88"/>
  <c r="T119" i="88" s="1"/>
  <c r="R119" i="88"/>
  <c r="Q119" i="88"/>
  <c r="K119" i="88"/>
  <c r="S118" i="88"/>
  <c r="T118" i="88" s="1"/>
  <c r="R118" i="88"/>
  <c r="Q118" i="88"/>
  <c r="K118" i="88"/>
  <c r="S117" i="88"/>
  <c r="T117" i="88" s="1"/>
  <c r="R117" i="88"/>
  <c r="Q117" i="88"/>
  <c r="K117" i="88"/>
  <c r="T116" i="88"/>
  <c r="S116" i="88"/>
  <c r="R116" i="88"/>
  <c r="Q116" i="88"/>
  <c r="K116" i="88"/>
  <c r="S115" i="88"/>
  <c r="T115" i="88" s="1"/>
  <c r="R115" i="88"/>
  <c r="Q115" i="88"/>
  <c r="K115" i="88"/>
  <c r="S114" i="88"/>
  <c r="T114" i="88" s="1"/>
  <c r="R114" i="88"/>
  <c r="Q114" i="88"/>
  <c r="K114" i="88"/>
  <c r="S113" i="88"/>
  <c r="T113" i="88" s="1"/>
  <c r="R113" i="88"/>
  <c r="Q113" i="88"/>
  <c r="K113" i="88"/>
  <c r="S112" i="88"/>
  <c r="T112" i="88" s="1"/>
  <c r="R112" i="88"/>
  <c r="Q112" i="88"/>
  <c r="K112" i="88"/>
  <c r="S111" i="88"/>
  <c r="T111" i="88" s="1"/>
  <c r="R111" i="88"/>
  <c r="Q111" i="88"/>
  <c r="K111" i="88"/>
  <c r="S110" i="88"/>
  <c r="T110" i="88" s="1"/>
  <c r="R110" i="88"/>
  <c r="Q110" i="88"/>
  <c r="K110" i="88"/>
  <c r="S109" i="88"/>
  <c r="T109" i="88" s="1"/>
  <c r="R109" i="88"/>
  <c r="Q109" i="88"/>
  <c r="K109" i="88"/>
  <c r="T108" i="88"/>
  <c r="S108" i="88"/>
  <c r="R108" i="88"/>
  <c r="Q108" i="88"/>
  <c r="K108" i="88"/>
  <c r="P103" i="88"/>
  <c r="R103" i="88" s="1"/>
  <c r="O103" i="88"/>
  <c r="N103" i="88"/>
  <c r="Q103" i="88" s="1"/>
  <c r="J103" i="88"/>
  <c r="G103" i="88"/>
  <c r="F103" i="88"/>
  <c r="S102" i="88"/>
  <c r="T102" i="88" s="1"/>
  <c r="R102" i="88"/>
  <c r="Q102" i="88"/>
  <c r="K102" i="88"/>
  <c r="T101" i="88"/>
  <c r="S101" i="88"/>
  <c r="R101" i="88"/>
  <c r="Q101" i="88"/>
  <c r="K101" i="88"/>
  <c r="S100" i="88"/>
  <c r="T100" i="88" s="1"/>
  <c r="R100" i="88"/>
  <c r="Q100" i="88"/>
  <c r="K100" i="88"/>
  <c r="S99" i="88"/>
  <c r="T99" i="88" s="1"/>
  <c r="R99" i="88"/>
  <c r="Q99" i="88"/>
  <c r="K99" i="88"/>
  <c r="S98" i="88"/>
  <c r="T98" i="88" s="1"/>
  <c r="R98" i="88"/>
  <c r="Q98" i="88"/>
  <c r="K98" i="88"/>
  <c r="S97" i="88"/>
  <c r="T97" i="88" s="1"/>
  <c r="R97" i="88"/>
  <c r="Q97" i="88"/>
  <c r="K97" i="88"/>
  <c r="S96" i="88"/>
  <c r="T96" i="88" s="1"/>
  <c r="R96" i="88"/>
  <c r="Q96" i="88"/>
  <c r="K96" i="88"/>
  <c r="S95" i="88"/>
  <c r="S103" i="88" s="1"/>
  <c r="R95" i="88"/>
  <c r="Q95" i="88"/>
  <c r="K95" i="88"/>
  <c r="S90" i="88"/>
  <c r="P90" i="88"/>
  <c r="O90" i="88"/>
  <c r="Q90" i="88" s="1"/>
  <c r="N90" i="88"/>
  <c r="J90" i="88"/>
  <c r="G90" i="88"/>
  <c r="F90" i="88"/>
  <c r="S89" i="88"/>
  <c r="T89" i="88" s="1"/>
  <c r="R89" i="88"/>
  <c r="Q89" i="88"/>
  <c r="K89" i="88"/>
  <c r="S88" i="88"/>
  <c r="T88" i="88" s="1"/>
  <c r="T90" i="88" s="1"/>
  <c r="R88" i="88"/>
  <c r="Q88" i="88"/>
  <c r="K88" i="88"/>
  <c r="P83" i="88"/>
  <c r="R83" i="88" s="1"/>
  <c r="O83" i="88"/>
  <c r="Q83" i="88" s="1"/>
  <c r="N83" i="88"/>
  <c r="J83" i="88"/>
  <c r="G83" i="88"/>
  <c r="F83" i="88"/>
  <c r="S82" i="88"/>
  <c r="T82" i="88" s="1"/>
  <c r="R82" i="88"/>
  <c r="Q82" i="88"/>
  <c r="K82" i="88"/>
  <c r="S81" i="88"/>
  <c r="T81" i="88" s="1"/>
  <c r="R81" i="88"/>
  <c r="Q81" i="88"/>
  <c r="K81" i="88"/>
  <c r="S80" i="88"/>
  <c r="R80" i="88"/>
  <c r="Q80" i="88"/>
  <c r="K80" i="88"/>
  <c r="S79" i="88"/>
  <c r="T79" i="88" s="1"/>
  <c r="R79" i="88"/>
  <c r="Q79" i="88"/>
  <c r="K79" i="88"/>
  <c r="P74" i="88"/>
  <c r="R74" i="88" s="1"/>
  <c r="O74" i="88"/>
  <c r="Q74" i="88" s="1"/>
  <c r="N74" i="88"/>
  <c r="J74" i="88"/>
  <c r="G74" i="88"/>
  <c r="F74" i="88"/>
  <c r="S73" i="88"/>
  <c r="T73" i="88" s="1"/>
  <c r="R73" i="88"/>
  <c r="Q73" i="88"/>
  <c r="K73" i="88"/>
  <c r="S72" i="88"/>
  <c r="T72" i="88" s="1"/>
  <c r="R72" i="88"/>
  <c r="Q72" i="88"/>
  <c r="S71" i="88"/>
  <c r="T71" i="88" s="1"/>
  <c r="R71" i="88"/>
  <c r="Q71" i="88"/>
  <c r="K71" i="88"/>
  <c r="T70" i="88"/>
  <c r="S70" i="88"/>
  <c r="R70" i="88"/>
  <c r="Q70" i="88"/>
  <c r="K70" i="88"/>
  <c r="S69" i="88"/>
  <c r="T69" i="88" s="1"/>
  <c r="R69" i="88"/>
  <c r="Q69" i="88"/>
  <c r="S68" i="88"/>
  <c r="S74" i="88" s="1"/>
  <c r="R68" i="88"/>
  <c r="Q68" i="88"/>
  <c r="K68" i="88"/>
  <c r="P63" i="88"/>
  <c r="O63" i="88"/>
  <c r="N63" i="88"/>
  <c r="J63" i="88"/>
  <c r="G63" i="88"/>
  <c r="F63" i="88"/>
  <c r="S62" i="88"/>
  <c r="T62" i="88" s="1"/>
  <c r="R62" i="88"/>
  <c r="Q62" i="88"/>
  <c r="K62" i="88"/>
  <c r="T61" i="88"/>
  <c r="S61" i="88"/>
  <c r="R61" i="88"/>
  <c r="Q61" i="88"/>
  <c r="K61" i="88"/>
  <c r="S60" i="88"/>
  <c r="R60" i="88"/>
  <c r="Q60" i="88"/>
  <c r="K60" i="88"/>
  <c r="S59" i="88"/>
  <c r="T59" i="88" s="1"/>
  <c r="R59" i="88"/>
  <c r="Q59" i="88"/>
  <c r="K59" i="88"/>
  <c r="T58" i="88"/>
  <c r="S58" i="88"/>
  <c r="R58" i="88"/>
  <c r="Q58" i="88"/>
  <c r="K58" i="88"/>
  <c r="S57" i="88"/>
  <c r="T57" i="88" s="1"/>
  <c r="Q57" i="88"/>
  <c r="T56" i="88"/>
  <c r="S56" i="88"/>
  <c r="R56" i="88"/>
  <c r="Q56" i="88"/>
  <c r="K56" i="88"/>
  <c r="S55" i="88"/>
  <c r="T55" i="88" s="1"/>
  <c r="R55" i="88"/>
  <c r="Q55" i="88"/>
  <c r="S54" i="88"/>
  <c r="T54" i="88" s="1"/>
  <c r="R54" i="88"/>
  <c r="Q54" i="88"/>
  <c r="P49" i="88"/>
  <c r="O49" i="88"/>
  <c r="Q49" i="88" s="1"/>
  <c r="N49" i="88"/>
  <c r="R49" i="88" s="1"/>
  <c r="J49" i="88"/>
  <c r="G49" i="88"/>
  <c r="F49" i="88"/>
  <c r="S48" i="88"/>
  <c r="T48" i="88" s="1"/>
  <c r="R48" i="88"/>
  <c r="Q48" i="88"/>
  <c r="K48" i="88"/>
  <c r="T47" i="88"/>
  <c r="S47" i="88"/>
  <c r="R47" i="88"/>
  <c r="Q47" i="88"/>
  <c r="K47" i="88"/>
  <c r="S46" i="88"/>
  <c r="T46" i="88" s="1"/>
  <c r="R46" i="88"/>
  <c r="Q46" i="88"/>
  <c r="K46" i="88"/>
  <c r="S45" i="88"/>
  <c r="T45" i="88" s="1"/>
  <c r="R45" i="88"/>
  <c r="Q45" i="88"/>
  <c r="K45" i="88"/>
  <c r="T44" i="88"/>
  <c r="S44" i="88"/>
  <c r="R44" i="88"/>
  <c r="Q44" i="88"/>
  <c r="K44" i="88"/>
  <c r="S43" i="88"/>
  <c r="T43" i="88" s="1"/>
  <c r="R43" i="88"/>
  <c r="Q43" i="88"/>
  <c r="K43" i="88"/>
  <c r="T42" i="88"/>
  <c r="S42" i="88"/>
  <c r="R42" i="88"/>
  <c r="Q42" i="88"/>
  <c r="K42" i="88"/>
  <c r="S41" i="88"/>
  <c r="T41" i="88" s="1"/>
  <c r="R41" i="88"/>
  <c r="Q41" i="88"/>
  <c r="K41" i="88"/>
  <c r="S40" i="88"/>
  <c r="T40" i="88" s="1"/>
  <c r="R40" i="88"/>
  <c r="Q40" i="88"/>
  <c r="K40" i="88"/>
  <c r="S39" i="88"/>
  <c r="T39" i="88" s="1"/>
  <c r="R39" i="88"/>
  <c r="Q39" i="88"/>
  <c r="K39" i="88"/>
  <c r="P34" i="88"/>
  <c r="O34" i="88"/>
  <c r="N34" i="88"/>
  <c r="J34" i="88"/>
  <c r="G34" i="88"/>
  <c r="F34" i="88"/>
  <c r="T33" i="88"/>
  <c r="S33" i="88"/>
  <c r="Q33" i="88"/>
  <c r="S32" i="88"/>
  <c r="T32" i="88" s="1"/>
  <c r="R32" i="88"/>
  <c r="Q32" i="88"/>
  <c r="S31" i="88"/>
  <c r="T31" i="88" s="1"/>
  <c r="R31" i="88"/>
  <c r="Q31" i="88"/>
  <c r="S30" i="88"/>
  <c r="T30" i="88" s="1"/>
  <c r="R30" i="88"/>
  <c r="Q30" i="88"/>
  <c r="S29" i="88"/>
  <c r="T29" i="88" s="1"/>
  <c r="R29" i="88"/>
  <c r="Q29" i="88"/>
  <c r="S28" i="88"/>
  <c r="T28" i="88" s="1"/>
  <c r="R28" i="88"/>
  <c r="Q28" i="88"/>
  <c r="S27" i="88"/>
  <c r="T27" i="88" s="1"/>
  <c r="R27" i="88"/>
  <c r="Q27" i="88"/>
  <c r="S26" i="88"/>
  <c r="T26" i="88" s="1"/>
  <c r="R26" i="88"/>
  <c r="Q26" i="88"/>
  <c r="S25" i="88"/>
  <c r="T25" i="88" s="1"/>
  <c r="R25" i="88"/>
  <c r="Q25" i="88"/>
  <c r="S24" i="88"/>
  <c r="R24" i="88"/>
  <c r="Q24" i="88"/>
  <c r="P19" i="88"/>
  <c r="R19" i="88" s="1"/>
  <c r="O19" i="88"/>
  <c r="Q19" i="88" s="1"/>
  <c r="N19" i="88"/>
  <c r="J19" i="88"/>
  <c r="G19" i="88"/>
  <c r="F19" i="88"/>
  <c r="S18" i="88"/>
  <c r="T18" i="88" s="1"/>
  <c r="R18" i="88"/>
  <c r="Q18" i="88"/>
  <c r="S17" i="88"/>
  <c r="T17" i="88" s="1"/>
  <c r="R17" i="88"/>
  <c r="Q17" i="88"/>
  <c r="S16" i="88"/>
  <c r="T16" i="88" s="1"/>
  <c r="R16" i="88"/>
  <c r="Q16" i="88"/>
  <c r="S15" i="88"/>
  <c r="T15" i="88" s="1"/>
  <c r="R15" i="88"/>
  <c r="Q15" i="88"/>
  <c r="S14" i="88"/>
  <c r="T14" i="88" s="1"/>
  <c r="R14" i="88"/>
  <c r="Q14" i="88"/>
  <c r="T13" i="88"/>
  <c r="S13" i="88"/>
  <c r="R13" i="88"/>
  <c r="Q13" i="88"/>
  <c r="T12" i="88"/>
  <c r="R12" i="88"/>
  <c r="Q12" i="88"/>
  <c r="P7" i="88"/>
  <c r="O7" i="88"/>
  <c r="N7" i="88"/>
  <c r="J7" i="88"/>
  <c r="G7" i="88"/>
  <c r="F7" i="88"/>
  <c r="T6" i="88"/>
  <c r="S6" i="88"/>
  <c r="R6" i="88"/>
  <c r="Q6" i="88"/>
  <c r="T5" i="88"/>
  <c r="S5" i="88"/>
  <c r="R5" i="88"/>
  <c r="Q5" i="88"/>
  <c r="T4" i="88"/>
  <c r="T7" i="88" s="1"/>
  <c r="S4" i="88"/>
  <c r="S7" i="88" s="1"/>
  <c r="R4" i="88"/>
  <c r="Q4" i="88"/>
  <c r="F16" i="54" l="1"/>
  <c r="AB36" i="54"/>
  <c r="I17" i="54"/>
  <c r="AD36" i="54"/>
  <c r="F36" i="54"/>
  <c r="N36" i="54"/>
  <c r="Y36" i="54"/>
  <c r="C13" i="54"/>
  <c r="G16" i="54"/>
  <c r="L16" i="54"/>
  <c r="S18" i="54"/>
  <c r="G36" i="54"/>
  <c r="K36" i="54"/>
  <c r="O36" i="54"/>
  <c r="V36" i="54"/>
  <c r="Z36" i="54"/>
  <c r="I36" i="54"/>
  <c r="M36" i="54"/>
  <c r="X36" i="54"/>
  <c r="J36" i="54"/>
  <c r="U36" i="54"/>
  <c r="AC36" i="54"/>
  <c r="C7" i="54"/>
  <c r="E9" i="54"/>
  <c r="R34" i="54"/>
  <c r="D36" i="54"/>
  <c r="H36" i="54"/>
  <c r="L36" i="54"/>
  <c r="S36" i="54"/>
  <c r="W36" i="54"/>
  <c r="AA36" i="54"/>
  <c r="J9" i="54"/>
  <c r="N9" i="54"/>
  <c r="Z18" i="54"/>
  <c r="AD18" i="54"/>
  <c r="N17" i="54"/>
  <c r="I27" i="54"/>
  <c r="M27" i="54"/>
  <c r="AB25" i="54"/>
  <c r="AB27" i="54" s="1"/>
  <c r="Q7" i="88"/>
  <c r="Q63" i="88"/>
  <c r="S121" i="88"/>
  <c r="G9" i="54"/>
  <c r="K9" i="54"/>
  <c r="O9" i="54"/>
  <c r="C14" i="54"/>
  <c r="R16" i="54"/>
  <c r="R17" i="54"/>
  <c r="V18" i="54"/>
  <c r="AA18" i="54"/>
  <c r="C26" i="54"/>
  <c r="F27" i="54"/>
  <c r="J27" i="54"/>
  <c r="N27" i="54"/>
  <c r="U27" i="54"/>
  <c r="Y27" i="54"/>
  <c r="C35" i="54"/>
  <c r="W18" i="54"/>
  <c r="F17" i="54"/>
  <c r="C25" i="54"/>
  <c r="R26" i="54"/>
  <c r="S19" i="88"/>
  <c r="T49" i="88"/>
  <c r="R7" i="88"/>
  <c r="T19" i="88"/>
  <c r="R34" i="88"/>
  <c r="R63" i="88"/>
  <c r="R129" i="88"/>
  <c r="D9" i="54"/>
  <c r="H9" i="54"/>
  <c r="L9" i="54"/>
  <c r="C12" i="54"/>
  <c r="C15" i="54"/>
  <c r="S34" i="88"/>
  <c r="Q34" i="88"/>
  <c r="S63" i="88"/>
  <c r="S83" i="88"/>
  <c r="R90" i="88"/>
  <c r="T129" i="88"/>
  <c r="S148" i="88"/>
  <c r="J16" i="54"/>
  <c r="H17" i="54"/>
  <c r="Y18" i="54"/>
  <c r="AC18" i="54"/>
  <c r="D27" i="54"/>
  <c r="H27" i="54"/>
  <c r="L27" i="54"/>
  <c r="AA27" i="54"/>
  <c r="C34" i="54"/>
  <c r="R35" i="54"/>
  <c r="I9" i="54"/>
  <c r="T18" i="54"/>
  <c r="K27" i="54"/>
  <c r="F9" i="54"/>
  <c r="U18" i="54"/>
  <c r="M9" i="54"/>
  <c r="X18" i="54"/>
  <c r="O27" i="54"/>
  <c r="AD35" i="54"/>
  <c r="H16" i="54"/>
  <c r="M16" i="54"/>
  <c r="AB26" i="54"/>
  <c r="T27" i="54"/>
  <c r="G27" i="54"/>
  <c r="T148" i="88"/>
  <c r="T121" i="88"/>
  <c r="T24" i="88"/>
  <c r="T34" i="88" s="1"/>
  <c r="S49" i="88"/>
  <c r="T60" i="88"/>
  <c r="T63" i="88" s="1"/>
  <c r="T80" i="88"/>
  <c r="T83" i="88" s="1"/>
  <c r="T68" i="88"/>
  <c r="T74" i="88" s="1"/>
  <c r="T95" i="88"/>
  <c r="T103" i="88" s="1"/>
  <c r="S129" i="88"/>
  <c r="W27" i="54" l="1"/>
  <c r="C17" i="54"/>
  <c r="C16" i="54"/>
  <c r="AD27" i="54"/>
  <c r="V27" i="54"/>
  <c r="M18" i="54"/>
  <c r="Z27" i="54"/>
  <c r="S27" i="54"/>
  <c r="AC27" i="54"/>
  <c r="I18" i="54"/>
  <c r="D18" i="54"/>
  <c r="L18" i="54"/>
  <c r="N18" i="54"/>
  <c r="X27" i="54"/>
  <c r="H18" i="54"/>
  <c r="F18" i="54"/>
  <c r="E18" i="54"/>
  <c r="O18" i="54"/>
  <c r="J18" i="54"/>
  <c r="K18" i="54"/>
  <c r="G18" i="54"/>
  <c r="R1" i="79"/>
  <c r="T1" i="79"/>
  <c r="P1" i="79"/>
  <c r="N1" i="79"/>
  <c r="U133" i="71"/>
  <c r="W163" i="71"/>
  <c r="V163" i="71"/>
  <c r="U163" i="71"/>
  <c r="T163" i="71"/>
  <c r="S163" i="71"/>
  <c r="R163" i="71"/>
  <c r="W143" i="71"/>
  <c r="V143" i="71"/>
  <c r="U143" i="71"/>
  <c r="T143" i="71"/>
  <c r="S143" i="71"/>
  <c r="R143" i="71"/>
  <c r="W133" i="71"/>
  <c r="V133" i="71"/>
  <c r="T133" i="71"/>
  <c r="S133" i="71"/>
  <c r="R133" i="71"/>
  <c r="W119" i="71"/>
  <c r="V119" i="71"/>
  <c r="U119" i="71"/>
  <c r="T119" i="71"/>
  <c r="S119" i="71"/>
  <c r="R119" i="71"/>
  <c r="W98" i="71"/>
  <c r="V98" i="71"/>
  <c r="U98" i="71"/>
  <c r="T98" i="71"/>
  <c r="S98" i="71"/>
  <c r="R98" i="71"/>
  <c r="W86" i="71"/>
  <c r="V86" i="71"/>
  <c r="U86" i="71"/>
  <c r="T86" i="71"/>
  <c r="S86" i="71"/>
  <c r="R86" i="71"/>
  <c r="T78" i="71"/>
  <c r="S78" i="71"/>
  <c r="R78" i="71"/>
  <c r="W78" i="71"/>
  <c r="V78" i="71"/>
  <c r="U78" i="71"/>
  <c r="W68" i="71"/>
  <c r="V68" i="71"/>
  <c r="U68" i="71"/>
  <c r="T68" i="71"/>
  <c r="S68" i="71"/>
  <c r="R68" i="71"/>
  <c r="W56" i="71"/>
  <c r="V56" i="71"/>
  <c r="U56" i="71"/>
  <c r="T56" i="71"/>
  <c r="S56" i="71"/>
  <c r="R56" i="71"/>
  <c r="W42" i="71"/>
  <c r="V42" i="71"/>
  <c r="U42" i="71"/>
  <c r="T42" i="71"/>
  <c r="S42" i="71"/>
  <c r="R42" i="71"/>
  <c r="T20" i="71"/>
  <c r="S20" i="71"/>
  <c r="R20" i="71"/>
  <c r="W20" i="71"/>
  <c r="V20" i="71"/>
  <c r="U20" i="71"/>
  <c r="W7" i="71"/>
  <c r="V7" i="71"/>
  <c r="U7" i="71"/>
  <c r="T7" i="71"/>
  <c r="S7" i="71"/>
  <c r="R7" i="71"/>
  <c r="Q159" i="71" l="1"/>
  <c r="P159" i="71"/>
  <c r="L2" i="71" l="1"/>
  <c r="R1" i="71"/>
  <c r="P1" i="71"/>
  <c r="N1" i="71"/>
  <c r="L1" i="71"/>
  <c r="J1" i="71"/>
  <c r="Q7" i="71"/>
  <c r="Q8" i="71"/>
  <c r="Q9" i="71"/>
  <c r="Q10" i="71"/>
  <c r="Q11" i="71"/>
  <c r="Q12" i="71"/>
  <c r="Q13" i="71"/>
  <c r="Q14" i="71"/>
  <c r="Q15" i="71"/>
  <c r="Q16" i="71"/>
  <c r="Q17" i="71"/>
  <c r="Q18" i="71"/>
  <c r="Q19" i="71"/>
  <c r="Q20" i="71"/>
  <c r="Q21" i="71"/>
  <c r="Q22" i="71"/>
  <c r="Q23" i="71"/>
  <c r="Q24" i="71"/>
  <c r="Q25" i="71"/>
  <c r="Q26" i="71"/>
  <c r="Q27" i="71"/>
  <c r="Q28" i="71"/>
  <c r="Q29" i="71"/>
  <c r="Q30" i="71"/>
  <c r="Q31" i="71"/>
  <c r="Q32" i="71"/>
  <c r="Q33" i="71"/>
  <c r="Q34" i="71"/>
  <c r="Q35" i="71"/>
  <c r="Q36" i="71"/>
  <c r="Q37" i="71"/>
  <c r="Q38" i="71"/>
  <c r="Q39" i="71"/>
  <c r="Q40" i="71"/>
  <c r="Q41" i="71"/>
  <c r="Q42" i="71"/>
  <c r="Q43" i="71"/>
  <c r="Q44" i="71"/>
  <c r="Q45" i="71"/>
  <c r="Q46" i="71"/>
  <c r="Q47" i="71"/>
  <c r="Q48" i="71"/>
  <c r="Q49" i="71"/>
  <c r="Q50" i="71"/>
  <c r="Q51" i="71"/>
  <c r="Q52" i="71"/>
  <c r="Q53" i="71"/>
  <c r="Q54" i="71"/>
  <c r="Q55" i="71"/>
  <c r="Q56" i="71"/>
  <c r="Q57" i="71"/>
  <c r="Q58" i="71"/>
  <c r="Q59" i="71"/>
  <c r="Q60" i="71"/>
  <c r="Q61" i="71"/>
  <c r="Q62" i="71"/>
  <c r="Q63" i="71"/>
  <c r="Q64" i="71"/>
  <c r="Q65" i="71"/>
  <c r="Q66" i="71"/>
  <c r="Q67" i="71"/>
  <c r="Q68" i="71"/>
  <c r="Q69" i="71"/>
  <c r="Q70" i="71"/>
  <c r="Q71" i="71"/>
  <c r="Q72" i="71"/>
  <c r="Q73" i="71"/>
  <c r="Q74" i="71"/>
  <c r="Q75" i="71"/>
  <c r="Q76" i="71"/>
  <c r="Q77" i="71"/>
  <c r="Q78" i="71"/>
  <c r="Q79" i="71"/>
  <c r="Q80" i="71"/>
  <c r="Q81" i="71"/>
  <c r="Q82" i="71"/>
  <c r="Q83" i="71"/>
  <c r="Q84" i="71"/>
  <c r="Q85" i="71"/>
  <c r="Q86" i="71"/>
  <c r="Q87" i="71"/>
  <c r="Q88" i="71"/>
  <c r="Q89" i="71"/>
  <c r="Q90" i="71"/>
  <c r="Q91" i="71"/>
  <c r="Q92" i="71"/>
  <c r="Q93" i="71"/>
  <c r="Q94" i="71"/>
  <c r="Q95" i="71"/>
  <c r="Q96" i="71"/>
  <c r="Q97" i="71"/>
  <c r="Q98" i="71"/>
  <c r="Q99" i="71"/>
  <c r="Q100" i="71"/>
  <c r="Q101" i="71"/>
  <c r="Q102" i="71"/>
  <c r="Q103" i="71"/>
  <c r="Q104" i="71"/>
  <c r="Q105" i="71"/>
  <c r="Q106" i="71"/>
  <c r="Q107" i="71"/>
  <c r="Q108" i="71"/>
  <c r="Q109" i="71"/>
  <c r="Q110" i="71"/>
  <c r="Q111" i="71"/>
  <c r="Q112" i="71"/>
  <c r="Q113" i="71"/>
  <c r="Q114" i="71"/>
  <c r="Q115" i="71"/>
  <c r="Q116" i="71"/>
  <c r="Q117" i="71"/>
  <c r="Q118" i="71"/>
  <c r="Q119" i="71"/>
  <c r="Q120" i="71"/>
  <c r="Q121" i="71"/>
  <c r="Q122" i="71"/>
  <c r="Q123" i="71"/>
  <c r="Q124" i="71"/>
  <c r="Q125" i="71"/>
  <c r="Q126" i="71"/>
  <c r="Q127" i="71"/>
  <c r="Q128" i="71"/>
  <c r="Q129" i="71"/>
  <c r="Q130" i="71"/>
  <c r="Q131" i="71"/>
  <c r="Q132" i="71"/>
  <c r="Q133" i="71"/>
  <c r="Q134" i="71"/>
  <c r="Q135" i="71"/>
  <c r="Q136" i="71"/>
  <c r="Q137" i="71"/>
  <c r="Q138" i="71"/>
  <c r="Q139" i="71"/>
  <c r="Q140" i="71"/>
  <c r="Q141" i="71"/>
  <c r="Q142" i="71"/>
  <c r="Q143" i="71"/>
  <c r="Q144" i="71"/>
  <c r="Q145" i="71"/>
  <c r="Q146" i="71"/>
  <c r="Q147" i="71"/>
  <c r="Q148" i="71"/>
  <c r="Q149" i="71"/>
  <c r="Q150" i="71"/>
  <c r="Q151" i="71"/>
  <c r="Q152" i="71"/>
  <c r="Q153" i="71"/>
  <c r="Q154" i="71"/>
  <c r="Q155" i="71"/>
  <c r="Q156" i="71"/>
  <c r="Q157" i="71"/>
  <c r="Q158" i="71"/>
  <c r="Q160" i="71"/>
  <c r="Q161" i="71"/>
  <c r="Q162" i="71"/>
  <c r="Q163" i="71"/>
  <c r="Q6" i="71"/>
  <c r="Q5" i="71"/>
  <c r="P6" i="71"/>
  <c r="P7" i="71"/>
  <c r="P8" i="71"/>
  <c r="P9" i="71"/>
  <c r="P10" i="71"/>
  <c r="P11" i="71"/>
  <c r="P12" i="71"/>
  <c r="P13" i="71"/>
  <c r="P14" i="71"/>
  <c r="P15" i="71"/>
  <c r="P16" i="71"/>
  <c r="P17" i="71"/>
  <c r="P18" i="71"/>
  <c r="P19" i="71"/>
  <c r="P20" i="71"/>
  <c r="P21" i="71"/>
  <c r="P22" i="71"/>
  <c r="P23" i="71"/>
  <c r="P24" i="71"/>
  <c r="P25" i="71"/>
  <c r="P26" i="71"/>
  <c r="P27" i="71"/>
  <c r="P28" i="71"/>
  <c r="P29" i="71"/>
  <c r="P30" i="71"/>
  <c r="P31" i="71"/>
  <c r="P32" i="71"/>
  <c r="P33" i="71"/>
  <c r="P34" i="71"/>
  <c r="P35" i="71"/>
  <c r="P36" i="71"/>
  <c r="P37" i="71"/>
  <c r="P38" i="71"/>
  <c r="P39" i="71"/>
  <c r="P40" i="71"/>
  <c r="P41" i="71"/>
  <c r="P42" i="71"/>
  <c r="P43" i="71"/>
  <c r="P44" i="71"/>
  <c r="P45" i="71"/>
  <c r="P46" i="71"/>
  <c r="P47" i="71"/>
  <c r="P48" i="71"/>
  <c r="P49" i="71"/>
  <c r="P50" i="71"/>
  <c r="P51" i="71"/>
  <c r="P52" i="71"/>
  <c r="P53" i="71"/>
  <c r="P54" i="71"/>
  <c r="P55" i="71"/>
  <c r="P56" i="71"/>
  <c r="P57" i="71"/>
  <c r="P58" i="71"/>
  <c r="P59" i="71"/>
  <c r="P60" i="71"/>
  <c r="P61" i="71"/>
  <c r="P62" i="71"/>
  <c r="P63" i="71"/>
  <c r="P64" i="71"/>
  <c r="P65" i="71"/>
  <c r="P66" i="71"/>
  <c r="P67" i="71"/>
  <c r="P68" i="71"/>
  <c r="P69" i="71"/>
  <c r="P70" i="71"/>
  <c r="P71" i="71"/>
  <c r="P72" i="71"/>
  <c r="P73" i="71"/>
  <c r="P74" i="71"/>
  <c r="P75" i="71"/>
  <c r="P76" i="71"/>
  <c r="P77" i="71"/>
  <c r="P78" i="71"/>
  <c r="P79" i="71"/>
  <c r="P80" i="71"/>
  <c r="P81" i="71"/>
  <c r="P82" i="71"/>
  <c r="P83" i="71"/>
  <c r="P84" i="71"/>
  <c r="P85" i="71"/>
  <c r="P86" i="71"/>
  <c r="P87" i="71"/>
  <c r="P88" i="71"/>
  <c r="P89" i="71"/>
  <c r="P90" i="71"/>
  <c r="P91" i="71"/>
  <c r="P92" i="71"/>
  <c r="P93" i="71"/>
  <c r="P94" i="71"/>
  <c r="P95" i="71"/>
  <c r="P96" i="71"/>
  <c r="P97" i="71"/>
  <c r="P98" i="71"/>
  <c r="P99" i="71"/>
  <c r="P100" i="71"/>
  <c r="P101" i="71"/>
  <c r="P102" i="71"/>
  <c r="P103" i="71"/>
  <c r="P104" i="71"/>
  <c r="P105" i="71"/>
  <c r="P106" i="71"/>
  <c r="P107" i="71"/>
  <c r="P108" i="71"/>
  <c r="P109" i="71"/>
  <c r="P110" i="71"/>
  <c r="P111" i="71"/>
  <c r="P112" i="71"/>
  <c r="P113" i="71"/>
  <c r="P114" i="71"/>
  <c r="P115" i="71"/>
  <c r="P116" i="71"/>
  <c r="P117" i="71"/>
  <c r="P118" i="71"/>
  <c r="P119" i="71"/>
  <c r="P120" i="71"/>
  <c r="P121" i="71"/>
  <c r="P122" i="71"/>
  <c r="P123" i="71"/>
  <c r="P124" i="71"/>
  <c r="P125" i="71"/>
  <c r="P126" i="71"/>
  <c r="P127" i="71"/>
  <c r="P128" i="71"/>
  <c r="P129" i="71"/>
  <c r="P130" i="71"/>
  <c r="P131" i="71"/>
  <c r="P132" i="71"/>
  <c r="P133" i="71"/>
  <c r="P134" i="71"/>
  <c r="P135" i="71"/>
  <c r="P136" i="71"/>
  <c r="P137" i="71"/>
  <c r="P138" i="71"/>
  <c r="P139" i="71"/>
  <c r="P140" i="71"/>
  <c r="P141" i="71"/>
  <c r="P142" i="71"/>
  <c r="P143" i="71"/>
  <c r="P144" i="71"/>
  <c r="P145" i="71"/>
  <c r="P146" i="71"/>
  <c r="P147" i="71"/>
  <c r="P148" i="71"/>
  <c r="P149" i="71"/>
  <c r="P150" i="71"/>
  <c r="P151" i="71"/>
  <c r="P152" i="71"/>
  <c r="P153" i="71"/>
  <c r="P154" i="71"/>
  <c r="P155" i="71"/>
  <c r="P156" i="71"/>
  <c r="P157" i="71"/>
  <c r="P158" i="71"/>
  <c r="P160" i="71"/>
  <c r="P161" i="71"/>
  <c r="P162" i="71"/>
  <c r="P163" i="71"/>
  <c r="P5" i="71"/>
  <c r="P4" i="71"/>
  <c r="M2" i="71"/>
  <c r="O3" i="79"/>
  <c r="N3" i="79"/>
  <c r="P3" i="79" l="1"/>
  <c r="Q3" i="79"/>
  <c r="N2" i="71"/>
  <c r="P2" i="79" l="1"/>
  <c r="Q2" i="79"/>
  <c r="O2" i="71" l="1"/>
  <c r="O185" i="72" l="1"/>
  <c r="Q4" i="71" l="1"/>
  <c r="I2" i="72" l="1"/>
  <c r="K2" i="72"/>
  <c r="M2" i="72"/>
  <c r="N2" i="72"/>
  <c r="P2" i="72" s="1"/>
  <c r="O2" i="72"/>
  <c r="P3" i="72"/>
  <c r="Q3" i="72"/>
  <c r="P4" i="72"/>
  <c r="Q4" i="72"/>
  <c r="P5" i="72"/>
  <c r="Q5" i="72"/>
  <c r="P6" i="72"/>
  <c r="Q6" i="72"/>
  <c r="R6" i="72"/>
  <c r="P7" i="72"/>
  <c r="Q7" i="72"/>
  <c r="P8" i="72"/>
  <c r="Q8" i="72"/>
  <c r="P9" i="72"/>
  <c r="Q9" i="72"/>
  <c r="P10" i="72"/>
  <c r="Q10" i="72"/>
  <c r="P11" i="72"/>
  <c r="Q11" i="72"/>
  <c r="P12" i="72"/>
  <c r="Q12" i="72"/>
  <c r="P13" i="72"/>
  <c r="Q13" i="72"/>
  <c r="R13" i="72"/>
  <c r="P14" i="72"/>
  <c r="Q14" i="72"/>
  <c r="P15" i="72"/>
  <c r="Q15" i="72"/>
  <c r="P16" i="72"/>
  <c r="Q16" i="72"/>
  <c r="P17" i="72"/>
  <c r="Q17" i="72"/>
  <c r="P18" i="72"/>
  <c r="Q18" i="72"/>
  <c r="P19" i="72"/>
  <c r="Q19" i="72"/>
  <c r="P20" i="72"/>
  <c r="Q20" i="72"/>
  <c r="P21" i="72"/>
  <c r="Q21" i="72"/>
  <c r="P22" i="72"/>
  <c r="Q22" i="72"/>
  <c r="P23" i="72"/>
  <c r="Q23" i="72"/>
  <c r="P24" i="72"/>
  <c r="Q24" i="72"/>
  <c r="P25" i="72"/>
  <c r="Q25" i="72"/>
  <c r="P26" i="72"/>
  <c r="Q26" i="72"/>
  <c r="P27" i="72"/>
  <c r="Q27" i="72"/>
  <c r="P28" i="72"/>
  <c r="Q28" i="72"/>
  <c r="P29" i="72"/>
  <c r="Q29" i="72"/>
  <c r="P30" i="72"/>
  <c r="Q30" i="72"/>
  <c r="R30" i="72"/>
  <c r="P31" i="72"/>
  <c r="Q31" i="72"/>
  <c r="P32" i="72"/>
  <c r="Q32" i="72"/>
  <c r="P33" i="72"/>
  <c r="Q33" i="72"/>
  <c r="P34" i="72"/>
  <c r="Q34" i="72"/>
  <c r="P35" i="72"/>
  <c r="Q35" i="72"/>
  <c r="P36" i="72"/>
  <c r="Q36" i="72"/>
  <c r="P37" i="72"/>
  <c r="Q37" i="72"/>
  <c r="P38" i="72"/>
  <c r="Q38" i="72"/>
  <c r="P39" i="72"/>
  <c r="Q39" i="72"/>
  <c r="P40" i="72"/>
  <c r="Q40" i="72"/>
  <c r="P41" i="72"/>
  <c r="Q41" i="72"/>
  <c r="P42" i="72"/>
  <c r="Q42" i="72"/>
  <c r="P43" i="72"/>
  <c r="Q43" i="72"/>
  <c r="P44" i="72"/>
  <c r="Q44" i="72"/>
  <c r="P45" i="72"/>
  <c r="Q45" i="72"/>
  <c r="P46" i="72"/>
  <c r="Q46" i="72"/>
  <c r="P47" i="72"/>
  <c r="Q47" i="72"/>
  <c r="P48" i="72"/>
  <c r="Q48" i="72"/>
  <c r="R48" i="72"/>
  <c r="P49" i="72"/>
  <c r="Q49" i="72"/>
  <c r="P50" i="72"/>
  <c r="Q50" i="72"/>
  <c r="P51" i="72"/>
  <c r="Q51" i="72"/>
  <c r="P52" i="72"/>
  <c r="Q52" i="72"/>
  <c r="P53" i="72"/>
  <c r="Q53" i="72"/>
  <c r="P54" i="72"/>
  <c r="Q54" i="72"/>
  <c r="P55" i="72"/>
  <c r="Q55" i="72"/>
  <c r="P56" i="72"/>
  <c r="Q56" i="72"/>
  <c r="P57" i="72"/>
  <c r="Q57" i="72"/>
  <c r="P58" i="72"/>
  <c r="Q58" i="72"/>
  <c r="P59" i="72"/>
  <c r="Q59" i="72"/>
  <c r="P60" i="72"/>
  <c r="Q60" i="72"/>
  <c r="P61" i="72"/>
  <c r="Q61" i="72"/>
  <c r="P62" i="72"/>
  <c r="Q62" i="72"/>
  <c r="P63" i="72"/>
  <c r="Q63" i="72"/>
  <c r="P64" i="72"/>
  <c r="Q64" i="72"/>
  <c r="P65" i="72"/>
  <c r="Q65" i="72"/>
  <c r="P66" i="72"/>
  <c r="Q66" i="72"/>
  <c r="P67" i="72"/>
  <c r="Q67" i="72"/>
  <c r="P68" i="72"/>
  <c r="Q68" i="72"/>
  <c r="P69" i="72"/>
  <c r="Q69" i="72"/>
  <c r="R69" i="72"/>
  <c r="P70" i="72"/>
  <c r="Q70" i="72"/>
  <c r="P71" i="72"/>
  <c r="Q71" i="72"/>
  <c r="P72" i="72"/>
  <c r="Q72" i="72"/>
  <c r="P73" i="72"/>
  <c r="Q73" i="72"/>
  <c r="P74" i="72"/>
  <c r="Q74" i="72"/>
  <c r="P75" i="72"/>
  <c r="Q75" i="72"/>
  <c r="P76" i="72"/>
  <c r="Q76" i="72"/>
  <c r="P77" i="72"/>
  <c r="Q77" i="72"/>
  <c r="P78" i="72"/>
  <c r="Q78" i="72"/>
  <c r="P79" i="72"/>
  <c r="Q79" i="72"/>
  <c r="P80" i="72"/>
  <c r="Q80" i="72"/>
  <c r="P81" i="72"/>
  <c r="Q81" i="72"/>
  <c r="P82" i="72"/>
  <c r="Q82" i="72"/>
  <c r="P83" i="72"/>
  <c r="Q83" i="72"/>
  <c r="P84" i="72"/>
  <c r="Q84" i="72"/>
  <c r="R84" i="72"/>
  <c r="P85" i="72"/>
  <c r="Q85" i="72"/>
  <c r="P86" i="72"/>
  <c r="Q86" i="72"/>
  <c r="P87" i="72"/>
  <c r="Q87" i="72"/>
  <c r="P88" i="72"/>
  <c r="Q88" i="72"/>
  <c r="P89" i="72"/>
  <c r="Q89" i="72"/>
  <c r="P90" i="72"/>
  <c r="Q90" i="72"/>
  <c r="P91" i="72"/>
  <c r="Q91" i="72"/>
  <c r="P92" i="72"/>
  <c r="Q92" i="72"/>
  <c r="P93" i="72"/>
  <c r="Q93" i="72"/>
  <c r="P94" i="72"/>
  <c r="Q94" i="72"/>
  <c r="P95" i="72"/>
  <c r="Q95" i="72"/>
  <c r="P96" i="72"/>
  <c r="Q96" i="72"/>
  <c r="P97" i="72"/>
  <c r="Q97" i="72"/>
  <c r="P98" i="72"/>
  <c r="Q98" i="72"/>
  <c r="P99" i="72"/>
  <c r="Q99" i="72"/>
  <c r="P100" i="72"/>
  <c r="Q100" i="72"/>
  <c r="P101" i="72"/>
  <c r="Q101" i="72"/>
  <c r="R101" i="72"/>
  <c r="P102" i="72"/>
  <c r="Q102" i="72"/>
  <c r="P103" i="72"/>
  <c r="Q103" i="72"/>
  <c r="P104" i="72"/>
  <c r="Q104" i="72"/>
  <c r="P105" i="72"/>
  <c r="Q105" i="72"/>
  <c r="P106" i="72"/>
  <c r="Q106" i="72"/>
  <c r="P107" i="72"/>
  <c r="Q107" i="72"/>
  <c r="P108" i="72"/>
  <c r="Q108" i="72"/>
  <c r="P109" i="72"/>
  <c r="Q109" i="72"/>
  <c r="P110" i="72"/>
  <c r="Q110" i="72"/>
  <c r="P111" i="72"/>
  <c r="Q111" i="72"/>
  <c r="P112" i="72"/>
  <c r="Q112" i="72"/>
  <c r="R112" i="72"/>
  <c r="P113" i="72"/>
  <c r="Q113" i="72"/>
  <c r="P114" i="72"/>
  <c r="Q114" i="72"/>
  <c r="P115" i="72"/>
  <c r="Q115" i="72"/>
  <c r="P116" i="72"/>
  <c r="Q116" i="72"/>
  <c r="P117" i="72"/>
  <c r="Q117" i="72"/>
  <c r="P118" i="72"/>
  <c r="Q118" i="72"/>
  <c r="P119" i="72"/>
  <c r="Q119" i="72"/>
  <c r="P120" i="72"/>
  <c r="Q120" i="72"/>
  <c r="P121" i="72"/>
  <c r="Q121" i="72"/>
  <c r="P122" i="72"/>
  <c r="Q122" i="72"/>
  <c r="P123" i="72"/>
  <c r="Q123" i="72"/>
  <c r="P124" i="72"/>
  <c r="Q124" i="72"/>
  <c r="P125" i="72"/>
  <c r="Q125" i="72"/>
  <c r="P126" i="72"/>
  <c r="Q126" i="72"/>
  <c r="P127" i="72"/>
  <c r="Q127" i="72"/>
  <c r="P128" i="72"/>
  <c r="Q128" i="72"/>
  <c r="P129" i="72"/>
  <c r="Q129" i="72"/>
  <c r="P130" i="72"/>
  <c r="Q130" i="72"/>
  <c r="P131" i="72"/>
  <c r="Q131" i="72"/>
  <c r="P132" i="72"/>
  <c r="Q132" i="72"/>
  <c r="R132" i="72"/>
  <c r="P133" i="72"/>
  <c r="Q133" i="72"/>
  <c r="P134" i="72"/>
  <c r="Q134" i="72"/>
  <c r="P135" i="72"/>
  <c r="Q135" i="72"/>
  <c r="P136" i="72"/>
  <c r="Q136" i="72"/>
  <c r="P137" i="72"/>
  <c r="Q137" i="72"/>
  <c r="P138" i="72"/>
  <c r="Q138" i="72"/>
  <c r="R138" i="72"/>
  <c r="P139" i="72"/>
  <c r="Q139" i="72"/>
  <c r="P140" i="72"/>
  <c r="Q140" i="72"/>
  <c r="P141" i="72"/>
  <c r="Q141" i="72"/>
  <c r="P142" i="72"/>
  <c r="Q142" i="72"/>
  <c r="P143" i="72"/>
  <c r="Q143" i="72"/>
  <c r="P144" i="72"/>
  <c r="Q144" i="72"/>
  <c r="P145" i="72"/>
  <c r="Q145" i="72"/>
  <c r="P146" i="72"/>
  <c r="Q146" i="72"/>
  <c r="P147" i="72"/>
  <c r="Q147" i="72"/>
  <c r="P148" i="72"/>
  <c r="Q148" i="72"/>
  <c r="P149" i="72"/>
  <c r="Q149" i="72"/>
  <c r="P150" i="72"/>
  <c r="Q150" i="72"/>
  <c r="P151" i="72"/>
  <c r="Q151" i="72"/>
  <c r="R151" i="72"/>
  <c r="P152" i="72"/>
  <c r="Q152" i="72"/>
  <c r="P153" i="72"/>
  <c r="Q153" i="72"/>
  <c r="P154" i="72"/>
  <c r="Q154" i="72"/>
  <c r="P155" i="72"/>
  <c r="Q155" i="72"/>
  <c r="P156" i="72"/>
  <c r="Q156" i="72"/>
  <c r="P157" i="72"/>
  <c r="Q157" i="72"/>
  <c r="P158" i="72"/>
  <c r="Q158" i="72"/>
  <c r="P159" i="72"/>
  <c r="Q159" i="72"/>
  <c r="P160" i="72"/>
  <c r="Q160" i="72"/>
  <c r="P161" i="72"/>
  <c r="Q161" i="72"/>
  <c r="P162" i="72"/>
  <c r="Q162" i="72"/>
  <c r="P163" i="72"/>
  <c r="Q163" i="72"/>
  <c r="P164" i="72"/>
  <c r="Q164" i="72"/>
  <c r="P165" i="72"/>
  <c r="Q165" i="72"/>
  <c r="P166" i="72"/>
  <c r="Q166" i="72"/>
  <c r="P167" i="72"/>
  <c r="Q167" i="72"/>
  <c r="P168" i="72"/>
  <c r="Q168" i="72"/>
  <c r="P169" i="72"/>
  <c r="Q169" i="72"/>
  <c r="P170" i="72"/>
  <c r="Q170" i="72"/>
  <c r="P171" i="72"/>
  <c r="Q171" i="72"/>
  <c r="P172" i="72"/>
  <c r="Q172" i="72"/>
  <c r="P173" i="72"/>
  <c r="Q173" i="72"/>
  <c r="P174" i="72"/>
  <c r="Q174" i="72"/>
  <c r="P175" i="72"/>
  <c r="Q175" i="72"/>
  <c r="R175" i="72"/>
  <c r="P177" i="72"/>
  <c r="Q177" i="72"/>
  <c r="Q2" i="72" l="1"/>
  <c r="P2" i="71" l="1"/>
  <c r="Q2" i="71"/>
  <c r="S159" i="61" l="1"/>
  <c r="R159" i="61"/>
  <c r="L159" i="61"/>
  <c r="S160" i="61"/>
  <c r="R160" i="61"/>
  <c r="R138" i="61" l="1"/>
  <c r="S164" i="61"/>
  <c r="R164" i="61"/>
  <c r="L164" i="61"/>
  <c r="S163" i="61"/>
  <c r="R163" i="61"/>
  <c r="L163" i="61"/>
  <c r="S162" i="61"/>
  <c r="R162" i="61"/>
  <c r="L162" i="61"/>
  <c r="S161" i="61"/>
  <c r="R161" i="61"/>
  <c r="L161" i="61"/>
  <c r="S158" i="61"/>
  <c r="R158" i="61"/>
  <c r="L158" i="61"/>
  <c r="S157" i="61"/>
  <c r="R157" i="61"/>
  <c r="S156" i="61"/>
  <c r="R156" i="61"/>
  <c r="S155" i="61"/>
  <c r="R155" i="61"/>
  <c r="L155" i="61"/>
  <c r="S154" i="61"/>
  <c r="R154" i="61"/>
  <c r="L154" i="61"/>
  <c r="S153" i="61"/>
  <c r="R153" i="61"/>
  <c r="L153" i="61"/>
  <c r="S152" i="61"/>
  <c r="R152" i="61"/>
  <c r="S151" i="61"/>
  <c r="R151" i="61"/>
  <c r="S150" i="61"/>
  <c r="R150" i="61"/>
  <c r="S149" i="61"/>
  <c r="R149" i="61"/>
  <c r="S148" i="61"/>
  <c r="R148" i="61"/>
  <c r="L148" i="61"/>
  <c r="S147" i="61"/>
  <c r="R147" i="61"/>
  <c r="S146" i="61"/>
  <c r="R146" i="61"/>
  <c r="S145" i="61"/>
  <c r="R145" i="61"/>
  <c r="L145" i="61"/>
  <c r="S144" i="61"/>
  <c r="R144" i="61"/>
  <c r="S143" i="61"/>
  <c r="R143" i="61"/>
  <c r="S142" i="61"/>
  <c r="R142" i="61"/>
  <c r="L142" i="61"/>
  <c r="S141" i="61"/>
  <c r="R141" i="61"/>
  <c r="L141" i="61"/>
  <c r="S140" i="61"/>
  <c r="R140" i="61"/>
  <c r="L140" i="61"/>
  <c r="S139" i="61"/>
  <c r="R139" i="61"/>
  <c r="S138" i="61"/>
  <c r="S137" i="61" l="1"/>
  <c r="R137" i="61"/>
  <c r="L137" i="61"/>
  <c r="S136" i="61"/>
  <c r="R136" i="61"/>
  <c r="L136" i="61"/>
  <c r="S135" i="61"/>
  <c r="R135" i="61"/>
  <c r="L135" i="61"/>
  <c r="S134" i="61"/>
  <c r="R134" i="61"/>
  <c r="S133" i="61"/>
  <c r="R133" i="61"/>
  <c r="L133" i="61"/>
  <c r="S132" i="61"/>
  <c r="R132" i="61"/>
  <c r="L132" i="61"/>
  <c r="S131" i="61"/>
  <c r="R131" i="61"/>
  <c r="S130" i="61"/>
  <c r="R130" i="61"/>
  <c r="L130" i="61"/>
  <c r="S129" i="61"/>
  <c r="R129" i="61"/>
  <c r="L129" i="61"/>
  <c r="S128" i="61"/>
  <c r="R128" i="61"/>
  <c r="L128" i="61"/>
  <c r="S127" i="61"/>
  <c r="R127" i="61"/>
  <c r="L127" i="61"/>
  <c r="S126" i="61"/>
  <c r="R126" i="61"/>
  <c r="L126" i="61"/>
  <c r="S125" i="61"/>
  <c r="R125" i="61"/>
  <c r="L125" i="61"/>
  <c r="S124" i="61"/>
  <c r="R124" i="61"/>
  <c r="L124" i="61"/>
  <c r="S123" i="61"/>
  <c r="R123" i="61"/>
  <c r="L123" i="61"/>
  <c r="S122" i="61"/>
  <c r="R122" i="61"/>
  <c r="L122" i="61"/>
  <c r="S121" i="61"/>
  <c r="R121" i="61"/>
  <c r="L121" i="61"/>
  <c r="S120" i="61"/>
  <c r="R120" i="61"/>
  <c r="S119" i="61"/>
  <c r="R119" i="61"/>
  <c r="L119" i="61"/>
  <c r="S118" i="61"/>
  <c r="R118" i="61"/>
  <c r="S117" i="61"/>
  <c r="R117" i="61"/>
  <c r="L117" i="61"/>
  <c r="S116" i="61"/>
  <c r="R116" i="61"/>
  <c r="L116" i="61"/>
  <c r="S115" i="61"/>
  <c r="R115" i="61"/>
  <c r="L115" i="61"/>
  <c r="S114" i="61"/>
  <c r="R114" i="61"/>
  <c r="L114" i="61"/>
  <c r="S113" i="61"/>
  <c r="R113" i="61"/>
  <c r="S112" i="61"/>
  <c r="R112" i="61"/>
  <c r="S111" i="61"/>
  <c r="R111" i="61"/>
  <c r="S110" i="61"/>
  <c r="R110" i="61"/>
  <c r="S109" i="61"/>
  <c r="R109" i="61"/>
  <c r="L109" i="61"/>
  <c r="S108" i="61"/>
  <c r="R108" i="61"/>
  <c r="L108" i="61"/>
  <c r="S59" i="61" l="1"/>
  <c r="R81" i="61"/>
  <c r="R82" i="61"/>
  <c r="R67" i="61"/>
  <c r="S94" i="61" l="1"/>
  <c r="R94" i="61"/>
  <c r="S82" i="61"/>
  <c r="S81" i="61"/>
  <c r="S67" i="61"/>
  <c r="R59" i="61"/>
  <c r="S56" i="61"/>
  <c r="R56" i="61"/>
  <c r="R29" i="61"/>
  <c r="R30" i="61"/>
  <c r="R31" i="61"/>
  <c r="S31" i="61"/>
  <c r="S30" i="61"/>
  <c r="S29" i="61"/>
  <c r="S46" i="61"/>
  <c r="R46" i="61"/>
  <c r="S14" i="61"/>
  <c r="R14" i="61"/>
  <c r="S107" i="61" l="1"/>
  <c r="R107" i="61"/>
  <c r="L107" i="61"/>
  <c r="S106" i="61"/>
  <c r="R106" i="61"/>
  <c r="S105" i="61"/>
  <c r="R105" i="61"/>
  <c r="L105" i="61"/>
  <c r="S104" i="61"/>
  <c r="R104" i="61"/>
  <c r="L104" i="61"/>
  <c r="S103" i="61"/>
  <c r="R103" i="61"/>
  <c r="L103" i="61"/>
  <c r="S102" i="61"/>
  <c r="R102" i="61"/>
  <c r="L102" i="61"/>
  <c r="S101" i="61"/>
  <c r="R101" i="61"/>
  <c r="L101" i="61"/>
  <c r="S100" i="61"/>
  <c r="R100" i="61"/>
  <c r="L100" i="61"/>
  <c r="S99" i="61"/>
  <c r="R99" i="61"/>
  <c r="S98" i="61"/>
  <c r="R98" i="61"/>
  <c r="S97" i="61"/>
  <c r="R97" i="61"/>
  <c r="L97" i="61"/>
  <c r="S96" i="61"/>
  <c r="R96" i="61"/>
  <c r="L96" i="61"/>
  <c r="S95" i="61"/>
  <c r="R95" i="61"/>
  <c r="S93" i="61"/>
  <c r="R93" i="61"/>
  <c r="L93" i="61"/>
  <c r="S92" i="61"/>
  <c r="R92" i="61"/>
  <c r="L92" i="61"/>
  <c r="S91" i="61"/>
  <c r="R91" i="61"/>
  <c r="L91" i="61"/>
  <c r="S90" i="61"/>
  <c r="R90" i="61"/>
  <c r="S89" i="61"/>
  <c r="R89" i="61"/>
  <c r="L89" i="61"/>
  <c r="S88" i="61"/>
  <c r="R88" i="61"/>
  <c r="L88" i="61"/>
  <c r="S87" i="61"/>
  <c r="R87" i="61"/>
  <c r="L87" i="61"/>
  <c r="S86" i="61"/>
  <c r="R86" i="61"/>
  <c r="L86" i="61"/>
  <c r="S85" i="61"/>
  <c r="R85" i="61"/>
  <c r="L85" i="61"/>
  <c r="S84" i="61"/>
  <c r="R84" i="61"/>
  <c r="S83" i="61"/>
  <c r="R83" i="61"/>
  <c r="S80" i="61"/>
  <c r="R80" i="61"/>
  <c r="S79" i="61"/>
  <c r="R79" i="61"/>
  <c r="S78" i="61"/>
  <c r="R78" i="61"/>
  <c r="S77" i="61"/>
  <c r="R77" i="61"/>
  <c r="S76" i="61"/>
  <c r="R76" i="61"/>
  <c r="L76" i="61"/>
  <c r="S75" i="61"/>
  <c r="R75" i="61"/>
  <c r="L75" i="61"/>
  <c r="S74" i="61"/>
  <c r="R74" i="61"/>
  <c r="L74" i="61"/>
  <c r="S73" i="61"/>
  <c r="R73" i="61"/>
  <c r="L73" i="61"/>
  <c r="S72" i="61"/>
  <c r="R72" i="61"/>
  <c r="L72" i="61"/>
  <c r="S71" i="61"/>
  <c r="R71" i="61"/>
  <c r="L71" i="61"/>
  <c r="S70" i="61"/>
  <c r="R70" i="61"/>
  <c r="L70" i="61"/>
  <c r="S69" i="61"/>
  <c r="R69" i="61"/>
  <c r="S68" i="61"/>
  <c r="R68" i="61"/>
  <c r="S66" i="61"/>
  <c r="R66" i="61"/>
  <c r="L66" i="61"/>
  <c r="S65" i="61"/>
  <c r="R65" i="61"/>
  <c r="S64" i="61"/>
  <c r="R64" i="61"/>
  <c r="L64" i="61"/>
  <c r="S63" i="61"/>
  <c r="R63" i="61"/>
  <c r="L63" i="61"/>
  <c r="S62" i="61"/>
  <c r="R62" i="61"/>
  <c r="L62" i="61"/>
  <c r="S61" i="61"/>
  <c r="R61" i="61"/>
  <c r="L61" i="61"/>
  <c r="S60" i="61"/>
  <c r="R60" i="61"/>
  <c r="L60" i="61"/>
  <c r="S58" i="61"/>
  <c r="R58" i="61"/>
  <c r="L58" i="61"/>
  <c r="S57" i="61"/>
  <c r="R57" i="61"/>
  <c r="L57" i="61"/>
  <c r="S55" i="61"/>
  <c r="R55" i="61"/>
  <c r="L55" i="61"/>
  <c r="S54" i="61"/>
  <c r="R54" i="61"/>
  <c r="L54" i="61"/>
  <c r="S53" i="61"/>
  <c r="R53" i="61"/>
  <c r="L53" i="61"/>
  <c r="S52" i="61"/>
  <c r="R52" i="61"/>
  <c r="S51" i="61"/>
  <c r="R51" i="61"/>
  <c r="L51" i="61"/>
  <c r="S50" i="61"/>
  <c r="R50" i="61"/>
  <c r="L50" i="61"/>
  <c r="S49" i="61"/>
  <c r="R49" i="61"/>
  <c r="L49" i="61"/>
  <c r="S48" i="61"/>
  <c r="R48" i="61"/>
  <c r="L48" i="61"/>
  <c r="S47" i="61"/>
  <c r="R47" i="61"/>
  <c r="L47" i="61"/>
  <c r="S45" i="61"/>
  <c r="R45" i="61"/>
  <c r="L45" i="61"/>
  <c r="S44" i="61"/>
  <c r="R44" i="61"/>
  <c r="L44" i="61"/>
  <c r="S43" i="61"/>
  <c r="R43" i="61"/>
  <c r="S42" i="61"/>
  <c r="R42" i="61"/>
  <c r="S41" i="61"/>
  <c r="R41" i="61"/>
  <c r="L41" i="61"/>
  <c r="S40" i="61"/>
  <c r="R40" i="61"/>
  <c r="L40" i="61"/>
  <c r="S39" i="61"/>
  <c r="R39" i="61"/>
  <c r="L39" i="61"/>
  <c r="S38" i="61"/>
  <c r="R38" i="61"/>
  <c r="L38" i="61"/>
  <c r="S37" i="61"/>
  <c r="R37" i="61"/>
  <c r="S36" i="61"/>
  <c r="R36" i="61"/>
  <c r="L36" i="61"/>
  <c r="S35" i="61"/>
  <c r="R35" i="61"/>
  <c r="L35" i="61"/>
  <c r="S34" i="61"/>
  <c r="R34" i="61"/>
  <c r="L34" i="61"/>
  <c r="S33" i="61"/>
  <c r="R33" i="61"/>
  <c r="L33" i="61"/>
  <c r="S32" i="61"/>
  <c r="R32" i="61"/>
  <c r="L32" i="61"/>
  <c r="S28" i="61"/>
  <c r="R28" i="61"/>
  <c r="L28" i="61"/>
  <c r="S27" i="61"/>
  <c r="R27" i="61"/>
  <c r="L27" i="61"/>
  <c r="S26" i="61"/>
  <c r="R26" i="61"/>
  <c r="L26" i="61"/>
  <c r="S25" i="61"/>
  <c r="R25" i="61"/>
  <c r="L25" i="61"/>
  <c r="S24" i="61"/>
  <c r="R24" i="61"/>
  <c r="L24" i="61"/>
  <c r="S23" i="61"/>
  <c r="R23" i="61"/>
  <c r="L23" i="61"/>
  <c r="S22" i="61"/>
  <c r="R22" i="61"/>
  <c r="L22" i="61"/>
  <c r="S21" i="61"/>
  <c r="R21" i="61"/>
  <c r="L21" i="61"/>
  <c r="S20" i="61"/>
  <c r="R20" i="61"/>
  <c r="L20" i="61"/>
  <c r="S19" i="61"/>
  <c r="R19" i="61"/>
  <c r="L19" i="61"/>
  <c r="S18" i="61"/>
  <c r="R18" i="61"/>
  <c r="L18" i="61"/>
  <c r="S17" i="61"/>
  <c r="R17" i="61"/>
  <c r="L17" i="61"/>
  <c r="S16" i="61"/>
  <c r="R16" i="61"/>
  <c r="L16" i="61"/>
  <c r="S15" i="61"/>
  <c r="R15" i="61"/>
  <c r="L15" i="61"/>
  <c r="S13" i="61"/>
  <c r="R13" i="61"/>
  <c r="L13" i="61"/>
  <c r="S12" i="61"/>
  <c r="R12" i="61"/>
  <c r="L12" i="61"/>
  <c r="S11" i="61"/>
  <c r="R11" i="61"/>
  <c r="L11" i="61"/>
  <c r="S10" i="61"/>
  <c r="R10" i="61"/>
  <c r="S9" i="61"/>
  <c r="R9" i="61"/>
  <c r="L9" i="61"/>
  <c r="S8" i="61"/>
  <c r="R8" i="61"/>
  <c r="L8" i="61"/>
  <c r="S7" i="61"/>
  <c r="R7" i="61"/>
  <c r="L7" i="61"/>
  <c r="S6" i="61"/>
  <c r="R6" i="61"/>
  <c r="L6" i="61"/>
  <c r="S5" i="61"/>
  <c r="R5" i="61"/>
  <c r="L5" i="61"/>
  <c r="S4" i="61"/>
  <c r="R4" i="61"/>
  <c r="L4" i="61"/>
  <c r="S3" i="61"/>
  <c r="R3" i="61"/>
  <c r="L3" i="61"/>
  <c r="S2" i="61"/>
  <c r="R2" i="61"/>
  <c r="L2" i="6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H20" authorId="0" shapeId="0" xr:uid="{00000000-0006-0000-0000-000001000000}">
      <text>
        <r>
          <rPr>
            <b/>
            <sz val="9"/>
            <color indexed="81"/>
            <rFont val="돋움"/>
            <family val="3"/>
            <charset val="129"/>
          </rPr>
          <t>브랜뉴신촌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과평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폐강</t>
        </r>
        <r>
          <rPr>
            <b/>
            <sz val="9"/>
            <color indexed="81"/>
            <rFont val="Tahoma"/>
            <family val="2"/>
          </rPr>
          <t xml:space="preserve"> 
1</t>
        </r>
        <r>
          <rPr>
            <b/>
            <sz val="9"/>
            <color indexed="81"/>
            <rFont val="돋움"/>
            <family val="3"/>
            <charset val="129"/>
          </rPr>
          <t>과정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제외</t>
        </r>
      </text>
    </comment>
    <comment ref="W20" authorId="0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브랜뉴신촌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과평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폐강</t>
        </r>
        <r>
          <rPr>
            <b/>
            <sz val="9"/>
            <color indexed="81"/>
            <rFont val="Tahoma"/>
            <family val="2"/>
          </rPr>
          <t xml:space="preserve"> 
1</t>
        </r>
        <r>
          <rPr>
            <b/>
            <sz val="9"/>
            <color indexed="81"/>
            <rFont val="돋움"/>
            <family val="3"/>
            <charset val="129"/>
          </rPr>
          <t>과정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제외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J4" authorId="0" shapeId="0" xr:uid="{49822569-23F0-4931-AA88-100F2E1CD46F}">
      <text>
        <r>
          <rPr>
            <b/>
            <sz val="9"/>
            <color indexed="81"/>
            <rFont val="Tahoma"/>
            <family val="2"/>
          </rPr>
          <t>2025-12-30~2026-06-26
2026-01-13</t>
        </r>
      </text>
    </comment>
    <comment ref="N6" authorId="0" shapeId="0" xr:uid="{E389B231-7161-4F71-9347-E42683DF6D9B}">
      <text>
        <r>
          <rPr>
            <b/>
            <sz val="9"/>
            <color indexed="81"/>
            <rFont val="돋움"/>
            <family val="3"/>
            <charset val="129"/>
          </rPr>
          <t>합격</t>
        </r>
        <r>
          <rPr>
            <b/>
            <sz val="9"/>
            <color indexed="81"/>
            <rFont val="Tahoma"/>
            <family val="2"/>
          </rPr>
          <t xml:space="preserve">9
</t>
        </r>
        <r>
          <rPr>
            <b/>
            <sz val="9"/>
            <color indexed="81"/>
            <rFont val="돋움"/>
            <family val="3"/>
            <charset val="129"/>
          </rPr>
          <t>대기</t>
        </r>
        <r>
          <rPr>
            <b/>
            <sz val="9"/>
            <color indexed="81"/>
            <rFont val="Tahoma"/>
            <family val="2"/>
          </rPr>
          <t xml:space="preserve">1
</t>
        </r>
        <r>
          <rPr>
            <b/>
            <sz val="9"/>
            <color indexed="81"/>
            <rFont val="돋움"/>
            <family val="3"/>
            <charset val="129"/>
          </rPr>
          <t>불합격</t>
        </r>
        <r>
          <rPr>
            <b/>
            <sz val="9"/>
            <color indexed="81"/>
            <rFont val="Tahoma"/>
            <family val="2"/>
          </rPr>
          <t xml:space="preserve"> 13
</t>
        </r>
      </text>
    </comment>
    <comment ref="J7" authorId="0" shapeId="0" xr:uid="{97141405-F6AC-4AF9-AF8E-54E85C0A1A09}">
      <text>
        <r>
          <rPr>
            <b/>
            <sz val="9"/>
            <color indexed="81"/>
            <rFont val="Tahoma"/>
            <family val="2"/>
          </rPr>
          <t>2026-01-13</t>
        </r>
      </text>
    </comment>
    <comment ref="J12" authorId="0" shapeId="0" xr:uid="{B859AF6C-C5BA-4BAF-9156-66070794B7C2}">
      <text>
        <r>
          <rPr>
            <b/>
            <sz val="9"/>
            <color indexed="81"/>
            <rFont val="Tahoma"/>
            <family val="2"/>
          </rPr>
          <t>2026-02-03</t>
        </r>
      </text>
    </comment>
    <comment ref="K12" authorId="0" shapeId="0" xr:uid="{E4E5F706-DAEA-4773-BFBB-F02A6DB8FFD4}">
      <text>
        <r>
          <rPr>
            <b/>
            <sz val="9"/>
            <color indexed="81"/>
            <rFont val="Tahoma"/>
            <family val="2"/>
          </rPr>
          <t>2026-07-22</t>
        </r>
      </text>
    </comment>
    <comment ref="J13" authorId="0" shapeId="0" xr:uid="{BD7EF66A-F8C6-49C7-BE8A-9BE3137CDA3C}">
      <text>
        <r>
          <rPr>
            <b/>
            <sz val="9"/>
            <color indexed="81"/>
            <rFont val="Tahoma"/>
            <family val="2"/>
          </rPr>
          <t>2026-01-20</t>
        </r>
      </text>
    </comment>
    <comment ref="J19" authorId="0" shapeId="0" xr:uid="{C5B10963-C810-4C9C-B6E9-E9B51C848C79}">
      <text>
        <r>
          <rPr>
            <b/>
            <sz val="9"/>
            <color indexed="81"/>
            <rFont val="Tahoma"/>
            <family val="2"/>
          </rPr>
          <t>2026-02-24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/>
    <author>Administrator</author>
  </authors>
  <commentList>
    <comment ref="J7" authorId="0" shapeId="0" xr:uid="{F7BD2E96-58A8-4EFB-9A92-A499480FB616}">
      <text>
        <r>
          <rPr>
            <b/>
            <sz val="9"/>
            <color indexed="81"/>
            <rFont val="Tahoma"/>
            <family val="2"/>
          </rPr>
          <t>2025-01-13</t>
        </r>
      </text>
    </comment>
    <comment ref="J10" authorId="1" shapeId="0" xr:uid="{09B23B8A-EF2D-4B4D-A2C3-A1A141C67573}">
      <text>
        <r>
          <rPr>
            <sz val="10"/>
            <color rgb="FF000000"/>
            <rFont val="맑은 고딕"/>
            <family val="2"/>
            <scheme val="minor"/>
          </rPr>
          <t>2025-02-05</t>
        </r>
      </text>
    </comment>
    <comment ref="K14" authorId="1" shapeId="0" xr:uid="{F725C22E-CA32-47AD-A8C6-E1AC5E156504}">
      <text>
        <r>
          <rPr>
            <sz val="10"/>
            <color rgb="FF000000"/>
            <rFont val="맑은 고딕"/>
            <family val="2"/>
            <scheme val="minor"/>
          </rPr>
          <t>2025-05-15</t>
        </r>
      </text>
    </comment>
    <comment ref="J15" authorId="1" shapeId="0" xr:uid="{0DD2F10F-7798-4CCF-8994-1D771F464B23}">
      <text>
        <r>
          <rPr>
            <sz val="10"/>
            <color rgb="FF000000"/>
            <rFont val="맑은 고딕"/>
            <family val="2"/>
            <scheme val="minor"/>
          </rPr>
          <t>2025-02-04
2025-01-16</t>
        </r>
      </text>
    </comment>
    <comment ref="J17" authorId="1" shapeId="0" xr:uid="{F0AB13C0-1777-4814-BC29-A34B21DE9CF5}">
      <text>
        <r>
          <rPr>
            <sz val="10"/>
            <color rgb="FF000000"/>
            <rFont val="맑은 고딕"/>
            <family val="2"/>
            <scheme val="minor"/>
          </rPr>
          <t>2025-02-18</t>
        </r>
      </text>
    </comment>
    <comment ref="J21" authorId="1" shapeId="0" xr:uid="{A6E32D36-0B68-4A43-AA28-0EBDF7E676B7}">
      <text>
        <r>
          <rPr>
            <sz val="10"/>
            <color rgb="FF000000"/>
            <rFont val="맑은 고딕"/>
            <family val="2"/>
            <scheme val="minor"/>
          </rPr>
          <t>2025-02-13
2025-01-22</t>
        </r>
      </text>
    </comment>
    <comment ref="J29" authorId="1" shapeId="0" xr:uid="{44BD470B-2826-468A-B73D-8B6597DD5D2E}">
      <text>
        <r>
          <rPr>
            <sz val="10"/>
            <color rgb="FF000000"/>
            <rFont val="맑은 고딕"/>
            <family val="2"/>
            <scheme val="minor"/>
          </rPr>
          <t>2025-03-04
2025-02-25</t>
        </r>
      </text>
    </comment>
    <comment ref="J33" authorId="1" shapeId="0" xr:uid="{5425E9AB-30B2-4EB7-8EDF-DF4A53572337}">
      <text>
        <r>
          <rPr>
            <sz val="10"/>
            <color rgb="FF000000"/>
            <rFont val="맑은 고딕"/>
            <family val="2"/>
            <scheme val="minor"/>
          </rPr>
          <t>2025-02-28</t>
        </r>
      </text>
    </comment>
    <comment ref="J38" authorId="1" shapeId="0" xr:uid="{C62DAA98-5F4D-46FB-ABA1-FA0BEE31C96D}">
      <text>
        <r>
          <rPr>
            <sz val="10"/>
            <color rgb="FF000000"/>
            <rFont val="맑은 고딕"/>
            <family val="2"/>
            <scheme val="minor"/>
          </rPr>
          <t>2025-03-13</t>
        </r>
      </text>
    </comment>
    <comment ref="K40" authorId="1" shapeId="0" xr:uid="{E556324D-3F51-4355-9626-70FCD2987020}">
      <text>
        <r>
          <rPr>
            <sz val="10"/>
            <color rgb="FF000000"/>
            <rFont val="맑은 고딕"/>
            <family val="2"/>
            <scheme val="minor"/>
          </rPr>
          <t>2025-11-19</t>
        </r>
      </text>
    </comment>
    <comment ref="J41" authorId="1" shapeId="0" xr:uid="{BEB6E8B8-38B1-40D1-9D1A-7E3C8F997042}">
      <text>
        <r>
          <rPr>
            <sz val="10"/>
            <color rgb="FF000000"/>
            <rFont val="맑은 고딕"/>
            <family val="2"/>
            <scheme val="minor"/>
          </rPr>
          <t>2025-03-13</t>
        </r>
      </text>
    </comment>
    <comment ref="J42" authorId="1" shapeId="0" xr:uid="{F63DA501-4B11-49BB-A0AC-83BD5521BFEC}">
      <text>
        <r>
          <rPr>
            <sz val="10"/>
            <color rgb="FF000000"/>
            <rFont val="맑은 고딕"/>
            <family val="2"/>
            <scheme val="minor"/>
          </rPr>
          <t>2025-03-25</t>
        </r>
      </text>
    </comment>
    <comment ref="G43" authorId="1" shapeId="0" xr:uid="{5D60D5B0-E52A-4F16-A602-78EFA9B65361}">
      <text>
        <r>
          <rPr>
            <sz val="10"/>
            <color rgb="FF000000"/>
            <rFont val="맑은 고딕"/>
            <family val="2"/>
            <scheme val="minor"/>
          </rPr>
          <t xml:space="preserve">(산대특) JAVA&amp;Python기반 빅데이터 분석 활용 AI플랫폼 개발자 양성과정 </t>
        </r>
      </text>
    </comment>
    <comment ref="J43" authorId="1" shapeId="0" xr:uid="{4F00BD6D-E18A-4201-BAD3-C8CDA542E5F0}">
      <text>
        <r>
          <rPr>
            <sz val="10"/>
            <color rgb="FF000000"/>
            <rFont val="맑은 고딕"/>
            <family val="2"/>
            <scheme val="minor"/>
          </rPr>
          <t>2025-02-27
2025-03-27</t>
        </r>
      </text>
    </comment>
    <comment ref="M43" authorId="0" shapeId="0" xr:uid="{087BD91E-76DA-4768-88D4-CA9C84C9A38E}">
      <text>
        <r>
          <rPr>
            <b/>
            <sz val="9"/>
            <color indexed="81"/>
            <rFont val="돋움"/>
            <family val="3"/>
            <charset val="129"/>
          </rPr>
          <t>오타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정정
</t>
        </r>
        <r>
          <rPr>
            <b/>
            <sz val="9"/>
            <color indexed="81"/>
            <rFont val="Tahoma"/>
            <family val="2"/>
          </rPr>
          <t xml:space="preserve">8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 18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 17</t>
        </r>
      </text>
    </comment>
    <comment ref="J44" authorId="1" shapeId="0" xr:uid="{6412DC0A-3CF2-4FDF-87A7-5A2F1FE7FB18}">
      <text>
        <r>
          <rPr>
            <sz val="10"/>
            <color rgb="FF000000"/>
            <rFont val="맑은 고딕"/>
            <family val="2"/>
            <scheme val="minor"/>
          </rPr>
          <t>2025-03-26
2025-03-12
2025-03-19</t>
        </r>
      </text>
    </comment>
    <comment ref="J47" authorId="1" shapeId="0" xr:uid="{3C805863-88F8-43E9-8DAE-F92902057C99}">
      <text>
        <r>
          <rPr>
            <sz val="10"/>
            <color rgb="FF000000"/>
            <rFont val="맑은 고딕"/>
            <family val="2"/>
            <scheme val="minor"/>
          </rPr>
          <t>2025-03-04</t>
        </r>
      </text>
    </comment>
    <comment ref="K52" authorId="1" shapeId="0" xr:uid="{7BD59A1A-F97E-49D1-AACB-7B5F69F73DD2}">
      <text>
        <r>
          <rPr>
            <sz val="10"/>
            <color rgb="FF000000"/>
            <rFont val="맑은 고딕"/>
            <family val="2"/>
            <scheme val="minor"/>
          </rPr>
          <t>2025-06-04</t>
        </r>
      </text>
    </comment>
    <comment ref="J58" authorId="1" shapeId="0" xr:uid="{57D58815-4745-41DB-AB78-C004E2ECFC1D}">
      <text>
        <r>
          <rPr>
            <sz val="10"/>
            <color rgb="FF000000"/>
            <rFont val="맑은 고딕"/>
            <family val="2"/>
            <scheme val="minor"/>
          </rPr>
          <t>2025-04-15
2025-03-25</t>
        </r>
      </text>
    </comment>
    <comment ref="J59" authorId="1" shapeId="0" xr:uid="{B12A50CF-982C-4DE6-B89A-A45A7594F5D6}">
      <text>
        <r>
          <rPr>
            <sz val="10"/>
            <color rgb="FF000000"/>
            <rFont val="맑은 고딕"/>
            <family val="2"/>
            <scheme val="minor"/>
          </rPr>
          <t>2025-04-07
2025-04-14</t>
        </r>
      </text>
    </comment>
    <comment ref="J60" authorId="1" shapeId="0" xr:uid="{61A5200D-1E74-4145-A008-C6BC42D7EB13}">
      <text>
        <r>
          <rPr>
            <sz val="10"/>
            <color rgb="FF000000"/>
            <rFont val="맑은 고딕"/>
            <family val="2"/>
            <scheme val="minor"/>
          </rPr>
          <t>2024-04-24
2025-04-15</t>
        </r>
      </text>
    </comment>
    <comment ref="J65" authorId="1" shapeId="0" xr:uid="{A4DE2E4D-0BFF-4FF0-8939-0C393F515047}">
      <text>
        <r>
          <rPr>
            <sz val="10"/>
            <color rgb="FF000000"/>
            <rFont val="맑은 고딕"/>
            <family val="2"/>
            <scheme val="minor"/>
          </rPr>
          <t>2025-05-12</t>
        </r>
      </text>
    </comment>
    <comment ref="J71" authorId="1" shapeId="0" xr:uid="{A7162140-9883-44F4-9508-0E39623C7F1B}">
      <text>
        <r>
          <rPr>
            <sz val="10"/>
            <color rgb="FF000000"/>
            <rFont val="맑은 고딕"/>
            <family val="2"/>
            <scheme val="minor"/>
          </rPr>
          <t>2025-05-19</t>
        </r>
      </text>
    </comment>
    <comment ref="K71" authorId="1" shapeId="0" xr:uid="{BC28976B-2080-46EA-A936-DEDB607C8E1D}">
      <text>
        <r>
          <rPr>
            <sz val="10"/>
            <color rgb="FF000000"/>
            <rFont val="맑은 고딕"/>
            <family val="2"/>
            <scheme val="minor"/>
          </rPr>
          <t>2025-11-11</t>
        </r>
      </text>
    </comment>
    <comment ref="I73" authorId="1" shapeId="0" xr:uid="{080732DF-DC9B-4DC0-9711-F6DC735836AF}">
      <text>
        <r>
          <rPr>
            <sz val="10"/>
            <color rgb="FF000000"/>
            <rFont val="맑은 고딕"/>
            <family val="2"/>
            <scheme val="minor"/>
          </rPr>
          <t>2025-03-26
2025-03-12
2025-03-19</t>
        </r>
      </text>
    </comment>
    <comment ref="J73" authorId="1" shapeId="0" xr:uid="{6952A6F8-C05D-41FC-B1A1-72E26A934ECD}">
      <text>
        <r>
          <rPr>
            <sz val="10"/>
            <color rgb="FF000000"/>
            <rFont val="맑은 고딕"/>
            <family val="2"/>
            <scheme val="minor"/>
          </rPr>
          <t>2025-04-15</t>
        </r>
      </text>
    </comment>
    <comment ref="K74" authorId="1" shapeId="0" xr:uid="{3231E68E-FAA6-43A6-BB9B-A5512DE9CDE3}">
      <text>
        <r>
          <rPr>
            <sz val="10"/>
            <color rgb="FF000000"/>
            <rFont val="맑은 고딕"/>
            <family val="2"/>
            <scheme val="minor"/>
          </rPr>
          <t>2025-11-07</t>
        </r>
      </text>
    </comment>
    <comment ref="J76" authorId="1" shapeId="0" xr:uid="{6B7118B1-CA27-462E-BF96-7A3EE93738E6}">
      <text>
        <r>
          <rPr>
            <sz val="10"/>
            <color rgb="FF000000"/>
            <rFont val="맑은 고딕"/>
            <family val="2"/>
            <scheme val="minor"/>
          </rPr>
          <t>2025-06-03</t>
        </r>
      </text>
    </comment>
    <comment ref="J79" authorId="1" shapeId="0" xr:uid="{1F9C25C0-DC5B-4A32-94B6-56DE8B16317C}">
      <text>
        <r>
          <rPr>
            <sz val="10"/>
            <color rgb="FF000000"/>
            <rFont val="맑은 고딕"/>
            <family val="2"/>
            <scheme val="minor"/>
          </rPr>
          <t>2025-05-30
2025-05-28
2025-05-13</t>
        </r>
      </text>
    </comment>
    <comment ref="J80" authorId="1" shapeId="0" xr:uid="{8A551677-3552-4320-83B3-63EFA390E682}">
      <text>
        <r>
          <rPr>
            <sz val="10"/>
            <color rgb="FF000000"/>
            <rFont val="맑은 고딕"/>
            <family val="2"/>
            <scheme val="minor"/>
          </rPr>
          <t>2025-05-29
2025-05-20</t>
        </r>
      </text>
    </comment>
    <comment ref="J82" authorId="1" shapeId="0" xr:uid="{C4541000-3040-43A7-9088-427A2B333319}">
      <text>
        <r>
          <rPr>
            <sz val="10"/>
            <color rgb="FF000000"/>
            <rFont val="맑은 고딕"/>
            <family val="2"/>
            <scheme val="minor"/>
          </rPr>
          <t>2025-06-04</t>
        </r>
      </text>
    </comment>
    <comment ref="J90" authorId="1" shapeId="0" xr:uid="{7F70FFA8-15AB-4754-90D6-C5154D4E400E}">
      <text>
        <r>
          <rPr>
            <sz val="10"/>
            <color rgb="FF000000"/>
            <rFont val="맑은 고딕"/>
            <family val="2"/>
            <scheme val="minor"/>
          </rPr>
          <t>2025-06-17</t>
        </r>
      </text>
    </comment>
    <comment ref="J91" authorId="0" shapeId="0" xr:uid="{5A1062C5-DED3-4A19-B325-40548BBFC554}">
      <text>
        <r>
          <rPr>
            <b/>
            <sz val="9"/>
            <color indexed="81"/>
            <rFont val="Tahoma"/>
            <family val="2"/>
          </rPr>
          <t>2025-06-12</t>
        </r>
      </text>
    </comment>
    <comment ref="J92" authorId="1" shapeId="0" xr:uid="{B5FF7229-09C6-4D38-94BD-5B93F4209F16}">
      <text>
        <r>
          <rPr>
            <sz val="10"/>
            <color rgb="FF000000"/>
            <rFont val="맑은 고딕"/>
            <family val="2"/>
            <scheme val="minor"/>
          </rPr>
          <t>2025-06-18
2025-05-30</t>
        </r>
      </text>
    </comment>
    <comment ref="K92" authorId="1" shapeId="0" xr:uid="{7C2FBAAB-584F-4804-8C66-6299E086D87A}">
      <text>
        <r>
          <rPr>
            <sz val="10"/>
            <color rgb="FF000000"/>
            <rFont val="맑은 고딕"/>
            <family val="2"/>
            <scheme val="minor"/>
          </rPr>
          <t>2025-11-10</t>
        </r>
      </text>
    </comment>
    <comment ref="J93" authorId="1" shapeId="0" xr:uid="{2BA265FE-ADF2-4BCA-820A-4E4AE99365BD}">
      <text>
        <r>
          <rPr>
            <sz val="10"/>
            <color rgb="FF000000"/>
            <rFont val="맑은 고딕"/>
            <family val="2"/>
            <scheme val="minor"/>
          </rPr>
          <t>2025-06-12</t>
        </r>
      </text>
    </comment>
    <comment ref="J96" authorId="1" shapeId="0" xr:uid="{41346C67-5302-47C4-9230-C081663A0E27}">
      <text>
        <r>
          <rPr>
            <sz val="10"/>
            <color rgb="FF000000"/>
            <rFont val="맑은 고딕"/>
            <family val="2"/>
            <scheme val="minor"/>
          </rPr>
          <t>2025-06-19
2025-05-12</t>
        </r>
      </text>
    </comment>
    <comment ref="J97" authorId="1" shapeId="0" xr:uid="{2C80035F-B5B8-4F00-9715-06DEED95E7D9}">
      <text>
        <r>
          <rPr>
            <sz val="10"/>
            <color rgb="FF000000"/>
            <rFont val="맑은 고딕"/>
            <family val="2"/>
            <scheme val="minor"/>
          </rPr>
          <t>2025-06-27
2025-06-26
2025-05-07</t>
        </r>
      </text>
    </comment>
    <comment ref="G99" authorId="1" shapeId="0" xr:uid="{9F5F834D-9599-40E7-8C24-EB734F1232D5}">
      <text>
        <r>
          <rPr>
            <sz val="10"/>
            <color rgb="FF000000"/>
            <rFont val="맑은 고딕"/>
            <family val="2"/>
            <scheme val="minor"/>
          </rPr>
          <t>(디지털컨버전스) 공공데이터 융합 풀스택 개발자 양성과정P</t>
        </r>
      </text>
    </comment>
    <comment ref="J100" authorId="1" shapeId="0" xr:uid="{95A4D8D3-DA40-4882-9D31-B4DB06818A16}">
      <text>
        <r>
          <rPr>
            <sz val="10"/>
            <color rgb="FF000000"/>
            <rFont val="맑은 고딕"/>
            <family val="2"/>
            <scheme val="minor"/>
          </rPr>
          <t>2025-06-12</t>
        </r>
      </text>
    </comment>
    <comment ref="J101" authorId="1" shapeId="0" xr:uid="{B513F5B2-DE99-4C7A-BACC-EBD1BDB2B7A0}">
      <text>
        <r>
          <rPr>
            <sz val="10"/>
            <color rgb="FF000000"/>
            <rFont val="맑은 고딕"/>
            <family val="2"/>
            <scheme val="minor"/>
          </rPr>
          <t>2025-06-30</t>
        </r>
      </text>
    </comment>
    <comment ref="J102" authorId="1" shapeId="0" xr:uid="{D7B38A90-8503-46E9-B451-649AF37395C5}">
      <text>
        <r>
          <rPr>
            <sz val="10"/>
            <color rgb="FF000000"/>
            <rFont val="맑은 고딕"/>
            <family val="2"/>
            <scheme val="minor"/>
          </rPr>
          <t>2025-07-15</t>
        </r>
      </text>
    </comment>
    <comment ref="J106" authorId="1" shapeId="0" xr:uid="{CC1F36E3-EEEC-497D-824D-426A3E60A62E}">
      <text>
        <r>
          <rPr>
            <sz val="10"/>
            <color rgb="FF000000"/>
            <rFont val="맑은 고딕"/>
            <family val="2"/>
            <scheme val="minor"/>
          </rPr>
          <t>2025-07-28
2025-07-15
2025-05-22</t>
        </r>
      </text>
    </comment>
    <comment ref="J107" authorId="1" shapeId="0" xr:uid="{3A96D869-63A0-45AC-9977-223B5A6A4A5D}">
      <text>
        <r>
          <rPr>
            <sz val="10"/>
            <color rgb="FF000000"/>
            <rFont val="맑은 고딕"/>
            <family val="2"/>
            <scheme val="minor"/>
          </rPr>
          <t>2025-07-17
2025-07-10</t>
        </r>
      </text>
    </comment>
    <comment ref="J108" authorId="1" shapeId="0" xr:uid="{608688BD-18AE-4369-9C8B-A56F930C8B6D}">
      <text>
        <r>
          <rPr>
            <sz val="10"/>
            <color rgb="FF000000"/>
            <rFont val="맑은 고딕"/>
            <family val="2"/>
            <scheme val="minor"/>
          </rPr>
          <t>2025-08-01</t>
        </r>
      </text>
    </comment>
    <comment ref="J110" authorId="1" shapeId="0" xr:uid="{9ECBA929-BCC9-4589-8A53-51E6E3A1991F}">
      <text>
        <r>
          <rPr>
            <sz val="10"/>
            <color rgb="FF000000"/>
            <rFont val="맑은 고딕"/>
            <family val="2"/>
            <scheme val="minor"/>
          </rPr>
          <t>2025-08-01
2025-07-01
2025-06-30</t>
        </r>
      </text>
    </comment>
    <comment ref="J111" authorId="1" shapeId="0" xr:uid="{700F72E6-E285-4987-A5D9-6C3E7B5BA797}">
      <text>
        <r>
          <rPr>
            <sz val="10"/>
            <color rgb="FF000000"/>
            <rFont val="맑은 고딕"/>
            <family val="2"/>
            <scheme val="minor"/>
          </rPr>
          <t>2025-08-19</t>
        </r>
      </text>
    </comment>
    <comment ref="J112" authorId="1" shapeId="0" xr:uid="{964D2F75-C5B5-45BD-A3BE-AE3CC7DBCA08}">
      <text>
        <r>
          <rPr>
            <sz val="10"/>
            <color rgb="FF000000"/>
            <rFont val="맑은 고딕"/>
            <family val="2"/>
            <scheme val="minor"/>
          </rPr>
          <t>2025-07-10
2025-06-23
2025-05-16</t>
        </r>
      </text>
    </comment>
    <comment ref="J113" authorId="1" shapeId="0" xr:uid="{F6D28129-05B8-454C-897E-69E0A6337881}">
      <text>
        <r>
          <rPr>
            <sz val="10"/>
            <color rgb="FF000000"/>
            <rFont val="맑은 고딕"/>
            <family val="2"/>
            <scheme val="minor"/>
          </rPr>
          <t>2025-07-10
2025-06-23
2025-05-16</t>
        </r>
      </text>
    </comment>
    <comment ref="J114" authorId="1" shapeId="0" xr:uid="{ACC052D2-6B42-4B68-ADD7-18121A22CF2B}">
      <text>
        <r>
          <rPr>
            <sz val="10"/>
            <color rgb="FF000000"/>
            <rFont val="맑은 고딕"/>
            <family val="2"/>
            <scheme val="minor"/>
          </rPr>
          <t>2025-08-12
2025-07-17</t>
        </r>
      </text>
    </comment>
    <comment ref="J115" authorId="1" shapeId="0" xr:uid="{A64C4E58-8262-4695-932E-FDA9215F1053}">
      <text>
        <r>
          <rPr>
            <sz val="10"/>
            <color rgb="FF000000"/>
            <rFont val="맑은 고딕"/>
            <family val="2"/>
            <scheme val="minor"/>
          </rPr>
          <t>2025-08-12</t>
        </r>
      </text>
    </comment>
    <comment ref="J117" authorId="1" shapeId="0" xr:uid="{04D16F1F-A68A-46D4-B105-5847AA0A9E8D}">
      <text>
        <r>
          <rPr>
            <sz val="10"/>
            <color rgb="FF000000"/>
            <rFont val="맑은 고딕"/>
            <family val="2"/>
            <scheme val="minor"/>
          </rPr>
          <t>2025-08-26</t>
        </r>
      </text>
    </comment>
    <comment ref="J151" authorId="2" shapeId="0" xr:uid="{1FD7EDEF-9917-4116-9F5B-AC1ABBA48251}">
      <text>
        <r>
          <rPr>
            <b/>
            <sz val="9"/>
            <color indexed="81"/>
            <rFont val="Tahoma"/>
            <family val="2"/>
          </rPr>
          <t>2025-10-21</t>
        </r>
      </text>
    </comment>
    <comment ref="K159" authorId="0" shapeId="0" xr:uid="{BFE5392D-16E4-4971-95A7-ADD0B657F5B9}">
      <text>
        <r>
          <rPr>
            <b/>
            <sz val="9"/>
            <color indexed="81"/>
            <rFont val="Tahoma"/>
            <family val="2"/>
          </rPr>
          <t>2026-01-21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60" authorId="2" shapeId="0" xr:uid="{A759CE9F-D0C4-46C2-A455-BCF7AFAC72A3}">
      <text>
        <r>
          <rPr>
            <b/>
            <sz val="9"/>
            <color indexed="81"/>
            <rFont val="Tahoma"/>
            <family val="2"/>
          </rPr>
          <t>2025-11-12</t>
        </r>
      </text>
    </comment>
    <comment ref="K161" authorId="0" shapeId="0" xr:uid="{6BB5BA30-A490-464C-A4B5-5607A679E8F4}">
      <text>
        <r>
          <rPr>
            <b/>
            <sz val="9"/>
            <color indexed="81"/>
            <rFont val="Tahoma"/>
            <family val="2"/>
          </rPr>
          <t>2026-04-23</t>
        </r>
      </text>
    </comment>
    <comment ref="M162" authorId="0" shapeId="0" xr:uid="{9EF2C6F9-A0A1-4409-BEE0-2F98DEE8E750}">
      <text>
        <r>
          <rPr>
            <b/>
            <sz val="9"/>
            <color indexed="81"/>
            <rFont val="돋움"/>
            <family val="3"/>
            <charset val="129"/>
          </rPr>
          <t>국비 15
지원 외 1</t>
        </r>
      </text>
    </comment>
    <comment ref="J164" authorId="2" shapeId="0" xr:uid="{E50BC111-834C-4939-96E0-EA193B74978B}">
      <text>
        <r>
          <rPr>
            <b/>
            <sz val="9"/>
            <color indexed="81"/>
            <rFont val="Tahoma"/>
            <family val="2"/>
          </rPr>
          <t>2025-10-20
2025-11-24</t>
        </r>
      </text>
    </comment>
    <comment ref="J165" authorId="2" shapeId="0" xr:uid="{0EFA5AE2-206D-42A0-A624-ABCB4BD835D4}">
      <text>
        <r>
          <rPr>
            <b/>
            <sz val="9"/>
            <color indexed="81"/>
            <rFont val="Tahoma"/>
            <family val="2"/>
          </rPr>
          <t>2025-11-20</t>
        </r>
      </text>
    </comment>
    <comment ref="J166" authorId="2" shapeId="0" xr:uid="{E7517D38-94E2-4F12-AB8F-E449AE80E27E}">
      <text>
        <r>
          <rPr>
            <b/>
            <sz val="9"/>
            <color indexed="81"/>
            <rFont val="Tahoma"/>
            <family val="2"/>
          </rPr>
          <t>2025-11-25</t>
        </r>
      </text>
    </comment>
    <comment ref="M168" authorId="0" shapeId="0" xr:uid="{1A525766-544C-4723-BC52-368B2DAEDCF0}">
      <text>
        <r>
          <rPr>
            <b/>
            <sz val="9"/>
            <color indexed="81"/>
            <rFont val="돋움"/>
            <family val="3"/>
            <charset val="129"/>
          </rPr>
          <t>국비</t>
        </r>
        <r>
          <rPr>
            <b/>
            <sz val="9"/>
            <color indexed="81"/>
            <rFont val="Tahoma"/>
            <family val="2"/>
          </rPr>
          <t xml:space="preserve">9, </t>
        </r>
        <r>
          <rPr>
            <b/>
            <sz val="9"/>
            <color indexed="81"/>
            <rFont val="돋움"/>
            <family val="3"/>
            <charset val="129"/>
          </rPr>
          <t>지원외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72" authorId="2" shapeId="0" xr:uid="{5A24BC78-CBDD-4010-B614-0487A4EE3340}">
      <text>
        <r>
          <rPr>
            <b/>
            <sz val="9"/>
            <color indexed="81"/>
            <rFont val="Tahoma"/>
            <family val="2"/>
          </rPr>
          <t>2025-11-24</t>
        </r>
      </text>
    </comment>
    <comment ref="J180" authorId="2" shapeId="0" xr:uid="{37C74C6D-BB8E-4906-A7FF-60CA6EB1446A}">
      <text>
        <r>
          <rPr>
            <b/>
            <sz val="9"/>
            <color indexed="81"/>
            <rFont val="Tahoma"/>
            <family val="2"/>
          </rPr>
          <t>2025-12-17
2025-12-31</t>
        </r>
      </text>
    </comment>
    <comment ref="K180" authorId="2" shapeId="0" xr:uid="{A3B35C58-CCBF-408E-A410-93BF832D35CE}">
      <text>
        <r>
          <rPr>
            <b/>
            <sz val="9"/>
            <color indexed="81"/>
            <rFont val="Tahoma"/>
            <family val="2"/>
          </rPr>
          <t>2026-07-20</t>
        </r>
      </text>
    </comment>
    <comment ref="J181" authorId="2" shapeId="0" xr:uid="{65F32C41-8C42-40F0-A0DE-B755A6A02231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81" authorId="2" shapeId="0" xr:uid="{4280A39F-8FEE-48A3-B6EF-3821CE09226D}">
      <text>
        <r>
          <rPr>
            <b/>
            <sz val="9"/>
            <color indexed="81"/>
            <rFont val="Tahoma"/>
            <family val="2"/>
          </rPr>
          <t>2026-09-16</t>
        </r>
      </text>
    </comment>
    <comment ref="J182" authorId="2" shapeId="0" xr:uid="{61498168-2732-4A10-947E-4907C1A69651}">
      <text>
        <r>
          <rPr>
            <b/>
            <sz val="9"/>
            <color indexed="81"/>
            <rFont val="Tahoma"/>
            <family val="2"/>
          </rPr>
          <t>2025-11-27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>Windows 사용자</author>
  </authors>
  <commentList>
    <comment ref="K8" authorId="0" shapeId="0" xr:uid="{5B06AB42-02C6-4BAD-9B97-2E353D0D3E23}">
      <text>
        <r>
          <rPr>
            <b/>
            <sz val="9"/>
            <color indexed="81"/>
            <rFont val="Tahoma"/>
            <family val="2"/>
          </rPr>
          <t>2024-01-10</t>
        </r>
      </text>
    </comment>
    <comment ref="L8" authorId="0" shapeId="0" xr:uid="{F2A9FBD7-C785-4B23-8646-52CAA726000B}">
      <text>
        <r>
          <rPr>
            <b/>
            <sz val="9"/>
            <color indexed="81"/>
            <rFont val="Tahoma"/>
            <family val="2"/>
          </rPr>
          <t>2024-04-22</t>
        </r>
      </text>
    </comment>
    <comment ref="K11" authorId="0" shapeId="0" xr:uid="{5E6D2E4C-38A3-4DF4-8584-05799D3AF116}">
      <text>
        <r>
          <rPr>
            <b/>
            <sz val="9"/>
            <color indexed="81"/>
            <rFont val="Tahoma"/>
            <family val="2"/>
          </rPr>
          <t>2024-02-01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1" authorId="0" shapeId="0" xr:uid="{DCF19ACD-7449-407D-93B5-AF208DB9F94C}">
      <text>
        <r>
          <rPr>
            <b/>
            <sz val="9"/>
            <color indexed="81"/>
            <rFont val="Tahoma"/>
            <family val="2"/>
          </rPr>
          <t>2024-08-07</t>
        </r>
      </text>
    </comment>
    <comment ref="K14" authorId="0" shapeId="0" xr:uid="{3AA03415-BE1A-43AF-A2E4-B7CCFC15F415}">
      <text>
        <r>
          <rPr>
            <b/>
            <sz val="9"/>
            <color indexed="81"/>
            <rFont val="Tahoma"/>
            <family val="2"/>
          </rPr>
          <t>2024-02-14</t>
        </r>
      </text>
    </comment>
    <comment ref="K15" authorId="0" shapeId="0" xr:uid="{125737D7-410E-4548-8BF8-A2A122FACCC8}">
      <text>
        <r>
          <rPr>
            <b/>
            <sz val="9"/>
            <color indexed="81"/>
            <rFont val="Tahoma"/>
            <family val="2"/>
          </rPr>
          <t xml:space="preserve">2024-02-27
</t>
        </r>
      </text>
    </comment>
    <comment ref="L15" authorId="0" shapeId="0" xr:uid="{8DE9DAA5-C02F-4745-9124-F094CA94E319}">
      <text>
        <r>
          <rPr>
            <b/>
            <sz val="9"/>
            <color indexed="81"/>
            <rFont val="Tahoma"/>
            <family val="2"/>
          </rPr>
          <t>2024-08-15</t>
        </r>
      </text>
    </comment>
    <comment ref="K19" authorId="0" shapeId="0" xr:uid="{7D2CA716-430E-4069-9887-B26C0FD7565A}">
      <text>
        <r>
          <rPr>
            <b/>
            <sz val="9"/>
            <color indexed="81"/>
            <rFont val="Tahoma"/>
            <family val="2"/>
          </rPr>
          <t>2024-02-15
2024-02-22</t>
        </r>
      </text>
    </comment>
    <comment ref="L19" authorId="0" shapeId="0" xr:uid="{29771D61-8570-443C-B7E9-90DB6D3B5CCC}">
      <text>
        <r>
          <rPr>
            <b/>
            <sz val="9"/>
            <color indexed="81"/>
            <rFont val="Tahoma"/>
            <family val="2"/>
          </rPr>
          <t>2024-07-11
2024-07-18</t>
        </r>
      </text>
    </comment>
    <comment ref="K20" authorId="0" shapeId="0" xr:uid="{2ECA40FA-C70D-4E4F-B357-531F859EBDAF}">
      <text>
        <r>
          <rPr>
            <b/>
            <sz val="9"/>
            <color indexed="81"/>
            <rFont val="Tahoma"/>
            <family val="2"/>
          </rPr>
          <t>2024-02-15</t>
        </r>
      </text>
    </comment>
    <comment ref="L20" authorId="0" shapeId="0" xr:uid="{FAF26309-2478-4416-9052-4C0365E510A5}">
      <text>
        <r>
          <rPr>
            <b/>
            <sz val="9"/>
            <color indexed="81"/>
            <rFont val="Tahoma"/>
            <family val="2"/>
          </rPr>
          <t>2024-07-24</t>
        </r>
      </text>
    </comment>
    <comment ref="K25" authorId="0" shapeId="0" xr:uid="{B4B1F1C7-2F3F-4465-98DD-3D5396CDC27B}">
      <text>
        <r>
          <rPr>
            <b/>
            <sz val="9"/>
            <color indexed="81"/>
            <rFont val="Tahoma"/>
            <family val="2"/>
          </rPr>
          <t>2024-02-20</t>
        </r>
      </text>
    </comment>
    <comment ref="L25" authorId="0" shapeId="0" xr:uid="{6BE5439D-2267-4E86-BE03-10D04664DFDF}">
      <text>
        <r>
          <rPr>
            <b/>
            <sz val="9"/>
            <color indexed="81"/>
            <rFont val="Tahoma"/>
            <family val="2"/>
          </rPr>
          <t>2024-10-28</t>
        </r>
      </text>
    </comment>
    <comment ref="K26" authorId="0" shapeId="0" xr:uid="{26C7BC51-2D5D-49DC-A91B-6350176E7BF9}">
      <text>
        <r>
          <rPr>
            <b/>
            <sz val="9"/>
            <color indexed="81"/>
            <rFont val="Tahoma"/>
            <family val="2"/>
          </rPr>
          <t>2024-02-27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26" authorId="0" shapeId="0" xr:uid="{594A1496-0BD7-4486-A2DA-518C20D3CC27}">
      <text>
        <r>
          <rPr>
            <b/>
            <sz val="9"/>
            <color indexed="81"/>
            <rFont val="Tahoma"/>
            <family val="2"/>
          </rPr>
          <t>2024-05-22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33" authorId="0" shapeId="0" xr:uid="{18D35DC8-128C-4C4C-A8C3-59E9D78B7706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2024-03-06</t>
        </r>
      </text>
    </comment>
    <comment ref="L33" authorId="0" shapeId="0" xr:uid="{97CD7C64-0553-4E82-8C44-837BBD045F4E}">
      <text>
        <r>
          <rPr>
            <b/>
            <sz val="9"/>
            <color indexed="81"/>
            <rFont val="Tahoma"/>
            <family val="2"/>
          </rPr>
          <t>2024-07-11</t>
        </r>
      </text>
    </comment>
    <comment ref="K35" authorId="0" shapeId="0" xr:uid="{DD3DFE78-99A4-4104-977B-9E2BBB65342E}">
      <text>
        <r>
          <rPr>
            <b/>
            <sz val="9"/>
            <color indexed="81"/>
            <rFont val="Tahoma"/>
            <family val="2"/>
          </rPr>
          <t>2024-02-08
2024-03-12</t>
        </r>
      </text>
    </comment>
    <comment ref="L35" authorId="0" shapeId="0" xr:uid="{E965F0C3-55BE-4D4C-8D21-DD3B4A11B5CB}">
      <text>
        <r>
          <rPr>
            <b/>
            <sz val="9"/>
            <color indexed="81"/>
            <rFont val="Tahoma"/>
            <family val="2"/>
          </rPr>
          <t>2024-05-08
2024-06-10</t>
        </r>
      </text>
    </comment>
    <comment ref="K40" authorId="0" shapeId="0" xr:uid="{86BEB38C-F27A-4146-85BB-3AF77A748656}">
      <text>
        <r>
          <rPr>
            <b/>
            <sz val="9"/>
            <color indexed="81"/>
            <rFont val="Tahoma"/>
            <family val="2"/>
          </rPr>
          <t>2024-03-13</t>
        </r>
      </text>
    </comment>
    <comment ref="L40" authorId="0" shapeId="0" xr:uid="{A1DC4C67-2718-422D-AFC8-C1D0BCC156B3}">
      <text>
        <r>
          <rPr>
            <b/>
            <sz val="9"/>
            <color indexed="81"/>
            <rFont val="Tahoma"/>
            <family val="2"/>
          </rPr>
          <t>2024-06-26</t>
        </r>
      </text>
    </comment>
    <comment ref="K45" authorId="0" shapeId="0" xr:uid="{21580CC5-1461-423A-8CC0-D80915EB85B6}">
      <text>
        <r>
          <rPr>
            <b/>
            <sz val="9"/>
            <color indexed="81"/>
            <rFont val="Tahoma"/>
            <family val="2"/>
          </rPr>
          <t>2024-03-29</t>
        </r>
      </text>
    </comment>
    <comment ref="L45" authorId="0" shapeId="0" xr:uid="{7647E24D-2700-481D-B1E6-FBAD7878F055}">
      <text>
        <r>
          <rPr>
            <b/>
            <sz val="9"/>
            <color indexed="81"/>
            <rFont val="Tahoma"/>
            <family val="2"/>
          </rPr>
          <t>2024-08-22</t>
        </r>
      </text>
    </comment>
    <comment ref="K49" authorId="0" shapeId="0" xr:uid="{B1C6AC3F-4E31-47CF-82C6-64EFAE0EFAD2}">
      <text>
        <r>
          <rPr>
            <b/>
            <sz val="9"/>
            <color indexed="81"/>
            <rFont val="Tahoma"/>
            <family val="2"/>
          </rPr>
          <t>2024-03-13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49" authorId="0" shapeId="0" xr:uid="{5EE1710B-3BBC-4DA9-B1F3-8113D0A00ADA}">
      <text>
        <r>
          <rPr>
            <b/>
            <sz val="9"/>
            <color indexed="81"/>
            <rFont val="Tahoma"/>
            <family val="2"/>
          </rPr>
          <t>2024-06-24</t>
        </r>
      </text>
    </comment>
    <comment ref="K50" authorId="0" shapeId="0" xr:uid="{138F3574-8EF4-4305-AE69-7CB7A0088F94}">
      <text>
        <r>
          <rPr>
            <b/>
            <sz val="9"/>
            <color indexed="81"/>
            <rFont val="Tahoma"/>
            <family val="2"/>
          </rPr>
          <t>2024-03-20
2024-04-08</t>
        </r>
      </text>
    </comment>
    <comment ref="L50" authorId="0" shapeId="0" xr:uid="{ACBDB3D8-D2D7-4FE1-90AB-E63D39512FC4}">
      <text>
        <r>
          <rPr>
            <b/>
            <sz val="9"/>
            <color indexed="81"/>
            <rFont val="Tahoma"/>
            <family val="2"/>
          </rPr>
          <t>2024-08-02</t>
        </r>
      </text>
    </comment>
    <comment ref="K51" authorId="0" shapeId="0" xr:uid="{DDE29E61-2953-4D25-AACC-259822CBD76F}">
      <text>
        <r>
          <rPr>
            <b/>
            <sz val="9"/>
            <color indexed="81"/>
            <rFont val="Tahoma"/>
            <family val="2"/>
          </rPr>
          <t>2024-04-03</t>
        </r>
      </text>
    </comment>
    <comment ref="L51" authorId="0" shapeId="0" xr:uid="{68862625-7B07-4A2B-B377-F0FF1760D3CC}">
      <text>
        <r>
          <rPr>
            <b/>
            <sz val="9"/>
            <color indexed="81"/>
            <rFont val="Tahoma"/>
            <family val="2"/>
          </rPr>
          <t>2024-10-10</t>
        </r>
      </text>
    </comment>
    <comment ref="K52" authorId="0" shapeId="0" xr:uid="{FA4EA2AA-0CF4-4FC8-B3A1-0FA247419A96}">
      <text>
        <r>
          <rPr>
            <b/>
            <sz val="9"/>
            <color indexed="81"/>
            <rFont val="Tahoma"/>
            <family val="2"/>
          </rPr>
          <t>2024-04-11
2024-04-16</t>
        </r>
      </text>
    </comment>
    <comment ref="L52" authorId="0" shapeId="0" xr:uid="{A7D3F64D-626E-4C0E-B7EC-FEBFD87097BF}">
      <text>
        <r>
          <rPr>
            <b/>
            <sz val="9"/>
            <color indexed="81"/>
            <rFont val="Tahoma"/>
            <family val="2"/>
          </rPr>
          <t>2024-10-21
2024-10-24</t>
        </r>
      </text>
    </comment>
    <comment ref="K53" authorId="0" shapeId="0" xr:uid="{86A9AFF7-363D-46C8-B0FB-AC0CD630FED2}">
      <text>
        <r>
          <rPr>
            <b/>
            <sz val="9"/>
            <color indexed="81"/>
            <rFont val="Tahoma"/>
            <family val="2"/>
          </rPr>
          <t>2024-04-09</t>
        </r>
      </text>
    </comment>
    <comment ref="L53" authorId="0" shapeId="0" xr:uid="{C9EF230B-BDE0-4FD1-A781-3E8EAC7EF877}">
      <text>
        <r>
          <rPr>
            <b/>
            <sz val="9"/>
            <color indexed="81"/>
            <rFont val="Tahoma"/>
            <family val="2"/>
          </rPr>
          <t>2024-11-28</t>
        </r>
      </text>
    </comment>
    <comment ref="K54" authorId="0" shapeId="0" xr:uid="{6A1ED92D-59AD-44E4-A746-79549FB14F2E}">
      <text>
        <r>
          <rPr>
            <b/>
            <sz val="9"/>
            <color indexed="81"/>
            <rFont val="Tahoma"/>
            <family val="2"/>
          </rPr>
          <t>2024-03-08</t>
        </r>
      </text>
    </comment>
    <comment ref="L54" authorId="0" shapeId="0" xr:uid="{A5F60B08-78D5-42A1-82F4-1FCB292C1019}">
      <text>
        <r>
          <rPr>
            <b/>
            <sz val="9"/>
            <color indexed="81"/>
            <rFont val="Tahoma"/>
            <family val="2"/>
          </rPr>
          <t>2024-09-03</t>
        </r>
      </text>
    </comment>
    <comment ref="K55" authorId="0" shapeId="0" xr:uid="{732A1A27-D577-4A8A-818F-D45B5A27EF09}">
      <text>
        <r>
          <rPr>
            <b/>
            <sz val="9"/>
            <color indexed="81"/>
            <rFont val="Tahoma"/>
            <family val="2"/>
          </rPr>
          <t>2024-03-26
2024-04-11</t>
        </r>
      </text>
    </comment>
    <comment ref="L55" authorId="0" shapeId="0" xr:uid="{D8CF1ECF-AA6B-429C-8730-F43F2B95D649}">
      <text>
        <r>
          <rPr>
            <b/>
            <sz val="9"/>
            <color indexed="81"/>
            <rFont val="Tahoma"/>
            <family val="2"/>
          </rPr>
          <t>2024-07-08
2024-07-23</t>
        </r>
      </text>
    </comment>
    <comment ref="K56" authorId="0" shapeId="0" xr:uid="{05F52C97-55B2-4E8C-BCD4-7BA8AF6BCDDE}">
      <text>
        <r>
          <rPr>
            <b/>
            <sz val="9"/>
            <color indexed="81"/>
            <rFont val="Tahoma"/>
            <family val="2"/>
          </rPr>
          <t>2024-04-16</t>
        </r>
      </text>
    </comment>
    <comment ref="L56" authorId="0" shapeId="0" xr:uid="{82AF21E9-25A3-4070-948F-A581B0B85DBB}">
      <text>
        <r>
          <rPr>
            <b/>
            <sz val="9"/>
            <color indexed="81"/>
            <rFont val="Tahoma"/>
            <family val="2"/>
          </rPr>
          <t>2024-09-25</t>
        </r>
      </text>
    </comment>
    <comment ref="K62" authorId="0" shapeId="0" xr:uid="{A801A764-6384-4A59-9241-2E779FB16AC9}">
      <text>
        <r>
          <rPr>
            <b/>
            <sz val="9"/>
            <color indexed="81"/>
            <rFont val="Tahoma"/>
            <family val="2"/>
          </rPr>
          <t>2024-04-12
2024-04-23</t>
        </r>
      </text>
    </comment>
    <comment ref="L62" authorId="0" shapeId="0" xr:uid="{94DD8329-4D47-4E18-827D-096C85916C5F}">
      <text>
        <r>
          <rPr>
            <b/>
            <sz val="9"/>
            <color indexed="81"/>
            <rFont val="Tahoma"/>
            <family val="2"/>
          </rPr>
          <t>2024-07-26
2024-08-06</t>
        </r>
      </text>
    </comment>
    <comment ref="K63" authorId="0" shapeId="0" xr:uid="{694E14F0-6DD5-4B0D-84F2-5695F1641466}">
      <text>
        <r>
          <rPr>
            <b/>
            <sz val="9"/>
            <color indexed="81"/>
            <rFont val="Tahoma"/>
            <family val="2"/>
          </rPr>
          <t>2024-03-12
2024-04-15</t>
        </r>
      </text>
    </comment>
    <comment ref="L63" authorId="0" shapeId="0" xr:uid="{18370AAC-2512-42E6-B3E1-B55D4AAF0F53}">
      <text>
        <r>
          <rPr>
            <b/>
            <sz val="9"/>
            <color indexed="81"/>
            <rFont val="Tahoma"/>
            <family val="2"/>
          </rPr>
          <t>2024-11-14
2024-11-20</t>
        </r>
      </text>
    </comment>
    <comment ref="K70" authorId="0" shapeId="0" xr:uid="{A6B303E0-25BB-471E-8A50-E1CC1E78229E}">
      <text>
        <r>
          <rPr>
            <b/>
            <sz val="9"/>
            <color indexed="81"/>
            <rFont val="Tahoma"/>
            <family val="2"/>
          </rPr>
          <t>2024-04-23</t>
        </r>
      </text>
    </comment>
    <comment ref="L70" authorId="0" shapeId="0" xr:uid="{C293E334-FBE3-4DC4-B5BB-B762E6ADA6C0}">
      <text>
        <r>
          <rPr>
            <b/>
            <sz val="9"/>
            <color indexed="81"/>
            <rFont val="Tahoma"/>
            <family val="2"/>
          </rPr>
          <t>2024-10-24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72" authorId="0" shapeId="0" xr:uid="{04BDE303-8538-4E6B-A442-51F2917BACFB}">
      <text>
        <r>
          <rPr>
            <b/>
            <sz val="9"/>
            <color indexed="81"/>
            <rFont val="Tahoma"/>
            <family val="2"/>
          </rPr>
          <t>2024-04-30</t>
        </r>
      </text>
    </comment>
    <comment ref="L72" authorId="0" shapeId="0" xr:uid="{2B904407-3662-48AB-8A27-DAE7F56C6FCB}">
      <text>
        <r>
          <rPr>
            <b/>
            <sz val="9"/>
            <color indexed="81"/>
            <rFont val="Tahoma"/>
            <family val="2"/>
          </rPr>
          <t>2024-10-14</t>
        </r>
      </text>
    </comment>
    <comment ref="K75" authorId="0" shapeId="0" xr:uid="{8B2EDC92-7320-4C54-9ACC-62F08B0ABF06}">
      <text>
        <r>
          <rPr>
            <b/>
            <sz val="9"/>
            <color indexed="81"/>
            <rFont val="Tahoma"/>
            <family val="2"/>
          </rPr>
          <t>2024-05-28</t>
        </r>
      </text>
    </comment>
    <comment ref="K79" authorId="0" shapeId="0" xr:uid="{EB86C326-AFCD-4519-B168-C0C122AEB943}">
      <text>
        <r>
          <rPr>
            <b/>
            <sz val="9"/>
            <color indexed="81"/>
            <rFont val="Tahoma"/>
            <family val="2"/>
          </rPr>
          <t>2024-05-13
2024-05-30</t>
        </r>
      </text>
    </comment>
    <comment ref="L79" authorId="0" shapeId="0" xr:uid="{8C1E912E-94B9-4743-8658-05497EDE334C}">
      <text>
        <r>
          <rPr>
            <b/>
            <sz val="9"/>
            <color indexed="81"/>
            <rFont val="Tahoma"/>
            <family val="2"/>
          </rPr>
          <t>2024-11-13
2024-10-21</t>
        </r>
      </text>
    </comment>
    <comment ref="K81" authorId="0" shapeId="0" xr:uid="{F8D62123-B421-4A3E-BD40-84CC2043CF64}">
      <text>
        <r>
          <rPr>
            <b/>
            <sz val="9"/>
            <color indexed="81"/>
            <rFont val="Tahoma"/>
            <family val="2"/>
          </rPr>
          <t>2024-06-11</t>
        </r>
      </text>
    </comment>
    <comment ref="L81" authorId="0" shapeId="0" xr:uid="{084812C5-4891-45A9-A87D-48731F246BA7}">
      <text>
        <r>
          <rPr>
            <b/>
            <sz val="9"/>
            <color indexed="81"/>
            <rFont val="Tahoma"/>
            <family val="2"/>
          </rPr>
          <t>2024-11-20</t>
        </r>
      </text>
    </comment>
    <comment ref="K84" authorId="0" shapeId="0" xr:uid="{0556FD97-08CB-4064-BDA3-1DC75874A26E}">
      <text>
        <r>
          <rPr>
            <b/>
            <sz val="9"/>
            <color indexed="81"/>
            <rFont val="Tahoma"/>
            <family val="2"/>
          </rPr>
          <t>2024-06-19</t>
        </r>
      </text>
    </comment>
    <comment ref="L84" authorId="0" shapeId="0" xr:uid="{A60CA147-1714-437C-9233-4CD770CACAE8}">
      <text>
        <r>
          <rPr>
            <b/>
            <sz val="9"/>
            <color indexed="81"/>
            <rFont val="Tahoma"/>
            <family val="2"/>
          </rPr>
          <t>2024-12-17</t>
        </r>
      </text>
    </comment>
    <comment ref="K86" authorId="1" shapeId="0" xr:uid="{3FF045A6-0F61-43A9-89FA-5BD340B94BC3}">
      <text>
        <r>
          <rPr>
            <b/>
            <sz val="9"/>
            <color indexed="81"/>
            <rFont val="Tahoma"/>
            <family val="2"/>
          </rPr>
          <t xml:space="preserve">24-6-28
</t>
        </r>
      </text>
    </comment>
    <comment ref="K89" authorId="1" shapeId="0" xr:uid="{A71404B6-CB59-4144-AC7C-525EBC974DB4}">
      <text>
        <r>
          <rPr>
            <b/>
            <sz val="9"/>
            <color indexed="81"/>
            <rFont val="Tahoma"/>
            <family val="2"/>
          </rPr>
          <t xml:space="preserve">24-6-27
</t>
        </r>
      </text>
    </comment>
    <comment ref="K90" authorId="1" shapeId="0" xr:uid="{43D2190F-5C86-4F75-A4E8-F82AC5A5160C}">
      <text>
        <r>
          <rPr>
            <b/>
            <sz val="9"/>
            <color indexed="81"/>
            <rFont val="Tahoma"/>
            <family val="2"/>
          </rPr>
          <t xml:space="preserve">24-06-25
</t>
        </r>
      </text>
    </comment>
    <comment ref="K91" authorId="0" shapeId="0" xr:uid="{0CB9E993-7D07-4132-8DD0-A484B4D18D36}">
      <text>
        <r>
          <rPr>
            <b/>
            <sz val="9"/>
            <color indexed="81"/>
            <rFont val="Tahoma"/>
            <family val="2"/>
          </rPr>
          <t>2024-06-19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92" authorId="1" shapeId="0" xr:uid="{D8904A0E-7348-49A2-BFF2-C946238D686D}">
      <text>
        <r>
          <rPr>
            <b/>
            <sz val="9"/>
            <color indexed="81"/>
            <rFont val="Tahoma"/>
            <family val="2"/>
          </rPr>
          <t>2024-07-19</t>
        </r>
      </text>
    </comment>
    <comment ref="K93" authorId="1" shapeId="0" xr:uid="{2D8F994E-3545-4F80-A1F2-FB112A1A56B2}">
      <text>
        <r>
          <rPr>
            <b/>
            <sz val="9"/>
            <color indexed="81"/>
            <rFont val="Tahoma"/>
            <family val="2"/>
          </rPr>
          <t>2024-07-19</t>
        </r>
      </text>
    </comment>
    <comment ref="K95" authorId="0" shapeId="0" xr:uid="{849AA67B-F9F8-424E-B216-8D035A945C18}">
      <text>
        <r>
          <rPr>
            <b/>
            <sz val="9"/>
            <color indexed="81"/>
            <rFont val="Tahoma"/>
            <family val="2"/>
          </rPr>
          <t>2024-05-24
2024-06-11
2024-06-25
2024-07-11</t>
        </r>
      </text>
    </comment>
    <comment ref="L95" authorId="0" shapeId="0" xr:uid="{692CC981-F4CE-406E-9B97-35DC09F09207}">
      <text>
        <r>
          <rPr>
            <b/>
            <sz val="9"/>
            <color indexed="81"/>
            <rFont val="Tahoma"/>
            <family val="2"/>
          </rPr>
          <t>2024-12-18</t>
        </r>
      </text>
    </comment>
    <comment ref="K99" authorId="1" shapeId="0" xr:uid="{E4CA0BF2-3A3F-483E-8F5E-897D15B1216A}">
      <text>
        <r>
          <rPr>
            <b/>
            <sz val="9"/>
            <color indexed="81"/>
            <rFont val="Tahoma"/>
            <family val="2"/>
          </rPr>
          <t>2024-07-11</t>
        </r>
      </text>
    </comment>
    <comment ref="K101" authorId="1" shapeId="0" xr:uid="{8943CD8B-2223-42D8-9230-F0E4FCE75E38}">
      <text>
        <r>
          <rPr>
            <b/>
            <sz val="9"/>
            <color indexed="81"/>
            <rFont val="Tahoma"/>
            <family val="2"/>
          </rPr>
          <t>2024-07-18</t>
        </r>
      </text>
    </comment>
    <comment ref="K105" authorId="0" shapeId="0" xr:uid="{77EE7369-1D1A-4CC2-9429-673ADFBB0B8A}">
      <text>
        <r>
          <rPr>
            <b/>
            <sz val="9"/>
            <color indexed="81"/>
            <rFont val="Tahoma"/>
            <family val="2"/>
          </rPr>
          <t>2024-06-29</t>
        </r>
      </text>
    </comment>
    <comment ref="L105" authorId="0" shapeId="0" xr:uid="{352E0138-2C56-4AA6-A363-C92CF2BB4738}">
      <text>
        <r>
          <rPr>
            <b/>
            <sz val="9"/>
            <color indexed="81"/>
            <rFont val="Tahoma"/>
            <family val="2"/>
          </rPr>
          <t>2024-12-02</t>
        </r>
      </text>
    </comment>
    <comment ref="K107" authorId="1" shapeId="0" xr:uid="{5F7EB5D8-22AA-487F-9FC6-4AD1649DB7C0}">
      <text>
        <r>
          <rPr>
            <b/>
            <sz val="9"/>
            <color indexed="81"/>
            <rFont val="Tahoma"/>
            <family val="2"/>
          </rPr>
          <t>2024-08-02</t>
        </r>
      </text>
    </comment>
    <comment ref="K108" authorId="1" shapeId="0" xr:uid="{04FBF35F-0619-4CD0-B306-FF44FCE6262B}">
      <text>
        <r>
          <rPr>
            <b/>
            <sz val="9"/>
            <color indexed="81"/>
            <rFont val="Tahoma"/>
            <family val="2"/>
          </rPr>
          <t xml:space="preserve">2024-07-29
</t>
        </r>
      </text>
    </comment>
    <comment ref="K110" authorId="1" shapeId="0" xr:uid="{584C473E-9B38-47D2-BAC7-9D1676A7CBDE}">
      <text>
        <r>
          <rPr>
            <b/>
            <sz val="9"/>
            <color indexed="81"/>
            <rFont val="Tahoma"/>
            <family val="2"/>
          </rPr>
          <t>2024-07-18
2024-07-30</t>
        </r>
      </text>
    </comment>
    <comment ref="K111" authorId="1" shapeId="0" xr:uid="{BA95A287-C102-49F8-9A55-3C6D6D3FCB3A}">
      <text>
        <r>
          <rPr>
            <b/>
            <sz val="9"/>
            <color indexed="81"/>
            <rFont val="Tahoma"/>
            <family val="2"/>
          </rPr>
          <t>2024-08-20</t>
        </r>
      </text>
    </comment>
    <comment ref="K112" authorId="1" shapeId="0" xr:uid="{4AFADB9F-573D-492D-88FF-5448DA057913}">
      <text>
        <r>
          <rPr>
            <b/>
            <sz val="9"/>
            <color indexed="81"/>
            <rFont val="Tahoma"/>
            <family val="2"/>
          </rPr>
          <t>2024-08-20</t>
        </r>
      </text>
    </comment>
    <comment ref="K121" authorId="1" shapeId="0" xr:uid="{06F6B2D9-E52F-4AC8-9248-EB00B5CE54D3}">
      <text>
        <r>
          <rPr>
            <b/>
            <sz val="9"/>
            <color indexed="81"/>
            <rFont val="Tahoma"/>
            <family val="2"/>
          </rPr>
          <t>2024-09-04
2024-08-28</t>
        </r>
      </text>
    </comment>
    <comment ref="K126" authorId="1" shapeId="0" xr:uid="{F3FDC3BC-AC5A-43CF-ADAB-98595FCF2558}">
      <text>
        <r>
          <rPr>
            <b/>
            <sz val="9"/>
            <color indexed="81"/>
            <rFont val="Tahoma"/>
            <family val="2"/>
          </rPr>
          <t xml:space="preserve">2024-07-24
2024-09-03
</t>
        </r>
      </text>
    </comment>
    <comment ref="K127" authorId="1" shapeId="0" xr:uid="{248CD8E1-7700-4AF0-B480-25C6ABB9CA0C}">
      <text>
        <r>
          <rPr>
            <b/>
            <sz val="9"/>
            <color indexed="81"/>
            <rFont val="Tahoma"/>
            <family val="2"/>
          </rPr>
          <t xml:space="preserve">2024-09-24
</t>
        </r>
      </text>
    </comment>
    <comment ref="K128" authorId="1" shapeId="0" xr:uid="{22AA98A6-85FF-4EF3-BD62-D3F7CA439DEF}">
      <text>
        <r>
          <rPr>
            <b/>
            <sz val="9"/>
            <color indexed="81"/>
            <rFont val="Tahoma"/>
            <family val="2"/>
          </rPr>
          <t>2024-08-26
2024-09-09
2024-09-23</t>
        </r>
      </text>
    </comment>
    <comment ref="K129" authorId="0" shapeId="0" xr:uid="{EAC0C026-7B31-4F3C-AC65-AFBEA1CC5CD0}">
      <text>
        <r>
          <rPr>
            <b/>
            <sz val="9"/>
            <color indexed="81"/>
            <rFont val="Tahoma"/>
            <family val="2"/>
          </rPr>
          <t>2024-10-01</t>
        </r>
      </text>
    </comment>
    <comment ref="K130" authorId="1" shapeId="0" xr:uid="{BE1AEC2E-DC9F-4284-865D-1196D85D6726}">
      <text>
        <r>
          <rPr>
            <b/>
            <sz val="9"/>
            <color indexed="81"/>
            <rFont val="Tahoma"/>
            <family val="2"/>
          </rPr>
          <t>2024-09-06</t>
        </r>
      </text>
    </comment>
    <comment ref="K131" authorId="1" shapeId="0" xr:uid="{9E3C5011-7EBC-466B-94BD-70D8727D81C6}">
      <text>
        <r>
          <rPr>
            <b/>
            <sz val="9"/>
            <color indexed="81"/>
            <rFont val="Tahoma"/>
            <family val="2"/>
          </rPr>
          <t xml:space="preserve">2024-09-06
2024-09-20
</t>
        </r>
      </text>
    </comment>
    <comment ref="K132" authorId="1" shapeId="0" xr:uid="{B2932256-AC18-43CB-B13D-FD602E2F6DF2}">
      <text>
        <r>
          <rPr>
            <b/>
            <sz val="9"/>
            <color indexed="81"/>
            <rFont val="Tahoma"/>
            <family val="2"/>
          </rPr>
          <t>2024-09-20</t>
        </r>
      </text>
    </comment>
    <comment ref="K133" authorId="1" shapeId="0" xr:uid="{39F517F5-19F6-43CB-BCEC-679375D1E4E4}">
      <text>
        <r>
          <rPr>
            <b/>
            <sz val="9"/>
            <color indexed="81"/>
            <rFont val="Tahoma"/>
            <family val="2"/>
          </rPr>
          <t>2024-08-21</t>
        </r>
      </text>
    </comment>
    <comment ref="K134" authorId="0" shapeId="0" xr:uid="{3B9B6AC6-42F4-49B8-B408-6B7640617D9D}">
      <text>
        <r>
          <rPr>
            <sz val="9"/>
            <color indexed="81"/>
            <rFont val="Tahoma"/>
            <family val="2"/>
          </rPr>
          <t xml:space="preserve">2024-09-24
</t>
        </r>
      </text>
    </comment>
    <comment ref="K139" authorId="1" shapeId="0" xr:uid="{F4D71F3C-4413-4FCE-9944-9C0B49830A6B}">
      <text>
        <r>
          <rPr>
            <sz val="9"/>
            <color indexed="81"/>
            <rFont val="Tahoma"/>
            <family val="2"/>
          </rPr>
          <t>2024-10-16
2024-10-10
2024-08-26</t>
        </r>
      </text>
    </comment>
    <comment ref="K140" authorId="0" shapeId="0" xr:uid="{7C7CD481-7DFD-43CE-BD0D-0B731975F3D5}">
      <text>
        <r>
          <rPr>
            <b/>
            <sz val="9"/>
            <color indexed="81"/>
            <rFont val="Tahoma"/>
            <family val="2"/>
          </rPr>
          <t>2024-10-10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41" authorId="0" shapeId="0" xr:uid="{051DA7A9-4A13-47F7-B8D2-59DB854EBE45}">
      <text>
        <r>
          <rPr>
            <b/>
            <sz val="9"/>
            <color indexed="81"/>
            <rFont val="Tahoma"/>
            <family val="2"/>
          </rPr>
          <t>2024-10-14</t>
        </r>
      </text>
    </comment>
    <comment ref="K143" authorId="0" shapeId="0" xr:uid="{1B3F0B19-C019-45DB-A4EB-F425223CD6A0}">
      <text>
        <r>
          <rPr>
            <b/>
            <sz val="9"/>
            <color indexed="81"/>
            <rFont val="Tahoma"/>
            <family val="2"/>
          </rPr>
          <t>2023-10-23</t>
        </r>
      </text>
    </comment>
    <comment ref="K144" authorId="0" shapeId="0" xr:uid="{73C97581-14EB-41B5-9C6A-7081D3530447}">
      <text>
        <r>
          <rPr>
            <sz val="9"/>
            <color indexed="81"/>
            <rFont val="Tahoma"/>
            <family val="2"/>
          </rPr>
          <t>2024-09-23
2024-09-30
2024-10-15</t>
        </r>
      </text>
    </comment>
    <comment ref="K147" authorId="0" shapeId="0" xr:uid="{22C264F4-32B4-4D49-84B4-EE20D96B452E}">
      <text>
        <r>
          <rPr>
            <b/>
            <sz val="9"/>
            <color indexed="81"/>
            <rFont val="Tahoma"/>
            <family val="2"/>
          </rPr>
          <t>2024-11-19
2024-10-28</t>
        </r>
      </text>
    </comment>
    <comment ref="K148" authorId="0" shapeId="0" xr:uid="{6E7A54DC-06DF-4F8E-B898-54AD729C9568}">
      <text>
        <r>
          <rPr>
            <b/>
            <sz val="9"/>
            <color indexed="81"/>
            <rFont val="Tahoma"/>
            <family val="2"/>
          </rPr>
          <t>2024-11-19</t>
        </r>
      </text>
    </comment>
    <comment ref="K151" authorId="0" shapeId="0" xr:uid="{6179D26B-AFD0-4F6F-9EB2-1979F7A266D2}">
      <text>
        <r>
          <rPr>
            <b/>
            <sz val="9"/>
            <color indexed="81"/>
            <rFont val="Tahoma"/>
            <family val="2"/>
          </rPr>
          <t>2024-11-25</t>
        </r>
      </text>
    </comment>
    <comment ref="K154" authorId="0" shapeId="0" xr:uid="{7C999967-AAB5-4E31-AF4A-E8CBFDC05CB5}">
      <text>
        <r>
          <rPr>
            <b/>
            <sz val="9"/>
            <color indexed="81"/>
            <rFont val="Tahoma"/>
            <family val="2"/>
          </rPr>
          <t>2024-11-12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60" authorId="0" shapeId="0" xr:uid="{091E2EC7-6AA0-4035-A2D4-5C6898CA15CA}">
      <text>
        <r>
          <rPr>
            <b/>
            <sz val="9"/>
            <color indexed="81"/>
            <rFont val="Tahoma"/>
            <family val="2"/>
          </rPr>
          <t>2025-05-09</t>
        </r>
      </text>
    </comment>
    <comment ref="K161" authorId="0" shapeId="0" xr:uid="{16453CFE-C08B-4986-BB06-B5964262ABDB}">
      <text>
        <r>
          <rPr>
            <b/>
            <sz val="9"/>
            <color indexed="81"/>
            <rFont val="Tahoma"/>
            <family val="2"/>
          </rPr>
          <t>2024-12-12</t>
        </r>
      </text>
    </comment>
    <comment ref="K163" authorId="0" shapeId="0" xr:uid="{98E14AE3-0909-4C6C-AC4A-0FE52D59429F}">
      <text>
        <r>
          <rPr>
            <sz val="9"/>
            <color indexed="81"/>
            <rFont val="Tahoma"/>
            <family val="2"/>
          </rPr>
          <t>2024-11-14
2024-10-16</t>
        </r>
      </text>
    </comment>
    <comment ref="K165" authorId="0" shapeId="0" xr:uid="{5FF75C02-3F7E-43CE-93C0-EFEBBCD27FFC}">
      <text>
        <r>
          <rPr>
            <b/>
            <sz val="9"/>
            <color indexed="81"/>
            <rFont val="Tahoma"/>
            <family val="2"/>
          </rPr>
          <t>2024-12-16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66" authorId="0" shapeId="0" xr:uid="{F3DBA080-3C1B-4EE5-BEDF-227C48A7B9D0}">
      <text>
        <r>
          <rPr>
            <b/>
            <sz val="9"/>
            <color indexed="81"/>
            <rFont val="Tahoma"/>
            <family val="2"/>
          </rPr>
          <t>2024-12-17
2024-12-12</t>
        </r>
      </text>
    </comment>
    <comment ref="K169" authorId="0" shapeId="0" xr:uid="{30E78DC8-4630-47DC-8FA4-A0E86C5E2D22}">
      <text>
        <r>
          <rPr>
            <b/>
            <sz val="9"/>
            <color indexed="81"/>
            <rFont val="Tahoma"/>
            <family val="2"/>
          </rPr>
          <t>2024-12-04</t>
        </r>
      </text>
    </comment>
    <comment ref="K170" authorId="0" shapeId="0" xr:uid="{D753FC76-3D26-4CD1-A601-8BB4A404C121}">
      <text>
        <r>
          <rPr>
            <b/>
            <sz val="9"/>
            <color indexed="81"/>
            <rFont val="Tahoma"/>
            <family val="2"/>
          </rPr>
          <t>2024-12-10</t>
        </r>
      </text>
    </comment>
    <comment ref="K171" authorId="0" shapeId="0" xr:uid="{FE28E3E0-2F4F-46BD-ACD8-807FF793B472}">
      <text>
        <r>
          <rPr>
            <b/>
            <sz val="9"/>
            <color indexed="81"/>
            <rFont val="Tahoma"/>
            <family val="2"/>
          </rPr>
          <t>2024-12-10</t>
        </r>
      </text>
    </comment>
    <comment ref="K172" authorId="0" shapeId="0" xr:uid="{3012F3AD-0EF6-42A5-B740-419096AE6AE3}">
      <text>
        <r>
          <rPr>
            <b/>
            <sz val="9"/>
            <color indexed="81"/>
            <rFont val="Tahoma"/>
            <family val="2"/>
          </rPr>
          <t>2024-12-02</t>
        </r>
      </text>
    </comment>
    <comment ref="K175" authorId="0" shapeId="0" xr:uid="{07E65163-9420-4759-8014-2D3389585F46}">
      <text>
        <r>
          <rPr>
            <b/>
            <sz val="9"/>
            <color indexed="81"/>
            <rFont val="Tahoma"/>
            <family val="2"/>
          </rPr>
          <t>2024-12-26
2024-12-27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K7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2023-01-03
2023-01-17</t>
        </r>
      </text>
    </comment>
    <comment ref="L7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2023-05-11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Ad2023-01-25min: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3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2023-02-20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3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2023-08-08</t>
        </r>
      </text>
    </comment>
    <comment ref="K15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2023-02-13</t>
        </r>
      </text>
    </comment>
    <comment ref="L15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2023-05-16</t>
        </r>
      </text>
    </comment>
    <comment ref="K16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2023-02-10</t>
        </r>
      </text>
    </comment>
    <comment ref="L16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2023-05-08</t>
        </r>
      </text>
    </comment>
    <comment ref="N21" authorId="0" shapeId="0" xr:uid="{00000000-0006-0000-0300-00000A000000}">
      <text>
        <r>
          <rPr>
            <b/>
            <sz val="9"/>
            <color indexed="81"/>
            <rFont val="돋움"/>
            <family val="3"/>
            <charset val="129"/>
          </rPr>
          <t>국비</t>
        </r>
        <r>
          <rPr>
            <b/>
            <sz val="9"/>
            <color indexed="81"/>
            <rFont val="Tahoma"/>
            <family val="2"/>
          </rPr>
          <t xml:space="preserve"> 18
</t>
        </r>
        <r>
          <rPr>
            <b/>
            <sz val="9"/>
            <color indexed="81"/>
            <rFont val="돋움"/>
            <family val="3"/>
            <charset val="129"/>
          </rPr>
          <t>일반</t>
        </r>
        <r>
          <rPr>
            <b/>
            <sz val="9"/>
            <color indexed="81"/>
            <rFont val="Tahoma"/>
            <family val="2"/>
          </rPr>
          <t xml:space="preserve"> 1</t>
        </r>
      </text>
    </comment>
    <comment ref="K22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2023-02-23</t>
        </r>
      </text>
    </comment>
    <comment ref="L22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2023-06-02</t>
        </r>
      </text>
    </comment>
    <comment ref="K24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2023-03-02</t>
        </r>
      </text>
    </comment>
    <comment ref="L24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2023-05-22</t>
        </r>
      </text>
    </comment>
    <comment ref="K26" authorId="0" shapeId="0" xr:uid="{00000000-0006-0000-0300-00000F000000}">
      <text>
        <r>
          <rPr>
            <b/>
            <sz val="9"/>
            <color indexed="81"/>
            <rFont val="Tahoma"/>
            <family val="2"/>
          </rPr>
          <t>2023-02-14</t>
        </r>
      </text>
    </comment>
    <comment ref="K28" authorId="0" shapeId="0" xr:uid="{00000000-0006-0000-0300-000010000000}">
      <text>
        <r>
          <rPr>
            <b/>
            <sz val="9"/>
            <color indexed="81"/>
            <rFont val="Tahoma"/>
            <family val="2"/>
          </rPr>
          <t>22.12.27
2023-02-13</t>
        </r>
      </text>
    </comment>
    <comment ref="L28" authorId="0" shapeId="0" xr:uid="{00000000-0006-0000-0300-000011000000}">
      <text>
        <r>
          <rPr>
            <b/>
            <sz val="9"/>
            <color indexed="81"/>
            <rFont val="Tahoma"/>
            <family val="2"/>
          </rPr>
          <t>2023-04-11</t>
        </r>
      </text>
    </comment>
    <comment ref="N28" authorId="0" shapeId="0" xr:uid="{00000000-0006-0000-0300-000012000000}">
      <text>
        <r>
          <rPr>
            <sz val="9"/>
            <color indexed="81"/>
            <rFont val="돋움"/>
            <family val="3"/>
            <charset val="129"/>
          </rPr>
          <t>국비</t>
        </r>
        <r>
          <rPr>
            <sz val="9"/>
            <color indexed="81"/>
            <rFont val="Tahoma"/>
            <family val="2"/>
          </rPr>
          <t xml:space="preserve"> 7
</t>
        </r>
        <r>
          <rPr>
            <sz val="9"/>
            <color indexed="81"/>
            <rFont val="돋움"/>
            <family val="3"/>
            <charset val="129"/>
          </rPr>
          <t>일반</t>
        </r>
        <r>
          <rPr>
            <sz val="9"/>
            <color indexed="81"/>
            <rFont val="Tahoma"/>
            <family val="2"/>
          </rPr>
          <t xml:space="preserve"> 1
</t>
        </r>
      </text>
    </comment>
    <comment ref="L31" authorId="0" shapeId="0" xr:uid="{00000000-0006-0000-0300-000013000000}">
      <text>
        <r>
          <rPr>
            <b/>
            <sz val="9"/>
            <color indexed="81"/>
            <rFont val="Tahoma"/>
            <family val="2"/>
          </rPr>
          <t>2023-06-23</t>
        </r>
      </text>
    </comment>
    <comment ref="K35" authorId="0" shapeId="0" xr:uid="{00000000-0006-0000-0300-000014000000}">
      <text>
        <r>
          <rPr>
            <b/>
            <sz val="9"/>
            <color indexed="81"/>
            <rFont val="Tahoma"/>
            <family val="2"/>
          </rPr>
          <t>2023-03-07</t>
        </r>
      </text>
    </comment>
    <comment ref="L35" authorId="0" shapeId="0" xr:uid="{00000000-0006-0000-0300-000015000000}">
      <text>
        <r>
          <rPr>
            <b/>
            <sz val="9"/>
            <color indexed="81"/>
            <rFont val="Tahoma"/>
            <family val="2"/>
          </rPr>
          <t>2023-08-30</t>
        </r>
      </text>
    </comment>
    <comment ref="K36" authorId="0" shapeId="0" xr:uid="{00000000-0006-0000-0300-000016000000}">
      <text>
        <r>
          <rPr>
            <b/>
            <sz val="9"/>
            <color indexed="81"/>
            <rFont val="Tahoma"/>
            <family val="2"/>
          </rPr>
          <t>2023-03-07
2023-03-21</t>
        </r>
      </text>
    </comment>
    <comment ref="L36" authorId="0" shapeId="0" xr:uid="{00000000-0006-0000-0300-000017000000}">
      <text>
        <r>
          <rPr>
            <b/>
            <sz val="9"/>
            <color indexed="81"/>
            <rFont val="Tahoma"/>
            <family val="2"/>
          </rPr>
          <t>2023-06-23
2023-06-30</t>
        </r>
      </text>
    </comment>
    <comment ref="K38" authorId="0" shapeId="0" xr:uid="{00000000-0006-0000-0300-000018000000}">
      <text>
        <r>
          <rPr>
            <b/>
            <sz val="9"/>
            <color indexed="81"/>
            <rFont val="Tahoma"/>
            <family val="2"/>
          </rPr>
          <t>2023-03-14</t>
        </r>
      </text>
    </comment>
    <comment ref="L38" authorId="0" shapeId="0" xr:uid="{00000000-0006-0000-0300-000019000000}">
      <text>
        <r>
          <rPr>
            <b/>
            <sz val="9"/>
            <color indexed="81"/>
            <rFont val="Tahoma"/>
            <family val="2"/>
          </rPr>
          <t>2023-05-09
2023-06-05</t>
        </r>
      </text>
    </comment>
    <comment ref="K39" authorId="0" shapeId="0" xr:uid="{00000000-0006-0000-0300-00001A000000}">
      <text>
        <r>
          <rPr>
            <b/>
            <sz val="9"/>
            <color indexed="81"/>
            <rFont val="Tahoma"/>
            <family val="2"/>
          </rPr>
          <t>2023-02-16</t>
        </r>
      </text>
    </comment>
    <comment ref="L39" authorId="0" shapeId="0" xr:uid="{00000000-0006-0000-0300-00001B000000}">
      <text>
        <r>
          <rPr>
            <b/>
            <sz val="9"/>
            <color indexed="81"/>
            <rFont val="Tahoma"/>
            <family val="2"/>
          </rPr>
          <t>2023-07-06</t>
        </r>
      </text>
    </comment>
    <comment ref="K44" authorId="0" shapeId="0" xr:uid="{00000000-0006-0000-0300-00001C000000}">
      <text>
        <r>
          <rPr>
            <b/>
            <sz val="9"/>
            <color indexed="81"/>
            <rFont val="Tahoma"/>
            <family val="2"/>
          </rPr>
          <t>2023-03-09</t>
        </r>
      </text>
    </comment>
    <comment ref="L44" authorId="0" shapeId="0" xr:uid="{00000000-0006-0000-0300-00001D000000}">
      <text>
        <r>
          <rPr>
            <b/>
            <sz val="9"/>
            <color indexed="81"/>
            <rFont val="Tahoma"/>
            <family val="2"/>
          </rPr>
          <t>2023-06-01</t>
        </r>
      </text>
    </comment>
    <comment ref="K45" authorId="0" shapeId="0" xr:uid="{00000000-0006-0000-0300-00001E000000}">
      <text>
        <r>
          <rPr>
            <b/>
            <sz val="9"/>
            <color indexed="81"/>
            <rFont val="Tahoma"/>
            <family val="2"/>
          </rPr>
          <t>2023-03-14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46" authorId="0" shapeId="0" xr:uid="{00000000-0006-0000-0300-00001F000000}">
      <text>
        <r>
          <rPr>
            <b/>
            <sz val="9"/>
            <color indexed="81"/>
            <rFont val="Tahoma"/>
            <family val="2"/>
          </rPr>
          <t>2023-04-03</t>
        </r>
      </text>
    </comment>
    <comment ref="L46" authorId="0" shapeId="0" xr:uid="{00000000-0006-0000-0300-000020000000}">
      <text>
        <r>
          <rPr>
            <b/>
            <sz val="9"/>
            <color indexed="81"/>
            <rFont val="Tahoma"/>
            <family val="2"/>
          </rPr>
          <t>2023-09-25</t>
        </r>
      </text>
    </comment>
    <comment ref="K47" authorId="0" shapeId="0" xr:uid="{00000000-0006-0000-0300-000021000000}">
      <text>
        <r>
          <rPr>
            <b/>
            <sz val="9"/>
            <color indexed="81"/>
            <rFont val="Tahoma"/>
            <family val="2"/>
          </rPr>
          <t>2023-02-20
2023-03-14</t>
        </r>
      </text>
    </comment>
    <comment ref="L47" authorId="0" shapeId="0" xr:uid="{00000000-0006-0000-0300-000022000000}">
      <text>
        <r>
          <rPr>
            <b/>
            <sz val="9"/>
            <color indexed="81"/>
            <rFont val="Tahoma"/>
            <family val="2"/>
          </rPr>
          <t>2023-06-05
2023-06-27</t>
        </r>
      </text>
    </comment>
    <comment ref="K48" authorId="0" shapeId="0" xr:uid="{00000000-0006-0000-0300-000023000000}">
      <text>
        <r>
          <rPr>
            <b/>
            <sz val="9"/>
            <color indexed="81"/>
            <rFont val="Tahoma"/>
            <family val="2"/>
          </rPr>
          <t>2023-03-30</t>
        </r>
      </text>
    </comment>
    <comment ref="L48" authorId="0" shapeId="0" xr:uid="{00000000-0006-0000-0300-000024000000}">
      <text>
        <r>
          <rPr>
            <b/>
            <sz val="9"/>
            <color indexed="81"/>
            <rFont val="Tahoma"/>
            <family val="2"/>
          </rPr>
          <t>2023-06-09</t>
        </r>
      </text>
    </comment>
    <comment ref="K49" authorId="0" shapeId="0" xr:uid="{00000000-0006-0000-0300-000025000000}">
      <text>
        <r>
          <rPr>
            <b/>
            <sz val="9"/>
            <color indexed="81"/>
            <rFont val="Tahoma"/>
            <family val="2"/>
          </rPr>
          <t>2023-04-03</t>
        </r>
      </text>
    </comment>
    <comment ref="K50" authorId="0" shapeId="0" xr:uid="{00000000-0006-0000-0300-000026000000}">
      <text>
        <r>
          <rPr>
            <b/>
            <sz val="9"/>
            <color indexed="81"/>
            <rFont val="Tahoma"/>
            <family val="2"/>
          </rPr>
          <t>2023-02-21
2023-03-21</t>
        </r>
      </text>
    </comment>
    <comment ref="L50" authorId="0" shapeId="0" xr:uid="{00000000-0006-0000-0300-000027000000}">
      <text>
        <r>
          <rPr>
            <b/>
            <sz val="9"/>
            <color indexed="81"/>
            <rFont val="Tahoma"/>
            <family val="2"/>
          </rPr>
          <t>2023-07-13</t>
        </r>
      </text>
    </comment>
    <comment ref="L52" authorId="0" shapeId="0" xr:uid="{00000000-0006-0000-0300-000028000000}">
      <text>
        <r>
          <rPr>
            <b/>
            <sz val="9"/>
            <color indexed="81"/>
            <rFont val="Tahoma"/>
            <family val="2"/>
          </rPr>
          <t>2023-11-22</t>
        </r>
      </text>
    </comment>
    <comment ref="K55" authorId="0" shapeId="0" xr:uid="{00000000-0006-0000-0300-000029000000}">
      <text>
        <r>
          <rPr>
            <b/>
            <sz val="9"/>
            <color indexed="81"/>
            <rFont val="Tahoma"/>
            <family val="2"/>
          </rPr>
          <t>2023-04-11</t>
        </r>
      </text>
    </comment>
    <comment ref="L55" authorId="0" shapeId="0" xr:uid="{00000000-0006-0000-0300-00002A000000}">
      <text>
        <r>
          <rPr>
            <b/>
            <sz val="9"/>
            <color indexed="81"/>
            <rFont val="Tahoma"/>
            <family val="2"/>
          </rPr>
          <t>2023-06-28</t>
        </r>
      </text>
    </comment>
    <comment ref="K56" authorId="0" shapeId="0" xr:uid="{00000000-0006-0000-0300-00002B000000}">
      <text>
        <r>
          <rPr>
            <b/>
            <sz val="9"/>
            <color indexed="81"/>
            <rFont val="Tahoma"/>
            <family val="2"/>
          </rPr>
          <t>2023-04-11</t>
        </r>
      </text>
    </comment>
    <comment ref="L56" authorId="0" shapeId="0" xr:uid="{00000000-0006-0000-0300-00002C000000}">
      <text>
        <r>
          <rPr>
            <b/>
            <sz val="9"/>
            <color indexed="81"/>
            <rFont val="Tahoma"/>
            <family val="2"/>
          </rPr>
          <t>2023-06-28</t>
        </r>
      </text>
    </comment>
    <comment ref="N58" authorId="0" shapeId="0" xr:uid="{00000000-0006-0000-0300-00002D000000}">
      <text>
        <r>
          <rPr>
            <b/>
            <sz val="9"/>
            <color indexed="81"/>
            <rFont val="돋움"/>
            <family val="3"/>
            <charset val="129"/>
          </rPr>
          <t>국비</t>
        </r>
        <r>
          <rPr>
            <b/>
            <sz val="9"/>
            <color indexed="81"/>
            <rFont val="Tahoma"/>
            <family val="2"/>
          </rPr>
          <t xml:space="preserve"> 24 / </t>
        </r>
        <r>
          <rPr>
            <b/>
            <sz val="9"/>
            <color indexed="81"/>
            <rFont val="돋움"/>
            <family val="3"/>
            <charset val="129"/>
          </rPr>
          <t>일반</t>
        </r>
        <r>
          <rPr>
            <b/>
            <sz val="9"/>
            <color indexed="81"/>
            <rFont val="Tahoma"/>
            <family val="2"/>
          </rPr>
          <t>1</t>
        </r>
      </text>
    </comment>
    <comment ref="K59" authorId="0" shapeId="0" xr:uid="{00000000-0006-0000-0300-00002E000000}">
      <text>
        <r>
          <rPr>
            <b/>
            <sz val="9"/>
            <color indexed="81"/>
            <rFont val="Tahoma"/>
            <family val="2"/>
          </rPr>
          <t>2023-04-11</t>
        </r>
      </text>
    </comment>
    <comment ref="K60" authorId="0" shapeId="0" xr:uid="{00000000-0006-0000-0300-00002F000000}">
      <text>
        <r>
          <rPr>
            <b/>
            <sz val="9"/>
            <color indexed="81"/>
            <rFont val="Tahoma"/>
            <family val="2"/>
          </rPr>
          <t>2023-04-27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63" authorId="0" shapeId="0" xr:uid="{00000000-0006-0000-0300-000030000000}">
      <text>
        <r>
          <rPr>
            <b/>
            <sz val="9"/>
            <color indexed="81"/>
            <rFont val="Tahoma"/>
            <family val="2"/>
          </rPr>
          <t>2023-04-11
2023-05-09</t>
        </r>
      </text>
    </comment>
    <comment ref="L63" authorId="0" shapeId="0" xr:uid="{00000000-0006-0000-0300-000031000000}">
      <text>
        <r>
          <rPr>
            <b/>
            <sz val="9"/>
            <color indexed="81"/>
            <rFont val="Tahoma"/>
            <family val="2"/>
          </rPr>
          <t>2023-07-19</t>
        </r>
      </text>
    </comment>
    <comment ref="K65" authorId="0" shapeId="0" xr:uid="{00000000-0006-0000-0300-000032000000}">
      <text>
        <r>
          <rPr>
            <b/>
            <sz val="9"/>
            <color indexed="81"/>
            <rFont val="Tahoma"/>
            <family val="2"/>
          </rPr>
          <t>2023-03-27
2023-04-24
2023-05-08</t>
        </r>
      </text>
    </comment>
    <comment ref="L65" authorId="0" shapeId="0" xr:uid="{00000000-0006-0000-0300-000033000000}">
      <text>
        <r>
          <rPr>
            <b/>
            <sz val="9"/>
            <color indexed="81"/>
            <rFont val="Tahoma"/>
            <family val="2"/>
          </rPr>
          <t>2023-08-13</t>
        </r>
      </text>
    </comment>
    <comment ref="K66" authorId="0" shapeId="0" xr:uid="{00000000-0006-0000-0300-000034000000}">
      <text>
        <r>
          <rPr>
            <b/>
            <sz val="9"/>
            <color indexed="81"/>
            <rFont val="Tahoma"/>
            <family val="2"/>
          </rPr>
          <t>2023-04-12
2023-05-18</t>
        </r>
      </text>
    </comment>
    <comment ref="L66" authorId="0" shapeId="0" xr:uid="{00000000-0006-0000-0300-000035000000}">
      <text>
        <r>
          <rPr>
            <b/>
            <sz val="9"/>
            <color indexed="81"/>
            <rFont val="Tahoma"/>
            <family val="2"/>
          </rPr>
          <t>2023-07-20
2023-08-25</t>
        </r>
      </text>
    </comment>
    <comment ref="K69" authorId="0" shapeId="0" xr:uid="{00000000-0006-0000-0300-000036000000}">
      <text>
        <r>
          <rPr>
            <b/>
            <sz val="9"/>
            <color indexed="81"/>
            <rFont val="Tahoma"/>
            <family val="2"/>
          </rPr>
          <t>2023-05-11</t>
        </r>
      </text>
    </comment>
    <comment ref="K70" authorId="0" shapeId="0" xr:uid="{00000000-0006-0000-0300-000037000000}">
      <text>
        <r>
          <rPr>
            <b/>
            <sz val="9"/>
            <color indexed="81"/>
            <rFont val="Tahoma"/>
            <family val="2"/>
          </rPr>
          <t>2023-03-14
2023-04-11
2023-05-11</t>
        </r>
      </text>
    </comment>
    <comment ref="L70" authorId="0" shapeId="0" xr:uid="{00000000-0006-0000-0300-000038000000}">
      <text>
        <r>
          <rPr>
            <b/>
            <sz val="9"/>
            <color indexed="81"/>
            <rFont val="Tahoma"/>
            <family val="2"/>
          </rPr>
          <t>2023-07-24
2023-08-21</t>
        </r>
      </text>
    </comment>
    <comment ref="K74" authorId="0" shapeId="0" xr:uid="{00000000-0006-0000-0300-000039000000}">
      <text>
        <r>
          <rPr>
            <b/>
            <sz val="9"/>
            <color indexed="81"/>
            <rFont val="Tahoma"/>
            <family val="2"/>
          </rPr>
          <t>2023-06-12</t>
        </r>
      </text>
    </comment>
    <comment ref="L74" authorId="0" shapeId="0" xr:uid="{00000000-0006-0000-0300-00003A000000}">
      <text>
        <r>
          <rPr>
            <b/>
            <sz val="9"/>
            <color indexed="81"/>
            <rFont val="Tahoma"/>
            <family val="2"/>
          </rPr>
          <t>2023-09-04</t>
        </r>
      </text>
    </comment>
    <comment ref="K76" authorId="0" shapeId="0" xr:uid="{00000000-0006-0000-0300-00003B000000}">
      <text>
        <r>
          <rPr>
            <b/>
            <sz val="9"/>
            <color indexed="81"/>
            <rFont val="Tahoma"/>
            <family val="2"/>
          </rPr>
          <t>2023-05-30
2023-06-13</t>
        </r>
      </text>
    </comment>
    <comment ref="L76" authorId="0" shapeId="0" xr:uid="{00000000-0006-0000-0300-00003C000000}">
      <text>
        <r>
          <rPr>
            <b/>
            <sz val="9"/>
            <color indexed="81"/>
            <rFont val="Tahoma"/>
            <family val="2"/>
          </rPr>
          <t>2023-10-27
2023-11-17</t>
        </r>
      </text>
    </comment>
    <comment ref="K77" authorId="0" shapeId="0" xr:uid="{00000000-0006-0000-0300-00003D000000}">
      <text>
        <r>
          <rPr>
            <b/>
            <sz val="9"/>
            <color indexed="81"/>
            <rFont val="Tahoma"/>
            <family val="2"/>
          </rPr>
          <t>2023-06-19</t>
        </r>
      </text>
    </comment>
    <comment ref="K80" authorId="0" shapeId="0" xr:uid="{00000000-0006-0000-0300-00003E000000}">
      <text>
        <r>
          <rPr>
            <b/>
            <sz val="9"/>
            <color indexed="81"/>
            <rFont val="Tahoma"/>
            <family val="2"/>
          </rPr>
          <t>2023-06-12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80" authorId="0" shapeId="0" xr:uid="{00000000-0006-0000-0300-00003F000000}">
      <text>
        <r>
          <rPr>
            <b/>
            <sz val="9"/>
            <color indexed="81"/>
            <rFont val="Tahoma"/>
            <family val="2"/>
          </rPr>
          <t>2023-12-05</t>
        </r>
      </text>
    </comment>
    <comment ref="K82" authorId="0" shapeId="0" xr:uid="{00000000-0006-0000-0300-000040000000}">
      <text>
        <r>
          <rPr>
            <b/>
            <sz val="9"/>
            <color indexed="81"/>
            <rFont val="Tahoma"/>
            <family val="2"/>
          </rPr>
          <t>2023-07-12</t>
        </r>
      </text>
    </comment>
    <comment ref="L82" authorId="0" shapeId="0" xr:uid="{00000000-0006-0000-0300-000041000000}">
      <text>
        <r>
          <rPr>
            <b/>
            <sz val="9"/>
            <color indexed="81"/>
            <rFont val="Tahoma"/>
            <family val="2"/>
          </rPr>
          <t>2023-12-19</t>
        </r>
      </text>
    </comment>
    <comment ref="K83" authorId="0" shapeId="0" xr:uid="{00000000-0006-0000-0300-000042000000}">
      <text>
        <r>
          <rPr>
            <b/>
            <sz val="9"/>
            <color indexed="81"/>
            <rFont val="Tahoma"/>
            <family val="2"/>
          </rPr>
          <t>2023-07-18</t>
        </r>
      </text>
    </comment>
    <comment ref="K84" authorId="0" shapeId="0" xr:uid="{00000000-0006-0000-0300-000043000000}">
      <text>
        <r>
          <rPr>
            <b/>
            <sz val="9"/>
            <color indexed="81"/>
            <rFont val="Tahoma"/>
            <family val="2"/>
          </rPr>
          <t>2023-06-21</t>
        </r>
      </text>
    </comment>
    <comment ref="K86" authorId="0" shapeId="0" xr:uid="{00000000-0006-0000-0300-000044000000}">
      <text>
        <r>
          <rPr>
            <b/>
            <sz val="9"/>
            <color indexed="81"/>
            <rFont val="Tahoma"/>
            <family val="2"/>
          </rPr>
          <t>2023-07-11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86" authorId="0" shapeId="0" xr:uid="{00000000-0006-0000-0300-000045000000}">
      <text>
        <r>
          <rPr>
            <b/>
            <sz val="9"/>
            <color indexed="81"/>
            <rFont val="Tahoma"/>
            <family val="2"/>
          </rPr>
          <t>2023-10-04</t>
        </r>
      </text>
    </comment>
    <comment ref="K87" authorId="0" shapeId="0" xr:uid="{00000000-0006-0000-0300-000046000000}">
      <text>
        <r>
          <rPr>
            <b/>
            <sz val="9"/>
            <color indexed="81"/>
            <rFont val="Tahoma"/>
            <family val="2"/>
          </rPr>
          <t>2023-07-12</t>
        </r>
      </text>
    </comment>
    <comment ref="L87" authorId="0" shapeId="0" xr:uid="{00000000-0006-0000-0300-000047000000}">
      <text>
        <r>
          <rPr>
            <b/>
            <sz val="9"/>
            <color indexed="81"/>
            <rFont val="Tahoma"/>
            <family val="2"/>
          </rPr>
          <t>2024-01-09</t>
        </r>
      </text>
    </comment>
    <comment ref="K89" authorId="0" shapeId="0" xr:uid="{00000000-0006-0000-0300-000048000000}">
      <text>
        <r>
          <rPr>
            <b/>
            <sz val="9"/>
            <color indexed="81"/>
            <rFont val="Tahoma"/>
            <family val="2"/>
          </rPr>
          <t>2023-07-25</t>
        </r>
      </text>
    </comment>
    <comment ref="L89" authorId="0" shapeId="0" xr:uid="{00000000-0006-0000-0300-000049000000}">
      <text>
        <r>
          <rPr>
            <b/>
            <sz val="9"/>
            <color indexed="81"/>
            <rFont val="Tahoma"/>
            <family val="2"/>
          </rPr>
          <t>2023-11-06</t>
        </r>
      </text>
    </comment>
    <comment ref="K90" authorId="0" shapeId="0" xr:uid="{00000000-0006-0000-0300-00004A000000}">
      <text>
        <r>
          <rPr>
            <b/>
            <sz val="9"/>
            <color indexed="81"/>
            <rFont val="Tahoma"/>
            <family val="2"/>
          </rPr>
          <t>2023-04-17
2023-07-03
2023-07-17</t>
        </r>
      </text>
    </comment>
    <comment ref="L90" authorId="0" shapeId="0" xr:uid="{00000000-0006-0000-0300-00004B000000}">
      <text>
        <r>
          <rPr>
            <b/>
            <sz val="9"/>
            <color indexed="81"/>
            <rFont val="Tahoma"/>
            <family val="2"/>
          </rPr>
          <t>2023-10-04</t>
        </r>
      </text>
    </comment>
    <comment ref="K99" authorId="0" shapeId="0" xr:uid="{00000000-0006-0000-0300-00004C000000}">
      <text>
        <r>
          <rPr>
            <b/>
            <sz val="9"/>
            <color indexed="81"/>
            <rFont val="Tahoma"/>
            <family val="2"/>
          </rPr>
          <t>2023-09-04</t>
        </r>
      </text>
    </comment>
    <comment ref="L99" authorId="0" shapeId="0" xr:uid="{00000000-0006-0000-0300-00004D000000}">
      <text>
        <r>
          <rPr>
            <b/>
            <sz val="9"/>
            <color indexed="81"/>
            <rFont val="Tahoma"/>
            <family val="2"/>
          </rPr>
          <t>2024-02-29</t>
        </r>
      </text>
    </comment>
    <comment ref="K100" authorId="0" shapeId="0" xr:uid="{00000000-0006-0000-0300-00004E000000}">
      <text>
        <r>
          <rPr>
            <b/>
            <sz val="9"/>
            <color indexed="81"/>
            <rFont val="Tahoma"/>
            <family val="2"/>
          </rPr>
          <t xml:space="preserve">2023-08-24
</t>
        </r>
      </text>
    </comment>
    <comment ref="M102" authorId="0" shapeId="0" xr:uid="{00000000-0006-0000-0300-00004F000000}">
      <text>
        <r>
          <rPr>
            <b/>
            <sz val="9"/>
            <color indexed="81"/>
            <rFont val="돋움"/>
            <family val="3"/>
            <charset val="129"/>
          </rPr>
          <t>국기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재선정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과정</t>
        </r>
      </text>
    </comment>
    <comment ref="K107" authorId="0" shapeId="0" xr:uid="{00000000-0006-0000-0300-000050000000}">
      <text>
        <r>
          <rPr>
            <b/>
            <sz val="9"/>
            <color indexed="81"/>
            <rFont val="Tahoma"/>
            <family val="2"/>
          </rPr>
          <t>2023-09-04</t>
        </r>
      </text>
    </comment>
    <comment ref="L107" authorId="0" shapeId="0" xr:uid="{00000000-0006-0000-0300-000051000000}">
      <text>
        <r>
          <rPr>
            <b/>
            <sz val="9"/>
            <color indexed="81"/>
            <rFont val="Tahoma"/>
            <family val="2"/>
          </rPr>
          <t>2024-02-29</t>
        </r>
      </text>
    </comment>
    <comment ref="K108" authorId="0" shapeId="0" xr:uid="{00000000-0006-0000-0300-000052000000}">
      <text>
        <r>
          <rPr>
            <b/>
            <sz val="9"/>
            <color indexed="81"/>
            <rFont val="Tahoma"/>
            <family val="2"/>
          </rPr>
          <t>2023-09-06</t>
        </r>
      </text>
    </comment>
    <comment ref="K109" authorId="0" shapeId="0" xr:uid="{00000000-0006-0000-0300-000053000000}">
      <text>
        <r>
          <rPr>
            <b/>
            <sz val="9"/>
            <color indexed="81"/>
            <rFont val="Tahoma"/>
            <family val="2"/>
          </rPr>
          <t>2023-09-12</t>
        </r>
      </text>
    </comment>
    <comment ref="L109" authorId="0" shapeId="0" xr:uid="{00000000-0006-0000-0300-000054000000}">
      <text>
        <r>
          <rPr>
            <b/>
            <sz val="9"/>
            <color indexed="81"/>
            <rFont val="Tahoma"/>
            <family val="2"/>
          </rPr>
          <t>2023-12-15</t>
        </r>
      </text>
    </comment>
    <comment ref="K110" authorId="0" shapeId="0" xr:uid="{00000000-0006-0000-0300-000055000000}">
      <text>
        <r>
          <rPr>
            <b/>
            <sz val="9"/>
            <color indexed="81"/>
            <rFont val="Tahoma"/>
            <family val="2"/>
          </rPr>
          <t>2023-09-11</t>
        </r>
      </text>
    </comment>
    <comment ref="L110" authorId="0" shapeId="0" xr:uid="{00000000-0006-0000-0300-000056000000}">
      <text>
        <r>
          <rPr>
            <b/>
            <sz val="9"/>
            <color indexed="81"/>
            <rFont val="Tahoma"/>
            <family val="2"/>
          </rPr>
          <t>2024-04-03</t>
        </r>
      </text>
    </comment>
    <comment ref="K111" authorId="0" shapeId="0" xr:uid="{00000000-0006-0000-0300-000057000000}">
      <text>
        <r>
          <rPr>
            <b/>
            <sz val="9"/>
            <color indexed="81"/>
            <rFont val="Tahoma"/>
            <family val="2"/>
          </rPr>
          <t>2023-08-24</t>
        </r>
      </text>
    </comment>
    <comment ref="N111" authorId="0" shapeId="0" xr:uid="{00000000-0006-0000-0300-000058000000}">
      <text>
        <r>
          <rPr>
            <b/>
            <sz val="9"/>
            <color indexed="81"/>
            <rFont val="돋움"/>
            <family val="3"/>
            <charset val="129"/>
          </rPr>
          <t>국비</t>
        </r>
        <r>
          <rPr>
            <b/>
            <sz val="9"/>
            <color indexed="81"/>
            <rFont val="Tahoma"/>
            <family val="2"/>
          </rPr>
          <t xml:space="preserve">14
</t>
        </r>
        <r>
          <rPr>
            <b/>
            <sz val="9"/>
            <color indexed="81"/>
            <rFont val="돋움"/>
            <family val="3"/>
            <charset val="129"/>
          </rPr>
          <t>일반</t>
        </r>
        <r>
          <rPr>
            <b/>
            <sz val="9"/>
            <color indexed="81"/>
            <rFont val="Tahoma"/>
            <family val="2"/>
          </rPr>
          <t>2</t>
        </r>
      </text>
    </comment>
    <comment ref="K113" authorId="0" shapeId="0" xr:uid="{00000000-0006-0000-0300-000059000000}">
      <text>
        <r>
          <rPr>
            <b/>
            <sz val="9"/>
            <color indexed="81"/>
            <rFont val="Tahoma"/>
            <family val="2"/>
          </rPr>
          <t>2023-08-24</t>
        </r>
      </text>
    </comment>
    <comment ref="L113" authorId="0" shapeId="0" xr:uid="{00000000-0006-0000-0300-00005A000000}">
      <text>
        <r>
          <rPr>
            <b/>
            <sz val="9"/>
            <color indexed="81"/>
            <rFont val="Tahoma"/>
            <family val="2"/>
          </rPr>
          <t>2024-03-05</t>
        </r>
      </text>
    </comment>
    <comment ref="K115" authorId="0" shapeId="0" xr:uid="{00000000-0006-0000-0300-00005B000000}">
      <text>
        <r>
          <rPr>
            <b/>
            <sz val="9"/>
            <color indexed="81"/>
            <rFont val="Tahoma"/>
            <family val="2"/>
          </rPr>
          <t>2023-09-07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16" authorId="0" shapeId="0" xr:uid="{00000000-0006-0000-0300-00005C000000}">
      <text>
        <r>
          <rPr>
            <b/>
            <sz val="9"/>
            <color indexed="81"/>
            <rFont val="Tahoma"/>
            <family val="2"/>
          </rPr>
          <t>2023-09-07</t>
        </r>
      </text>
    </comment>
    <comment ref="L116" authorId="0" shapeId="0" xr:uid="{00000000-0006-0000-0300-00005D000000}">
      <text>
        <r>
          <rPr>
            <b/>
            <sz val="9"/>
            <color indexed="81"/>
            <rFont val="Tahoma"/>
            <family val="2"/>
          </rPr>
          <t>2023-12-19</t>
        </r>
      </text>
    </comment>
    <comment ref="K117" authorId="0" shapeId="0" xr:uid="{00000000-0006-0000-0300-00005E000000}">
      <text>
        <r>
          <rPr>
            <b/>
            <sz val="9"/>
            <color indexed="81"/>
            <rFont val="Tahoma"/>
            <family val="2"/>
          </rPr>
          <t>2023-08-30
2023-09-04</t>
        </r>
      </text>
    </comment>
    <comment ref="L117" authorId="0" shapeId="0" xr:uid="{00000000-0006-0000-0300-00005F000000}">
      <text>
        <r>
          <rPr>
            <b/>
            <sz val="9"/>
            <color indexed="81"/>
            <rFont val="Tahoma"/>
            <family val="2"/>
          </rPr>
          <t>2023-12-15</t>
        </r>
      </text>
    </comment>
    <comment ref="K118" authorId="0" shapeId="0" xr:uid="{00000000-0006-0000-0300-000060000000}">
      <text>
        <r>
          <rPr>
            <b/>
            <sz val="9"/>
            <color indexed="81"/>
            <rFont val="Tahoma"/>
            <family val="2"/>
          </rPr>
          <t>2023-08-30</t>
        </r>
      </text>
    </comment>
    <comment ref="K119" authorId="0" shapeId="0" xr:uid="{00000000-0006-0000-0300-000061000000}">
      <text>
        <r>
          <rPr>
            <b/>
            <sz val="9"/>
            <color indexed="81"/>
            <rFont val="Tahoma"/>
            <family val="2"/>
          </rPr>
          <t>2023-08-24
2023-09-13</t>
        </r>
      </text>
    </comment>
    <comment ref="K121" authorId="0" shapeId="0" xr:uid="{00000000-0006-0000-0300-000062000000}">
      <text>
        <r>
          <rPr>
            <b/>
            <sz val="9"/>
            <color indexed="81"/>
            <rFont val="Tahoma"/>
            <family val="2"/>
          </rPr>
          <t>2023-09-12</t>
        </r>
      </text>
    </comment>
    <comment ref="L121" authorId="0" shapeId="0" xr:uid="{00000000-0006-0000-0300-000063000000}">
      <text>
        <r>
          <rPr>
            <b/>
            <sz val="9"/>
            <color indexed="81"/>
            <rFont val="Tahoma"/>
            <family val="2"/>
          </rPr>
          <t>2024-06-11</t>
        </r>
      </text>
    </comment>
    <comment ref="K122" authorId="0" shapeId="0" xr:uid="{00000000-0006-0000-0300-000064000000}">
      <text>
        <r>
          <rPr>
            <b/>
            <sz val="9"/>
            <color indexed="81"/>
            <rFont val="Tahoma"/>
            <family val="2"/>
          </rPr>
          <t>2023-09-18</t>
        </r>
      </text>
    </comment>
    <comment ref="L122" authorId="0" shapeId="0" xr:uid="{00000000-0006-0000-0300-000065000000}">
      <text>
        <r>
          <rPr>
            <b/>
            <sz val="9"/>
            <color indexed="81"/>
            <rFont val="Tahoma"/>
            <family val="2"/>
          </rPr>
          <t>2023-12-20</t>
        </r>
      </text>
    </comment>
    <comment ref="K123" authorId="0" shapeId="0" xr:uid="{00000000-0006-0000-0300-000066000000}">
      <text>
        <r>
          <rPr>
            <b/>
            <sz val="9"/>
            <color indexed="81"/>
            <rFont val="Tahoma"/>
            <family val="2"/>
          </rPr>
          <t>2023-09-19</t>
        </r>
      </text>
    </comment>
    <comment ref="L123" authorId="0" shapeId="0" xr:uid="{00000000-0006-0000-0300-000067000000}">
      <text>
        <r>
          <rPr>
            <b/>
            <sz val="9"/>
            <color indexed="81"/>
            <rFont val="Tahoma"/>
            <family val="2"/>
          </rPr>
          <t>2023-12-11</t>
        </r>
      </text>
    </comment>
    <comment ref="K124" authorId="0" shapeId="0" xr:uid="{00000000-0006-0000-0300-000068000000}">
      <text>
        <r>
          <rPr>
            <b/>
            <sz val="9"/>
            <color indexed="81"/>
            <rFont val="Tahoma"/>
            <family val="2"/>
          </rPr>
          <t>2023-09-07</t>
        </r>
      </text>
    </comment>
    <comment ref="K125" authorId="0" shapeId="0" xr:uid="{00000000-0006-0000-0300-000069000000}">
      <text>
        <r>
          <rPr>
            <b/>
            <sz val="9"/>
            <color indexed="81"/>
            <rFont val="Tahoma"/>
            <family val="2"/>
          </rPr>
          <t>2023-09-07</t>
        </r>
      </text>
    </comment>
    <comment ref="K129" authorId="0" shapeId="0" xr:uid="{00000000-0006-0000-0300-00006A000000}">
      <text>
        <r>
          <rPr>
            <b/>
            <sz val="9"/>
            <color indexed="81"/>
            <rFont val="Tahoma"/>
            <family val="2"/>
          </rPr>
          <t>2023-10-23</t>
        </r>
      </text>
    </comment>
    <comment ref="L129" authorId="0" shapeId="0" xr:uid="{00000000-0006-0000-0300-00006B000000}">
      <text>
        <r>
          <rPr>
            <b/>
            <sz val="9"/>
            <color indexed="81"/>
            <rFont val="Tahoma"/>
            <family val="2"/>
          </rPr>
          <t>2024-04-11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30" authorId="0" shapeId="0" xr:uid="{00000000-0006-0000-0300-00006C000000}">
      <text>
        <r>
          <rPr>
            <b/>
            <sz val="9"/>
            <color indexed="81"/>
            <rFont val="Tahoma"/>
            <family val="2"/>
          </rPr>
          <t>2023-10-23</t>
        </r>
      </text>
    </comment>
    <comment ref="K131" authorId="0" shapeId="0" xr:uid="{00000000-0006-0000-0300-00006D000000}">
      <text>
        <r>
          <rPr>
            <b/>
            <sz val="9"/>
            <color indexed="81"/>
            <rFont val="Tahoma"/>
            <family val="2"/>
          </rPr>
          <t>2023-09-01
2023-10-18</t>
        </r>
      </text>
    </comment>
    <comment ref="L131" authorId="0" shapeId="0" xr:uid="{00000000-0006-0000-0300-00006E000000}">
      <text>
        <r>
          <rPr>
            <b/>
            <sz val="9"/>
            <color indexed="81"/>
            <rFont val="Tahoma"/>
            <family val="2"/>
          </rPr>
          <t>2024-03-15</t>
        </r>
      </text>
    </comment>
    <comment ref="K138" authorId="0" shapeId="0" xr:uid="{00000000-0006-0000-0300-00006F000000}">
      <text>
        <r>
          <rPr>
            <b/>
            <sz val="9"/>
            <color indexed="81"/>
            <rFont val="Tahoma"/>
            <family val="2"/>
          </rPr>
          <t>2023-10-24</t>
        </r>
      </text>
    </comment>
    <comment ref="K140" authorId="0" shapeId="0" xr:uid="{00000000-0006-0000-0300-000070000000}">
      <text>
        <r>
          <rPr>
            <b/>
            <sz val="9"/>
            <color indexed="81"/>
            <rFont val="Tahoma"/>
            <family val="2"/>
          </rPr>
          <t>2023-10-11</t>
        </r>
      </text>
    </comment>
    <comment ref="K142" authorId="0" shapeId="0" xr:uid="{00000000-0006-0000-0300-000071000000}">
      <text>
        <r>
          <rPr>
            <b/>
            <sz val="9"/>
            <color indexed="81"/>
            <rFont val="Tahoma"/>
            <family val="2"/>
          </rPr>
          <t>2023-10-19
2023-10-30</t>
        </r>
      </text>
    </comment>
    <comment ref="L142" authorId="0" shapeId="0" xr:uid="{00000000-0006-0000-0300-000072000000}">
      <text>
        <r>
          <rPr>
            <b/>
            <sz val="9"/>
            <color indexed="81"/>
            <rFont val="Tahoma"/>
            <family val="2"/>
          </rPr>
          <t>2024-04-16
2024-04-25</t>
        </r>
      </text>
    </comment>
    <comment ref="K143" authorId="0" shapeId="0" xr:uid="{00000000-0006-0000-0300-000073000000}">
      <text>
        <r>
          <rPr>
            <b/>
            <sz val="9"/>
            <color indexed="81"/>
            <rFont val="Tahoma"/>
            <family val="2"/>
          </rPr>
          <t>2023-11-13</t>
        </r>
      </text>
    </comment>
    <comment ref="L143" authorId="0" shapeId="0" xr:uid="{00000000-0006-0000-0300-000074000000}">
      <text>
        <r>
          <rPr>
            <b/>
            <sz val="9"/>
            <color indexed="81"/>
            <rFont val="Tahoma"/>
            <family val="2"/>
          </rPr>
          <t>2024-05-09</t>
        </r>
      </text>
    </comment>
    <comment ref="K147" authorId="0" shapeId="0" xr:uid="{00000000-0006-0000-0300-000075000000}">
      <text>
        <r>
          <rPr>
            <b/>
            <sz val="9"/>
            <color indexed="81"/>
            <rFont val="Tahoma"/>
            <family val="2"/>
          </rPr>
          <t>2023-11-16
2023-11-30</t>
        </r>
      </text>
    </comment>
    <comment ref="L147" authorId="0" shapeId="0" xr:uid="{00000000-0006-0000-0300-000076000000}">
      <text>
        <r>
          <rPr>
            <b/>
            <sz val="9"/>
            <color indexed="81"/>
            <rFont val="Tahoma"/>
            <family val="2"/>
          </rPr>
          <t>2024-04-25
2024-05-10</t>
        </r>
      </text>
    </comment>
    <comment ref="K148" authorId="0" shapeId="0" xr:uid="{00000000-0006-0000-0300-000077000000}">
      <text>
        <r>
          <rPr>
            <b/>
            <sz val="9"/>
            <color indexed="81"/>
            <rFont val="Tahoma"/>
            <family val="2"/>
          </rPr>
          <t>2023-12-13</t>
        </r>
      </text>
    </comment>
    <comment ref="L148" authorId="0" shapeId="0" xr:uid="{00000000-0006-0000-0300-000078000000}">
      <text>
        <r>
          <rPr>
            <b/>
            <sz val="9"/>
            <color indexed="81"/>
            <rFont val="Tahoma"/>
            <family val="2"/>
          </rPr>
          <t>2024-04-09</t>
        </r>
      </text>
    </comment>
    <comment ref="K152" authorId="0" shapeId="0" xr:uid="{00000000-0006-0000-0300-000079000000}">
      <text>
        <r>
          <rPr>
            <b/>
            <sz val="9"/>
            <color indexed="81"/>
            <rFont val="Tahoma"/>
            <family val="2"/>
          </rPr>
          <t>2023-12-13</t>
        </r>
      </text>
    </comment>
    <comment ref="L152" authorId="0" shapeId="0" xr:uid="{00000000-0006-0000-0300-00007A000000}">
      <text>
        <r>
          <rPr>
            <b/>
            <sz val="9"/>
            <color indexed="81"/>
            <rFont val="Tahoma"/>
            <family val="2"/>
          </rPr>
          <t>2024-09-12
2024-09-30</t>
        </r>
      </text>
    </comment>
    <comment ref="K153" authorId="0" shapeId="0" xr:uid="{00000000-0006-0000-0300-00007B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2023-10-10
2023-12-20</t>
        </r>
      </text>
    </comment>
    <comment ref="L153" authorId="0" shapeId="0" xr:uid="{00000000-0006-0000-0300-00007C000000}">
      <text>
        <r>
          <rPr>
            <b/>
            <sz val="9"/>
            <color indexed="81"/>
            <rFont val="Tahoma"/>
            <family val="2"/>
          </rPr>
          <t>2024-06-20</t>
        </r>
      </text>
    </comment>
    <comment ref="K156" authorId="0" shapeId="0" xr:uid="{00000000-0006-0000-0300-00007D000000}">
      <text>
        <r>
          <rPr>
            <b/>
            <sz val="9"/>
            <color indexed="81"/>
            <rFont val="Tahoma"/>
            <family val="2"/>
          </rPr>
          <t>2023-11-28</t>
        </r>
      </text>
    </comment>
    <comment ref="L156" authorId="0" shapeId="0" xr:uid="{00000000-0006-0000-0300-00007E000000}">
      <text>
        <r>
          <rPr>
            <b/>
            <sz val="9"/>
            <color indexed="81"/>
            <rFont val="Tahoma"/>
            <family val="2"/>
          </rPr>
          <t>2024-06-17</t>
        </r>
      </text>
    </comment>
    <comment ref="M156" authorId="0" shapeId="0" xr:uid="{00000000-0006-0000-0300-00007F000000}">
      <text>
        <r>
          <rPr>
            <b/>
            <sz val="9"/>
            <color indexed="81"/>
            <rFont val="Tahoma"/>
            <family val="2"/>
          </rPr>
          <t xml:space="preserve">*HRD </t>
        </r>
        <r>
          <rPr>
            <b/>
            <sz val="9"/>
            <color indexed="81"/>
            <rFont val="돋움"/>
            <family val="3"/>
            <charset val="129"/>
          </rPr>
          <t>홈페이지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변경예정</t>
        </r>
        <r>
          <rPr>
            <b/>
            <sz val="9"/>
            <color indexed="81"/>
            <rFont val="Tahoma"/>
            <family val="2"/>
          </rPr>
          <t>(21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>35)</t>
        </r>
      </text>
    </comment>
    <comment ref="K158" authorId="0" shapeId="0" xr:uid="{00000000-0006-0000-0300-000080000000}">
      <text>
        <r>
          <rPr>
            <b/>
            <sz val="9"/>
            <color indexed="81"/>
            <rFont val="Tahoma"/>
            <family val="2"/>
          </rPr>
          <t>2023-12-19</t>
        </r>
      </text>
    </comment>
    <comment ref="K160" authorId="0" shapeId="0" xr:uid="{00000000-0006-0000-0300-000081000000}">
      <text>
        <r>
          <rPr>
            <b/>
            <sz val="9"/>
            <color indexed="81"/>
            <rFont val="Tahoma"/>
            <family val="2"/>
          </rPr>
          <t>2023-12-22
2023-12-27</t>
        </r>
      </text>
    </comment>
    <comment ref="L160" authorId="0" shapeId="0" xr:uid="{00000000-0006-0000-0300-000082000000}">
      <text>
        <r>
          <rPr>
            <b/>
            <sz val="9"/>
            <color indexed="81"/>
            <rFont val="Tahoma"/>
            <family val="2"/>
          </rPr>
          <t>2024-05-24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J3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2021-12-31</t>
        </r>
      </text>
    </comment>
    <comment ref="K3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2022-07-22</t>
        </r>
      </text>
    </comment>
    <comment ref="J5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2022-01-18</t>
        </r>
      </text>
    </comment>
    <comment ref="K5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2022-06-17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6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22-01-21</t>
        </r>
      </text>
    </comment>
    <comment ref="J15" authorId="0" shapeId="0" xr:uid="{00000000-0006-0000-0500-000006000000}">
      <text>
        <r>
          <rPr>
            <sz val="9"/>
            <color indexed="81"/>
            <rFont val="돋움"/>
            <family val="3"/>
            <charset val="129"/>
          </rPr>
          <t>개강연기</t>
        </r>
        <r>
          <rPr>
            <sz val="9"/>
            <color indexed="81"/>
            <rFont val="Tahoma"/>
            <family val="2"/>
          </rPr>
          <t>(1</t>
        </r>
        <r>
          <rPr>
            <sz val="9"/>
            <color indexed="81"/>
            <rFont val="돋움"/>
            <family val="3"/>
            <charset val="129"/>
          </rPr>
          <t>차</t>
        </r>
        <r>
          <rPr>
            <sz val="9"/>
            <color indexed="81"/>
            <rFont val="Tahoma"/>
            <family val="2"/>
          </rPr>
          <t xml:space="preserve">) 02.21 </t>
        </r>
        <r>
          <rPr>
            <sz val="9"/>
            <color indexed="81"/>
            <rFont val="돋움"/>
            <family val="3"/>
            <charset val="129"/>
          </rPr>
          <t>→</t>
        </r>
        <r>
          <rPr>
            <sz val="9"/>
            <color indexed="81"/>
            <rFont val="Tahoma"/>
            <family val="2"/>
          </rPr>
          <t xml:space="preserve"> 03.03
</t>
        </r>
      </text>
    </comment>
    <comment ref="J18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 xml:space="preserve">2022-03-02 </t>
        </r>
        <r>
          <rPr>
            <b/>
            <sz val="9"/>
            <color indexed="81"/>
            <rFont val="돋움"/>
            <family val="3"/>
            <charset val="129"/>
          </rPr>
          <t>개강일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</t>
        </r>
      </text>
    </comment>
    <comment ref="J24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2022-03-07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24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2022-05-19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5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2022-02-28 
(</t>
        </r>
        <r>
          <rPr>
            <b/>
            <sz val="9"/>
            <color indexed="81"/>
            <rFont val="돋움"/>
            <family val="3"/>
            <charset val="129"/>
          </rPr>
          <t>모집률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저조</t>
        </r>
        <r>
          <rPr>
            <b/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25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2022-07-08
2020-07-11</t>
        </r>
      </text>
    </comment>
    <comment ref="J26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2022-03-08
(</t>
        </r>
        <r>
          <rPr>
            <b/>
            <sz val="9"/>
            <color indexed="81"/>
            <rFont val="돋움"/>
            <family val="3"/>
            <charset val="129"/>
          </rPr>
          <t>모집률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저조</t>
        </r>
        <r>
          <rPr>
            <b/>
            <sz val="9"/>
            <color indexed="81"/>
            <rFont val="Tahoma"/>
            <family val="2"/>
          </rPr>
          <t xml:space="preserve">)
</t>
        </r>
      </text>
    </comment>
    <comment ref="K26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2022-04-15
2022-07-18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7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2022-03-15</t>
        </r>
      </text>
    </comment>
    <comment ref="K27" authorId="0" shapeId="0" xr:uid="{00000000-0006-0000-0500-00000F000000}">
      <text>
        <r>
          <rPr>
            <b/>
            <sz val="9"/>
            <color indexed="81"/>
            <rFont val="Tahoma"/>
            <family val="2"/>
          </rPr>
          <t>2022-06-07</t>
        </r>
      </text>
    </comment>
    <comment ref="J28" authorId="0" shapeId="0" xr:uid="{00000000-0006-0000-0500-000010000000}">
      <text>
        <r>
          <rPr>
            <b/>
            <sz val="9"/>
            <color indexed="81"/>
            <rFont val="Tahoma"/>
            <family val="2"/>
          </rPr>
          <t>2022-03-23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28" authorId="0" shapeId="0" xr:uid="{00000000-0006-0000-0500-000011000000}">
      <text>
        <r>
          <rPr>
            <b/>
            <sz val="9"/>
            <color indexed="81"/>
            <rFont val="Tahoma"/>
            <family val="2"/>
          </rPr>
          <t>2022-07-08</t>
        </r>
      </text>
    </comment>
    <comment ref="J29" authorId="0" shapeId="0" xr:uid="{00000000-0006-0000-0500-000012000000}">
      <text>
        <r>
          <rPr>
            <b/>
            <sz val="9"/>
            <color indexed="81"/>
            <rFont val="Tahoma"/>
            <family val="2"/>
          </rPr>
          <t>2022-03-23</t>
        </r>
      </text>
    </comment>
    <comment ref="K29" authorId="0" shapeId="0" xr:uid="{00000000-0006-0000-0500-000013000000}">
      <text>
        <r>
          <rPr>
            <b/>
            <sz val="9"/>
            <color indexed="81"/>
            <rFont val="Tahoma"/>
            <family val="2"/>
          </rPr>
          <t>2022-06-09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32" authorId="0" shapeId="0" xr:uid="{00000000-0006-0000-0500-000014000000}">
      <text>
        <r>
          <rPr>
            <b/>
            <sz val="9"/>
            <color indexed="81"/>
            <rFont val="Tahoma"/>
            <family val="2"/>
          </rPr>
          <t>2022-03-28</t>
        </r>
      </text>
    </comment>
    <comment ref="K32" authorId="0" shapeId="0" xr:uid="{00000000-0006-0000-0500-000015000000}">
      <text>
        <r>
          <rPr>
            <b/>
            <sz val="9"/>
            <color indexed="81"/>
            <rFont val="Tahoma"/>
            <family val="2"/>
          </rPr>
          <t>2022-08-08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33" authorId="0" shapeId="0" xr:uid="{00000000-0006-0000-0500-000016000000}">
      <text>
        <r>
          <rPr>
            <b/>
            <sz val="9"/>
            <color indexed="81"/>
            <rFont val="Tahoma"/>
            <family val="2"/>
          </rPr>
          <t>2022-03-28
2022-04-04</t>
        </r>
      </text>
    </comment>
    <comment ref="K33" authorId="0" shapeId="0" xr:uid="{00000000-0006-0000-0500-000017000000}">
      <text>
        <r>
          <rPr>
            <b/>
            <sz val="9"/>
            <color indexed="81"/>
            <rFont val="Tahoma"/>
            <family val="2"/>
          </rPr>
          <t>2022-06-27</t>
        </r>
        <r>
          <rPr>
            <sz val="9"/>
            <color indexed="81"/>
            <rFont val="Tahoma"/>
            <family val="2"/>
          </rPr>
          <t xml:space="preserve">
2022-07-04</t>
        </r>
      </text>
    </comment>
    <comment ref="J38" authorId="0" shapeId="0" xr:uid="{00000000-0006-0000-0500-000018000000}">
      <text>
        <r>
          <rPr>
            <b/>
            <sz val="9"/>
            <color indexed="81"/>
            <rFont val="Tahoma"/>
            <family val="2"/>
          </rPr>
          <t>2022-03-22</t>
        </r>
      </text>
    </comment>
    <comment ref="K38" authorId="0" shapeId="0" xr:uid="{00000000-0006-0000-0500-000019000000}">
      <text>
        <r>
          <rPr>
            <b/>
            <sz val="9"/>
            <color indexed="81"/>
            <rFont val="Tahoma"/>
            <family val="2"/>
          </rPr>
          <t>2022-07-05</t>
        </r>
      </text>
    </comment>
    <comment ref="K43" authorId="0" shapeId="0" xr:uid="{00000000-0006-0000-0500-00001A000000}">
      <text>
        <r>
          <rPr>
            <b/>
            <sz val="9"/>
            <color indexed="81"/>
            <rFont val="Tahoma"/>
            <family val="2"/>
          </rPr>
          <t>2022-09-16</t>
        </r>
      </text>
    </comment>
    <comment ref="J44" authorId="0" shapeId="0" xr:uid="{00000000-0006-0000-0500-00001B000000}">
      <text>
        <r>
          <rPr>
            <b/>
            <sz val="9"/>
            <color indexed="81"/>
            <rFont val="Tahoma"/>
            <family val="2"/>
          </rPr>
          <t>2022-03-25</t>
        </r>
        <r>
          <rPr>
            <sz val="9"/>
            <color indexed="81"/>
            <rFont val="Tahoma"/>
            <family val="2"/>
          </rPr>
          <t xml:space="preserve">
2022-03-31</t>
        </r>
      </text>
    </comment>
    <comment ref="K44" authorId="0" shapeId="0" xr:uid="{00000000-0006-0000-0500-00001C000000}">
      <text>
        <r>
          <rPr>
            <b/>
            <sz val="9"/>
            <color indexed="81"/>
            <rFont val="Tahoma"/>
            <family val="2"/>
          </rPr>
          <t>2022-06-20
2022-06-24</t>
        </r>
      </text>
    </comment>
    <comment ref="J45" authorId="0" shapeId="0" xr:uid="{00000000-0006-0000-0500-00001D000000}">
      <text>
        <r>
          <rPr>
            <b/>
            <sz val="9"/>
            <color indexed="81"/>
            <rFont val="Tahoma"/>
            <family val="2"/>
          </rPr>
          <t>2022-03-28</t>
        </r>
      </text>
    </comment>
    <comment ref="K45" authorId="0" shapeId="0" xr:uid="{00000000-0006-0000-0500-00001E000000}">
      <text>
        <r>
          <rPr>
            <b/>
            <sz val="9"/>
            <color indexed="81"/>
            <rFont val="Tahoma"/>
            <family val="2"/>
          </rPr>
          <t>2022-07-27</t>
        </r>
        <r>
          <rPr>
            <sz val="9"/>
            <color indexed="81"/>
            <rFont val="Tahoma"/>
            <family val="2"/>
          </rPr>
          <t xml:space="preserve">
2022-08-29</t>
        </r>
      </text>
    </comment>
    <comment ref="J50" authorId="0" shapeId="0" xr:uid="{00000000-0006-0000-0500-00001F000000}">
      <text>
        <r>
          <rPr>
            <b/>
            <sz val="9"/>
            <color indexed="81"/>
            <rFont val="Tahoma"/>
            <family val="2"/>
          </rPr>
          <t>2022-04-19
2022-04-26</t>
        </r>
      </text>
    </comment>
    <comment ref="K50" authorId="0" shapeId="0" xr:uid="{00000000-0006-0000-0500-000020000000}">
      <text>
        <r>
          <rPr>
            <b/>
            <sz val="9"/>
            <color indexed="81"/>
            <rFont val="Tahoma"/>
            <family val="2"/>
          </rPr>
          <t>2022-07-28
2022-08-04</t>
        </r>
      </text>
    </comment>
    <comment ref="J52" authorId="0" shapeId="0" xr:uid="{00000000-0006-0000-0500-000021000000}">
      <text>
        <r>
          <rPr>
            <b/>
            <sz val="9"/>
            <color indexed="81"/>
            <rFont val="Tahoma"/>
            <family val="2"/>
          </rPr>
          <t>2022-04-21</t>
        </r>
      </text>
    </comment>
    <comment ref="K52" authorId="0" shapeId="0" xr:uid="{00000000-0006-0000-0500-000022000000}">
      <text>
        <r>
          <rPr>
            <b/>
            <sz val="9"/>
            <color indexed="81"/>
            <rFont val="Tahoma"/>
            <family val="2"/>
          </rPr>
          <t>2022-08-24</t>
        </r>
      </text>
    </comment>
    <comment ref="J55" authorId="0" shapeId="0" xr:uid="{00000000-0006-0000-0500-000023000000}">
      <text>
        <r>
          <rPr>
            <b/>
            <sz val="9"/>
            <color indexed="81"/>
            <rFont val="Tahoma"/>
            <family val="2"/>
          </rPr>
          <t>2022-04-27</t>
        </r>
      </text>
    </comment>
    <comment ref="K55" authorId="0" shapeId="0" xr:uid="{00000000-0006-0000-0500-000024000000}">
      <text>
        <r>
          <rPr>
            <b/>
            <sz val="9"/>
            <color indexed="81"/>
            <rFont val="Tahoma"/>
            <family val="2"/>
          </rPr>
          <t>2022-07-20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56" authorId="0" shapeId="0" xr:uid="{00000000-0006-0000-0500-000025000000}">
      <text>
        <r>
          <rPr>
            <b/>
            <sz val="9"/>
            <color indexed="81"/>
            <rFont val="Tahoma"/>
            <family val="2"/>
          </rPr>
          <t>2022-04-26</t>
        </r>
      </text>
    </comment>
    <comment ref="K56" authorId="0" shapeId="0" xr:uid="{00000000-0006-0000-0500-000026000000}">
      <text>
        <r>
          <rPr>
            <b/>
            <sz val="9"/>
            <color indexed="81"/>
            <rFont val="Tahoma"/>
            <family val="2"/>
          </rPr>
          <t>2022-12-23</t>
        </r>
      </text>
    </comment>
    <comment ref="J59" authorId="0" shapeId="0" xr:uid="{00000000-0006-0000-0500-000027000000}">
      <text>
        <r>
          <rPr>
            <b/>
            <sz val="9"/>
            <color indexed="81"/>
            <rFont val="Tahoma"/>
            <family val="2"/>
          </rPr>
          <t>2022-05-20</t>
        </r>
      </text>
    </comment>
    <comment ref="J60" authorId="0" shapeId="0" xr:uid="{00000000-0006-0000-0500-000028000000}">
      <text>
        <r>
          <rPr>
            <b/>
            <sz val="9"/>
            <color indexed="81"/>
            <rFont val="Tahoma"/>
            <family val="2"/>
          </rPr>
          <t>2022-04-11
2022-05-09</t>
        </r>
      </text>
    </comment>
    <comment ref="K60" authorId="0" shapeId="0" xr:uid="{00000000-0006-0000-0500-000029000000}">
      <text>
        <r>
          <rPr>
            <b/>
            <sz val="9"/>
            <color indexed="81"/>
            <rFont val="Tahoma"/>
            <family val="2"/>
          </rPr>
          <t>2022-09-23
2022-10-24</t>
        </r>
      </text>
    </comment>
    <comment ref="J61" authorId="0" shapeId="0" xr:uid="{00000000-0006-0000-0500-00002A000000}">
      <text>
        <r>
          <rPr>
            <b/>
            <sz val="9"/>
            <color indexed="81"/>
            <rFont val="Tahoma"/>
            <family val="2"/>
          </rPr>
          <t>2022-05-10</t>
        </r>
      </text>
    </comment>
    <comment ref="K61" authorId="0" shapeId="0" xr:uid="{00000000-0006-0000-0500-00002B000000}">
      <text>
        <r>
          <rPr>
            <b/>
            <sz val="9"/>
            <color indexed="81"/>
            <rFont val="Tahoma"/>
            <family val="2"/>
          </rPr>
          <t>2022-11-07
2022-10-07</t>
        </r>
      </text>
    </comment>
    <comment ref="J62" authorId="0" shapeId="0" xr:uid="{00000000-0006-0000-0500-00002C000000}">
      <text>
        <r>
          <rPr>
            <b/>
            <sz val="9"/>
            <color indexed="81"/>
            <rFont val="Tahoma"/>
            <family val="2"/>
          </rPr>
          <t xml:space="preserve">2022-05-26
</t>
        </r>
      </text>
    </comment>
    <comment ref="K62" authorId="0" shapeId="0" xr:uid="{00000000-0006-0000-0500-00002D000000}">
      <text>
        <r>
          <rPr>
            <b/>
            <sz val="9"/>
            <color indexed="81"/>
            <rFont val="Tahoma"/>
            <family val="2"/>
          </rPr>
          <t>2022-10-12</t>
        </r>
      </text>
    </comment>
    <comment ref="G66" authorId="0" shapeId="0" xr:uid="{00000000-0006-0000-0500-00002E000000}">
      <text>
        <r>
          <rPr>
            <sz val="9"/>
            <color indexed="81"/>
            <rFont val="돋움"/>
            <family val="3"/>
            <charset val="129"/>
          </rPr>
          <t>집체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스마트혼합훈련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66" authorId="0" shapeId="0" xr:uid="{00000000-0006-0000-0500-00002F000000}">
      <text>
        <r>
          <rPr>
            <b/>
            <sz val="9"/>
            <color indexed="81"/>
            <rFont val="Tahoma"/>
            <family val="2"/>
          </rPr>
          <t>2022-03-15
2022-03-30
2022-04-27
2022-05-27</t>
        </r>
      </text>
    </comment>
    <comment ref="K66" authorId="0" shapeId="0" xr:uid="{00000000-0006-0000-0500-000030000000}">
      <text>
        <r>
          <rPr>
            <b/>
            <sz val="9"/>
            <color indexed="81"/>
            <rFont val="Tahoma"/>
            <family val="2"/>
          </rPr>
          <t>2022-06-14
2022-08-19
2022-08-30</t>
        </r>
      </text>
    </comment>
    <comment ref="J67" authorId="0" shapeId="0" xr:uid="{00000000-0006-0000-0500-000031000000}">
      <text>
        <r>
          <rPr>
            <sz val="9"/>
            <color indexed="81"/>
            <rFont val="Tahoma"/>
            <family val="2"/>
          </rPr>
          <t>2022-03-28
2022-05-12</t>
        </r>
      </text>
    </comment>
    <comment ref="K67" authorId="0" shapeId="0" xr:uid="{00000000-0006-0000-0500-000032000000}">
      <text>
        <r>
          <rPr>
            <b/>
            <sz val="9"/>
            <color indexed="81"/>
            <rFont val="Tahoma"/>
            <family val="2"/>
          </rPr>
          <t>2022-07-06
2022-08-25</t>
        </r>
      </text>
    </comment>
    <comment ref="J71" authorId="0" shapeId="0" xr:uid="{00000000-0006-0000-0500-000033000000}">
      <text>
        <r>
          <rPr>
            <b/>
            <sz val="9"/>
            <color indexed="81"/>
            <rFont val="Tahoma"/>
            <family val="2"/>
          </rPr>
          <t>2022-05-18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71" authorId="0" shapeId="0" xr:uid="{00000000-0006-0000-0500-000034000000}">
      <text>
        <r>
          <rPr>
            <b/>
            <sz val="9"/>
            <color indexed="81"/>
            <rFont val="Tahoma"/>
            <family val="2"/>
          </rPr>
          <t>2022-09-05</t>
        </r>
      </text>
    </comment>
    <comment ref="J74" authorId="0" shapeId="0" xr:uid="{00000000-0006-0000-0500-000035000000}">
      <text>
        <r>
          <rPr>
            <b/>
            <sz val="9"/>
            <color indexed="81"/>
            <rFont val="Tahoma"/>
            <family val="2"/>
          </rPr>
          <t>2022-05-25</t>
        </r>
      </text>
    </comment>
    <comment ref="K74" authorId="0" shapeId="0" xr:uid="{00000000-0006-0000-0500-000036000000}">
      <text>
        <r>
          <rPr>
            <b/>
            <sz val="9"/>
            <color indexed="81"/>
            <rFont val="Tahoma"/>
            <family val="2"/>
          </rPr>
          <t>2022-05-29</t>
        </r>
      </text>
    </comment>
    <comment ref="J75" authorId="0" shapeId="0" xr:uid="{00000000-0006-0000-0500-000037000000}">
      <text>
        <r>
          <rPr>
            <b/>
            <sz val="9"/>
            <color indexed="81"/>
            <rFont val="Tahoma"/>
            <family val="2"/>
          </rPr>
          <t>2022-04-19
2022-04-27
2022-05-18</t>
        </r>
      </text>
    </comment>
    <comment ref="K75" authorId="0" shapeId="0" xr:uid="{00000000-0006-0000-0500-000038000000}">
      <text>
        <r>
          <rPr>
            <b/>
            <sz val="9"/>
            <color indexed="81"/>
            <rFont val="Tahoma"/>
            <family val="2"/>
          </rPr>
          <t>2022-08-12
2022-08-22
2022-09-14</t>
        </r>
      </text>
    </comment>
    <comment ref="J76" authorId="0" shapeId="0" xr:uid="{00000000-0006-0000-0500-000039000000}">
      <text>
        <r>
          <rPr>
            <b/>
            <sz val="9"/>
            <color indexed="81"/>
            <rFont val="Tahoma"/>
            <family val="2"/>
          </rPr>
          <t>2022-06-02</t>
        </r>
      </text>
    </comment>
    <comment ref="K76" authorId="0" shapeId="0" xr:uid="{00000000-0006-0000-0500-00003A000000}">
      <text>
        <r>
          <rPr>
            <b/>
            <sz val="9"/>
            <color indexed="81"/>
            <rFont val="Tahoma"/>
            <family val="2"/>
          </rPr>
          <t>2023-02-01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77" authorId="0" shapeId="0" xr:uid="{00000000-0006-0000-0500-00003B000000}">
      <text>
        <r>
          <rPr>
            <b/>
            <sz val="9"/>
            <color indexed="81"/>
            <rFont val="Tahoma"/>
            <family val="2"/>
          </rPr>
          <t>2022-06-02</t>
        </r>
      </text>
    </comment>
    <comment ref="K77" authorId="0" shapeId="0" xr:uid="{00000000-0006-0000-0500-00003C000000}">
      <text>
        <r>
          <rPr>
            <b/>
            <sz val="9"/>
            <color indexed="81"/>
            <rFont val="Tahoma"/>
            <family val="2"/>
          </rPr>
          <t>2023-02-03</t>
        </r>
      </text>
    </comment>
    <comment ref="J78" authorId="0" shapeId="0" xr:uid="{00000000-0006-0000-0500-00003D000000}">
      <text>
        <r>
          <rPr>
            <b/>
            <sz val="9"/>
            <color indexed="81"/>
            <rFont val="Tahoma"/>
            <family val="2"/>
          </rPr>
          <t>2022-03-21
2022-04-25</t>
        </r>
      </text>
    </comment>
    <comment ref="K78" authorId="0" shapeId="0" xr:uid="{00000000-0006-0000-0500-00003E000000}">
      <text>
        <r>
          <rPr>
            <b/>
            <sz val="9"/>
            <color indexed="81"/>
            <rFont val="Tahoma"/>
            <family val="2"/>
          </rPr>
          <t>2022-06-15
2022-07-20</t>
        </r>
      </text>
    </comment>
    <comment ref="M79" authorId="0" shapeId="0" xr:uid="{00000000-0006-0000-0500-00003F000000}">
      <text>
        <r>
          <rPr>
            <sz val="9"/>
            <color indexed="81"/>
            <rFont val="Tahoma"/>
            <family val="2"/>
          </rPr>
          <t>21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과정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잔여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인원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80" authorId="0" shapeId="0" xr:uid="{00000000-0006-0000-0500-000040000000}">
      <text>
        <r>
          <rPr>
            <b/>
            <sz val="9"/>
            <color indexed="81"/>
            <rFont val="Tahoma"/>
            <family val="2"/>
          </rPr>
          <t>2022-06-09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80" authorId="0" shapeId="0" xr:uid="{00000000-0006-0000-0500-000041000000}">
      <text>
        <r>
          <rPr>
            <b/>
            <sz val="9"/>
            <color indexed="81"/>
            <rFont val="Tahoma"/>
            <family val="2"/>
          </rPr>
          <t>2022-10-27</t>
        </r>
      </text>
    </comment>
    <comment ref="J81" authorId="0" shapeId="0" xr:uid="{00000000-0006-0000-0500-000042000000}">
      <text>
        <r>
          <rPr>
            <b/>
            <sz val="9"/>
            <color indexed="81"/>
            <rFont val="Tahoma"/>
            <family val="2"/>
          </rPr>
          <t>2022-06-09</t>
        </r>
      </text>
    </comment>
    <comment ref="K81" authorId="0" shapeId="0" xr:uid="{00000000-0006-0000-0500-000043000000}">
      <text>
        <r>
          <rPr>
            <b/>
            <sz val="9"/>
            <color indexed="81"/>
            <rFont val="Tahoma"/>
            <family val="2"/>
          </rPr>
          <t>2022-11-28</t>
        </r>
      </text>
    </comment>
    <comment ref="J103" authorId="0" shapeId="0" xr:uid="{00000000-0006-0000-0500-000044000000}">
      <text>
        <r>
          <rPr>
            <b/>
            <sz val="9"/>
            <color indexed="81"/>
            <rFont val="Tahoma"/>
            <family val="2"/>
          </rPr>
          <t>2022-08-09</t>
        </r>
      </text>
    </comment>
    <comment ref="J106" authorId="0" shapeId="0" xr:uid="{00000000-0006-0000-0500-000045000000}">
      <text>
        <r>
          <rPr>
            <b/>
            <sz val="9"/>
            <color indexed="81"/>
            <rFont val="Tahoma"/>
            <family val="2"/>
          </rPr>
          <t>2022-08-08</t>
        </r>
      </text>
    </comment>
    <comment ref="K106" authorId="0" shapeId="0" xr:uid="{00000000-0006-0000-0500-000046000000}">
      <text>
        <r>
          <rPr>
            <b/>
            <sz val="9"/>
            <color indexed="81"/>
            <rFont val="Tahoma"/>
            <family val="2"/>
          </rPr>
          <t>2022-11-28</t>
        </r>
      </text>
    </comment>
    <comment ref="J107" authorId="0" shapeId="0" xr:uid="{00000000-0006-0000-0500-000047000000}">
      <text>
        <r>
          <rPr>
            <b/>
            <sz val="9"/>
            <color indexed="81"/>
            <rFont val="Tahoma"/>
            <family val="2"/>
          </rPr>
          <t>2022-04-04
2022-05-30
2022-06-27
2022-07-18
2022-08-08</t>
        </r>
      </text>
    </comment>
    <comment ref="K107" authorId="0" shapeId="0" xr:uid="{00000000-0006-0000-0500-000048000000}">
      <text>
        <r>
          <rPr>
            <b/>
            <sz val="9"/>
            <color indexed="81"/>
            <rFont val="Tahoma"/>
            <family val="2"/>
          </rPr>
          <t>2022-07-27
2022-09-21
2022-10-14
2022-11-08</t>
        </r>
      </text>
    </comment>
    <comment ref="J109" authorId="0" shapeId="0" xr:uid="{00000000-0006-0000-0500-000049000000}">
      <text>
        <r>
          <rPr>
            <b/>
            <sz val="9"/>
            <color indexed="81"/>
            <rFont val="Tahoma"/>
            <family val="2"/>
          </rPr>
          <t>2022-08-09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14" authorId="0" shapeId="0" xr:uid="{00000000-0006-0000-0500-00004A000000}">
      <text>
        <r>
          <rPr>
            <b/>
            <sz val="9"/>
            <color indexed="81"/>
            <rFont val="Tahoma"/>
            <family val="2"/>
          </rPr>
          <t>2022-08-18</t>
        </r>
      </text>
    </comment>
    <comment ref="K114" authorId="0" shapeId="0" xr:uid="{00000000-0006-0000-0500-00004B000000}">
      <text>
        <r>
          <rPr>
            <b/>
            <sz val="9"/>
            <color indexed="81"/>
            <rFont val="Tahoma"/>
            <family val="2"/>
          </rPr>
          <t>2022-11-21</t>
        </r>
      </text>
    </comment>
    <comment ref="K118" authorId="0" shapeId="0" xr:uid="{00000000-0006-0000-0500-00004C000000}">
      <text>
        <r>
          <rPr>
            <b/>
            <sz val="9"/>
            <color indexed="81"/>
            <rFont val="Tahoma"/>
            <family val="2"/>
          </rPr>
          <t>2023-02-08</t>
        </r>
      </text>
    </comment>
    <comment ref="J122" authorId="0" shapeId="0" xr:uid="{00000000-0006-0000-0500-00004D000000}">
      <text>
        <r>
          <rPr>
            <b/>
            <sz val="9"/>
            <color indexed="81"/>
            <rFont val="Tahoma"/>
            <family val="2"/>
          </rPr>
          <t>2022-09-14</t>
        </r>
      </text>
    </comment>
    <comment ref="K122" authorId="0" shapeId="0" xr:uid="{00000000-0006-0000-0500-00004E000000}">
      <text>
        <r>
          <rPr>
            <b/>
            <sz val="9"/>
            <color indexed="81"/>
            <rFont val="Tahoma"/>
            <family val="2"/>
          </rPr>
          <t>2022-12-06</t>
        </r>
      </text>
    </comment>
    <comment ref="J125" authorId="0" shapeId="0" xr:uid="{00000000-0006-0000-0500-00004F000000}">
      <text>
        <r>
          <rPr>
            <b/>
            <sz val="9"/>
            <color indexed="81"/>
            <rFont val="Tahoma"/>
            <family val="2"/>
          </rPr>
          <t>2022-09-06</t>
        </r>
      </text>
    </comment>
    <comment ref="K125" authorId="0" shapeId="0" xr:uid="{00000000-0006-0000-0500-000050000000}">
      <text>
        <r>
          <rPr>
            <b/>
            <sz val="9"/>
            <color indexed="81"/>
            <rFont val="Tahoma"/>
            <family val="2"/>
          </rPr>
          <t>2023-02-03</t>
        </r>
      </text>
    </comment>
    <comment ref="J128" authorId="0" shapeId="0" xr:uid="{00000000-0006-0000-0500-000051000000}">
      <text>
        <r>
          <rPr>
            <b/>
            <sz val="9"/>
            <color indexed="81"/>
            <rFont val="Tahoma"/>
            <family val="2"/>
          </rPr>
          <t>2022-09-19</t>
        </r>
      </text>
    </comment>
    <comment ref="K128" authorId="0" shapeId="0" xr:uid="{00000000-0006-0000-0500-000052000000}">
      <text>
        <r>
          <rPr>
            <b/>
            <sz val="9"/>
            <color indexed="81"/>
            <rFont val="Tahoma"/>
            <family val="2"/>
          </rPr>
          <t>2023-03-10</t>
        </r>
      </text>
    </comment>
    <comment ref="J130" authorId="0" shapeId="0" xr:uid="{00000000-0006-0000-0500-000053000000}">
      <text>
        <r>
          <rPr>
            <b/>
            <sz val="9"/>
            <color indexed="81"/>
            <rFont val="Tahoma"/>
            <family val="2"/>
          </rPr>
          <t>2022-09-20</t>
        </r>
      </text>
    </comment>
    <comment ref="K130" authorId="0" shapeId="0" xr:uid="{00000000-0006-0000-0500-000054000000}">
      <text>
        <r>
          <rPr>
            <b/>
            <sz val="9"/>
            <color indexed="81"/>
            <rFont val="Tahoma"/>
            <family val="2"/>
          </rPr>
          <t>2023-01-30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31" authorId="0" shapeId="0" xr:uid="{00000000-0006-0000-0500-000055000000}">
      <text>
        <r>
          <rPr>
            <b/>
            <sz val="9"/>
            <color indexed="81"/>
            <rFont val="돋움"/>
            <family val="3"/>
            <charset val="129"/>
          </rPr>
          <t>산업구조변화대응</t>
        </r>
      </text>
    </comment>
    <comment ref="J131" authorId="0" shapeId="0" xr:uid="{00000000-0006-0000-0500-000056000000}">
      <text>
        <r>
          <rPr>
            <b/>
            <sz val="9"/>
            <color indexed="81"/>
            <rFont val="Tahoma"/>
            <family val="2"/>
          </rPr>
          <t>2022-08-29
2022-09-07
2022-09-19</t>
        </r>
      </text>
    </comment>
    <comment ref="K131" authorId="0" shapeId="0" xr:uid="{00000000-0006-0000-0500-000057000000}">
      <text>
        <r>
          <rPr>
            <b/>
            <sz val="9"/>
            <color indexed="81"/>
            <rFont val="Tahoma"/>
            <family val="2"/>
          </rPr>
          <t>2023-02-17
2023-02-28</t>
        </r>
      </text>
    </comment>
    <comment ref="J134" authorId="0" shapeId="0" xr:uid="{00000000-0006-0000-0500-000058000000}">
      <text>
        <r>
          <rPr>
            <b/>
            <sz val="9"/>
            <color indexed="81"/>
            <rFont val="Tahoma"/>
            <family val="2"/>
          </rPr>
          <t>2022-06-20
2022-08-01
2022-08-26
2022-09-26</t>
        </r>
      </text>
    </comment>
    <comment ref="K134" authorId="0" shapeId="0" xr:uid="{00000000-0006-0000-0500-000059000000}">
      <text>
        <r>
          <rPr>
            <b/>
            <sz val="9"/>
            <color indexed="81"/>
            <rFont val="Tahoma"/>
            <family val="2"/>
          </rPr>
          <t>2022-06-20
2022-08-01
2022-08-26
2023-02-15
2023-02-15</t>
        </r>
      </text>
    </comment>
    <comment ref="J135" authorId="0" shapeId="0" xr:uid="{00000000-0006-0000-0500-00005A000000}">
      <text>
        <r>
          <rPr>
            <b/>
            <sz val="9"/>
            <color indexed="81"/>
            <rFont val="Tahoma"/>
            <family val="2"/>
          </rPr>
          <t>2022-10-13</t>
        </r>
      </text>
    </comment>
    <comment ref="K135" authorId="0" shapeId="0" xr:uid="{00000000-0006-0000-0500-00005B000000}">
      <text>
        <r>
          <rPr>
            <b/>
            <sz val="9"/>
            <color indexed="81"/>
            <rFont val="Tahoma"/>
            <family val="2"/>
          </rPr>
          <t>2023-02-16</t>
        </r>
      </text>
    </comment>
    <comment ref="J137" authorId="0" shapeId="0" xr:uid="{00000000-0006-0000-0500-00005C000000}">
      <text>
        <r>
          <rPr>
            <b/>
            <sz val="9"/>
            <color indexed="81"/>
            <rFont val="Tahoma"/>
            <family val="2"/>
          </rPr>
          <t>2022-09-27
2022-10-11</t>
        </r>
      </text>
    </comment>
    <comment ref="J139" authorId="0" shapeId="0" xr:uid="{00000000-0006-0000-0500-00005D000000}">
      <text>
        <r>
          <rPr>
            <b/>
            <sz val="9"/>
            <color indexed="81"/>
            <rFont val="Tahoma"/>
            <family val="2"/>
          </rPr>
          <t>2022-10-05</t>
        </r>
      </text>
    </comment>
    <comment ref="K139" authorId="0" shapeId="0" xr:uid="{00000000-0006-0000-0500-00005E000000}">
      <text>
        <r>
          <rPr>
            <b/>
            <sz val="9"/>
            <color indexed="81"/>
            <rFont val="Tahoma"/>
            <family val="2"/>
          </rPr>
          <t>2023-05-30</t>
        </r>
      </text>
    </comment>
    <comment ref="J141" authorId="0" shapeId="0" xr:uid="{00000000-0006-0000-0500-00005F000000}">
      <text>
        <r>
          <rPr>
            <b/>
            <sz val="9"/>
            <color indexed="81"/>
            <rFont val="Tahoma"/>
            <family val="2"/>
          </rPr>
          <t>2022-10-12
2022-10-26</t>
        </r>
      </text>
    </comment>
    <comment ref="K141" authorId="0" shapeId="0" xr:uid="{00000000-0006-0000-0500-000060000000}">
      <text>
        <r>
          <rPr>
            <b/>
            <sz val="9"/>
            <color indexed="81"/>
            <rFont val="Tahoma"/>
            <family val="2"/>
          </rPr>
          <t>2022-12-30
2022-10-26</t>
        </r>
      </text>
    </comment>
    <comment ref="J142" authorId="0" shapeId="0" xr:uid="{00000000-0006-0000-0500-000061000000}">
      <text>
        <r>
          <rPr>
            <b/>
            <sz val="9"/>
            <color indexed="81"/>
            <rFont val="Tahoma"/>
            <family val="2"/>
          </rPr>
          <t>2022-10-13</t>
        </r>
      </text>
    </comment>
    <comment ref="K142" authorId="0" shapeId="0" xr:uid="{00000000-0006-0000-0500-000062000000}">
      <text>
        <r>
          <rPr>
            <b/>
            <sz val="9"/>
            <color indexed="81"/>
            <rFont val="Tahoma"/>
            <family val="2"/>
          </rPr>
          <t>2023-02-13</t>
        </r>
      </text>
    </comment>
    <comment ref="J143" authorId="0" shapeId="0" xr:uid="{00000000-0006-0000-0500-000063000000}">
      <text>
        <r>
          <rPr>
            <b/>
            <sz val="9"/>
            <color indexed="81"/>
            <rFont val="Tahoma"/>
            <family val="2"/>
          </rPr>
          <t>2022-09-14
2022-10-13</t>
        </r>
      </text>
    </comment>
    <comment ref="K143" authorId="0" shapeId="0" xr:uid="{00000000-0006-0000-0500-000064000000}">
      <text>
        <r>
          <rPr>
            <b/>
            <sz val="9"/>
            <color indexed="81"/>
            <rFont val="Tahoma"/>
            <family val="2"/>
          </rPr>
          <t xml:space="preserve">2022-12-26
2023-01-20
</t>
        </r>
      </text>
    </comment>
    <comment ref="J146" authorId="0" shapeId="0" xr:uid="{00000000-0006-0000-0500-000065000000}">
      <text>
        <r>
          <rPr>
            <b/>
            <sz val="9"/>
            <color indexed="81"/>
            <rFont val="Tahoma"/>
            <family val="2"/>
          </rPr>
          <t xml:space="preserve">2022-11-10
</t>
        </r>
      </text>
    </comment>
    <comment ref="K146" authorId="0" shapeId="0" xr:uid="{00000000-0006-0000-0500-000066000000}">
      <text>
        <r>
          <rPr>
            <b/>
            <sz val="9"/>
            <color indexed="81"/>
            <rFont val="Tahoma"/>
            <family val="2"/>
          </rPr>
          <t>2023-03-08
2023-03-27
2023-04-13</t>
        </r>
      </text>
    </comment>
    <comment ref="J147" authorId="0" shapeId="0" xr:uid="{00000000-0006-0000-0500-000067000000}">
      <text>
        <r>
          <rPr>
            <b/>
            <sz val="9"/>
            <color indexed="81"/>
            <rFont val="Tahoma"/>
            <family val="2"/>
          </rPr>
          <t>2022-11-08</t>
        </r>
      </text>
    </comment>
    <comment ref="K147" authorId="0" shapeId="0" xr:uid="{00000000-0006-0000-0500-000068000000}">
      <text>
        <r>
          <rPr>
            <b/>
            <sz val="9"/>
            <color indexed="81"/>
            <rFont val="Tahoma"/>
            <family val="2"/>
          </rPr>
          <t>2023-02-15</t>
        </r>
      </text>
    </comment>
    <comment ref="J148" authorId="0" shapeId="0" xr:uid="{00000000-0006-0000-0500-000069000000}">
      <text>
        <r>
          <rPr>
            <b/>
            <sz val="9"/>
            <color indexed="81"/>
            <rFont val="Tahoma"/>
            <family val="2"/>
          </rPr>
          <t>2022-11-23</t>
        </r>
      </text>
    </comment>
    <comment ref="K148" authorId="0" shapeId="0" xr:uid="{00000000-0006-0000-0500-00006A000000}">
      <text>
        <r>
          <rPr>
            <b/>
            <sz val="9"/>
            <color indexed="81"/>
            <rFont val="Tahoma"/>
            <family val="2"/>
          </rPr>
          <t>2023-06-02</t>
        </r>
      </text>
    </comment>
    <comment ref="J152" authorId="0" shapeId="0" xr:uid="{00000000-0006-0000-0500-00006B000000}">
      <text>
        <r>
          <rPr>
            <b/>
            <sz val="9"/>
            <color indexed="81"/>
            <rFont val="Tahoma"/>
            <family val="2"/>
          </rPr>
          <t>2022-06-20
2022-08-01
2022-08-26</t>
        </r>
      </text>
    </comment>
    <comment ref="K152" authorId="0" shapeId="0" xr:uid="{00000000-0006-0000-0500-00006C000000}">
      <text>
        <r>
          <rPr>
            <b/>
            <sz val="9"/>
            <color indexed="81"/>
            <rFont val="Tahoma"/>
            <family val="2"/>
          </rPr>
          <t>2022-06-20
2022-08-01
2022-08-26</t>
        </r>
      </text>
    </comment>
    <comment ref="J153" authorId="0" shapeId="0" xr:uid="{00000000-0006-0000-0500-00006D000000}">
      <text>
        <r>
          <rPr>
            <b/>
            <sz val="9"/>
            <color indexed="81"/>
            <rFont val="Tahoma"/>
            <family val="2"/>
          </rPr>
          <t>2022-11-08</t>
        </r>
      </text>
    </comment>
    <comment ref="K153" authorId="0" shapeId="0" xr:uid="{00000000-0006-0000-0500-00006E000000}">
      <text>
        <r>
          <rPr>
            <b/>
            <sz val="9"/>
            <color indexed="81"/>
            <rFont val="Tahoma"/>
            <family val="2"/>
          </rPr>
          <t>2023-04-24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54" authorId="0" shapeId="0" xr:uid="{00000000-0006-0000-0500-00006F000000}">
      <text>
        <r>
          <rPr>
            <b/>
            <sz val="9"/>
            <color indexed="81"/>
            <rFont val="Tahoma"/>
            <family val="2"/>
          </rPr>
          <t>2022-11-24</t>
        </r>
      </text>
    </comment>
    <comment ref="K154" authorId="0" shapeId="0" xr:uid="{00000000-0006-0000-0500-000070000000}">
      <text>
        <r>
          <rPr>
            <b/>
            <sz val="9"/>
            <color indexed="81"/>
            <rFont val="Tahoma"/>
            <family val="2"/>
          </rPr>
          <t>2023-03-29</t>
        </r>
      </text>
    </comment>
    <comment ref="J158" authorId="0" shapeId="0" xr:uid="{00000000-0006-0000-0500-000071000000}">
      <text>
        <r>
          <rPr>
            <b/>
            <sz val="9"/>
            <color indexed="81"/>
            <rFont val="Tahoma"/>
            <family val="2"/>
          </rPr>
          <t>2022-12-15</t>
        </r>
      </text>
    </comment>
    <comment ref="K158" authorId="0" shapeId="0" xr:uid="{00000000-0006-0000-0500-000072000000}">
      <text>
        <r>
          <rPr>
            <b/>
            <sz val="9"/>
            <color indexed="81"/>
            <rFont val="Tahoma"/>
            <family val="2"/>
          </rPr>
          <t>2023-05-08</t>
        </r>
      </text>
    </comment>
    <comment ref="J159" authorId="0" shapeId="0" xr:uid="{00000000-0006-0000-0500-000073000000}">
      <text>
        <r>
          <rPr>
            <b/>
            <sz val="9"/>
            <color indexed="81"/>
            <rFont val="Tahoma"/>
            <family val="2"/>
          </rPr>
          <t>2022-12-26</t>
        </r>
      </text>
    </comment>
    <comment ref="K159" authorId="0" shapeId="0" xr:uid="{00000000-0006-0000-0500-000074000000}">
      <text>
        <r>
          <rPr>
            <b/>
            <sz val="9"/>
            <color indexed="81"/>
            <rFont val="Tahoma"/>
            <family val="2"/>
          </rPr>
          <t>2023-05-17</t>
        </r>
      </text>
    </comment>
    <comment ref="J160" authorId="0" shapeId="0" xr:uid="{00000000-0006-0000-0500-000075000000}">
      <text>
        <r>
          <rPr>
            <b/>
            <sz val="9"/>
            <color indexed="81"/>
            <rFont val="Tahoma"/>
            <family val="2"/>
          </rPr>
          <t>2022-12-13</t>
        </r>
      </text>
    </comment>
    <comment ref="K160" authorId="0" shapeId="0" xr:uid="{00000000-0006-0000-0500-000076000000}">
      <text>
        <r>
          <rPr>
            <b/>
            <sz val="9"/>
            <color indexed="81"/>
            <rFont val="Tahoma"/>
            <family val="2"/>
          </rPr>
          <t>2023-06-22</t>
        </r>
      </text>
    </comment>
    <comment ref="J162" authorId="0" shapeId="0" xr:uid="{00000000-0006-0000-0500-000077000000}">
      <text>
        <r>
          <rPr>
            <b/>
            <sz val="9"/>
            <color indexed="81"/>
            <rFont val="Tahoma"/>
            <family val="2"/>
          </rPr>
          <t>2022-11-28
2022-12-12</t>
        </r>
      </text>
    </comment>
    <comment ref="K162" authorId="0" shapeId="0" xr:uid="{00000000-0006-0000-0500-000078000000}">
      <text>
        <r>
          <rPr>
            <b/>
            <sz val="9"/>
            <color indexed="81"/>
            <rFont val="Tahoma"/>
            <family val="2"/>
          </rPr>
          <t>2023-05-24
2023-06-07</t>
        </r>
      </text>
    </comment>
    <comment ref="J164" authorId="0" shapeId="0" xr:uid="{00000000-0006-0000-0500-000079000000}">
      <text>
        <r>
          <rPr>
            <b/>
            <sz val="9"/>
            <color indexed="81"/>
            <rFont val="Tahoma"/>
            <family val="2"/>
          </rPr>
          <t>2022-12-20</t>
        </r>
      </text>
    </comment>
    <comment ref="K164" authorId="0" shapeId="0" xr:uid="{00000000-0006-0000-0500-00007A000000}">
      <text>
        <r>
          <rPr>
            <b/>
            <sz val="9"/>
            <color indexed="81"/>
            <rFont val="Tahoma"/>
            <family val="2"/>
          </rPr>
          <t>2023-05-29</t>
        </r>
      </text>
    </comment>
    <comment ref="K166" authorId="0" shapeId="0" xr:uid="{00000000-0006-0000-0500-00007B000000}">
      <text>
        <r>
          <rPr>
            <b/>
            <sz val="9"/>
            <color indexed="81"/>
            <rFont val="Tahoma"/>
            <family val="2"/>
          </rPr>
          <t>2023-05-22</t>
        </r>
      </text>
    </comment>
    <comment ref="N166" authorId="0" shapeId="0" xr:uid="{00000000-0006-0000-0500-00007C000000}">
      <text>
        <r>
          <rPr>
            <b/>
            <sz val="9"/>
            <color indexed="81"/>
            <rFont val="Tahoma"/>
            <family val="2"/>
          </rPr>
          <t xml:space="preserve">10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 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67" authorId="0" shapeId="0" xr:uid="{00000000-0006-0000-0500-00007D000000}">
      <text>
        <r>
          <rPr>
            <b/>
            <sz val="9"/>
            <color indexed="81"/>
            <rFont val="Tahoma"/>
            <family val="2"/>
          </rPr>
          <t>2022-12-27</t>
        </r>
      </text>
    </comment>
    <comment ref="K167" authorId="0" shapeId="0" xr:uid="{00000000-0006-0000-0500-00007E000000}">
      <text>
        <r>
          <rPr>
            <b/>
            <sz val="9"/>
            <color indexed="81"/>
            <rFont val="Tahoma"/>
            <family val="2"/>
          </rPr>
          <t>2023-05-18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68" authorId="0" shapeId="0" xr:uid="{00000000-0006-0000-0500-00007F000000}">
      <text>
        <r>
          <rPr>
            <b/>
            <sz val="9"/>
            <color indexed="81"/>
            <rFont val="Tahoma"/>
            <family val="2"/>
          </rPr>
          <t>2022-12-20</t>
        </r>
      </text>
    </comment>
    <comment ref="J170" authorId="0" shapeId="0" xr:uid="{00000000-0006-0000-0500-000080000000}">
      <text>
        <r>
          <rPr>
            <b/>
            <sz val="9"/>
            <color indexed="81"/>
            <rFont val="Tahoma"/>
            <family val="2"/>
          </rPr>
          <t>2022-12-12</t>
        </r>
      </text>
    </comment>
    <comment ref="K170" authorId="0" shapeId="0" xr:uid="{00000000-0006-0000-0500-00008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2023-06-09</t>
        </r>
      </text>
    </comment>
    <comment ref="J173" authorId="0" shapeId="0" xr:uid="{00000000-0006-0000-0500-000082000000}">
      <text>
        <r>
          <rPr>
            <b/>
            <sz val="9"/>
            <color indexed="81"/>
            <rFont val="Tahoma"/>
            <family val="2"/>
          </rPr>
          <t>2022-12-13
2022-12-27</t>
        </r>
      </text>
    </comment>
    <comment ref="K173" authorId="0" shapeId="0" xr:uid="{00000000-0006-0000-0500-000083000000}">
      <text>
        <r>
          <rPr>
            <b/>
            <sz val="9"/>
            <color indexed="81"/>
            <rFont val="Tahoma"/>
            <family val="2"/>
          </rPr>
          <t>2023-07-11
2023-09-07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I2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일정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연기</t>
        </r>
        <r>
          <rPr>
            <b/>
            <sz val="9"/>
            <color indexed="81"/>
            <rFont val="Tahoma"/>
            <family val="2"/>
          </rPr>
          <t>) 20.12.28 (</t>
        </r>
        <r>
          <rPr>
            <b/>
            <sz val="9"/>
            <color indexed="81"/>
            <rFont val="돋움"/>
            <family val="3"/>
            <charset val="129"/>
          </rPr>
          <t>모집저조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I4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차일정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연기</t>
        </r>
        <r>
          <rPr>
            <b/>
            <sz val="9"/>
            <color indexed="81"/>
            <rFont val="Tahoma"/>
            <family val="2"/>
          </rPr>
          <t>) :21.01.07(</t>
        </r>
        <r>
          <rPr>
            <b/>
            <sz val="9"/>
            <color indexed="81"/>
            <rFont val="돋움"/>
            <family val="3"/>
            <charset val="129"/>
          </rPr>
          <t>모집저조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I5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차일정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연기</t>
        </r>
        <r>
          <rPr>
            <b/>
            <sz val="9"/>
            <color indexed="81"/>
            <rFont val="Tahoma"/>
            <family val="2"/>
          </rPr>
          <t>) :21.02.23(</t>
        </r>
        <r>
          <rPr>
            <b/>
            <sz val="9"/>
            <color indexed="81"/>
            <rFont val="돋움"/>
            <family val="3"/>
            <charset val="129"/>
          </rPr>
          <t>모집저조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6" authorId="0" shapeId="0" xr:uid="{00000000-0006-0000-0600-000004000000}">
      <text>
        <r>
          <rPr>
            <b/>
            <sz val="9"/>
            <color indexed="81"/>
            <rFont val="돋움"/>
            <family val="3"/>
            <charset val="129"/>
          </rPr>
          <t>과정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승인</t>
        </r>
        <r>
          <rPr>
            <b/>
            <sz val="9"/>
            <color indexed="81"/>
            <rFont val="Tahoma"/>
            <family val="2"/>
          </rPr>
          <t xml:space="preserve"> : 25</t>
        </r>
        <r>
          <rPr>
            <b/>
            <sz val="9"/>
            <color indexed="81"/>
            <rFont val="돋움"/>
            <family val="3"/>
            <charset val="129"/>
          </rPr>
          <t>명
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운영</t>
        </r>
        <r>
          <rPr>
            <b/>
            <sz val="9"/>
            <color indexed="81"/>
            <rFont val="Tahoma"/>
            <family val="2"/>
          </rPr>
          <t xml:space="preserve"> : 20</t>
        </r>
        <r>
          <rPr>
            <b/>
            <sz val="9"/>
            <color indexed="81"/>
            <rFont val="돋움"/>
            <family val="3"/>
            <charset val="129"/>
          </rPr>
          <t>명</t>
        </r>
      </text>
    </comment>
    <comment ref="I7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차일정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연기</t>
        </r>
        <r>
          <rPr>
            <b/>
            <sz val="9"/>
            <color indexed="81"/>
            <rFont val="Tahoma"/>
            <family val="2"/>
          </rPr>
          <t>) :21.02.02(</t>
        </r>
        <r>
          <rPr>
            <b/>
            <sz val="9"/>
            <color indexed="81"/>
            <rFont val="돋움"/>
            <family val="3"/>
            <charset val="129"/>
          </rPr>
          <t>모집저조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J7" authorId="0" shapeId="0" xr:uid="{00000000-0006-0000-0600-000006000000}">
      <text>
        <r>
          <rPr>
            <b/>
            <sz val="9"/>
            <color indexed="81"/>
            <rFont val="돋움"/>
            <family val="3"/>
            <charset val="129"/>
          </rPr>
          <t>기존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종강</t>
        </r>
        <r>
          <rPr>
            <b/>
            <sz val="9"/>
            <color indexed="81"/>
            <rFont val="Tahoma"/>
            <family val="2"/>
          </rPr>
          <t xml:space="preserve"> : 21.07.08</t>
        </r>
      </text>
    </comment>
    <comment ref="I9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차일정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연기</t>
        </r>
        <r>
          <rPr>
            <b/>
            <sz val="9"/>
            <color indexed="81"/>
            <rFont val="Tahoma"/>
            <family val="2"/>
          </rPr>
          <t>) :21.01.21(</t>
        </r>
        <r>
          <rPr>
            <b/>
            <sz val="9"/>
            <color indexed="81"/>
            <rFont val="돋움"/>
            <family val="3"/>
            <charset val="129"/>
          </rPr>
          <t>모집저조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J9" authorId="0" shapeId="0" xr:uid="{00000000-0006-0000-0600-000008000000}">
      <text>
        <r>
          <rPr>
            <b/>
            <sz val="9"/>
            <color indexed="81"/>
            <rFont val="돋움"/>
            <family val="3"/>
            <charset val="129"/>
          </rPr>
          <t>21.05.31</t>
        </r>
      </text>
    </comment>
    <comment ref="I13" authorId="0" shapeId="0" xr:uid="{00000000-0006-0000-0600-000009000000}">
      <text>
        <r>
          <rPr>
            <b/>
            <sz val="9"/>
            <color indexed="81"/>
            <rFont val="돋움"/>
            <family val="3"/>
            <charset val="129"/>
          </rPr>
          <t>1차일정(연기) :21.02.01(모집저조)
2차일정(연기) : 21.02.22(모집저조)</t>
        </r>
      </text>
    </comment>
    <comment ref="J13" authorId="0" shapeId="0" xr:uid="{00000000-0006-0000-0600-00000A000000}">
      <text>
        <r>
          <rPr>
            <b/>
            <sz val="9"/>
            <color indexed="81"/>
            <rFont val="돋움"/>
            <family val="3"/>
            <charset val="129"/>
          </rPr>
          <t>기존종강</t>
        </r>
        <r>
          <rPr>
            <b/>
            <sz val="9"/>
            <color indexed="81"/>
            <rFont val="Tahoma"/>
            <family val="2"/>
          </rPr>
          <t xml:space="preserve"> : 21.04.16
</t>
        </r>
        <r>
          <rPr>
            <b/>
            <sz val="9"/>
            <color indexed="81"/>
            <rFont val="돋움"/>
            <family val="3"/>
            <charset val="129"/>
          </rPr>
          <t>기존종강</t>
        </r>
        <r>
          <rPr>
            <b/>
            <sz val="9"/>
            <color indexed="81"/>
            <rFont val="Tahoma"/>
            <family val="2"/>
          </rPr>
          <t xml:space="preserve"> : 21.05.06</t>
        </r>
      </text>
    </comment>
    <comment ref="O16" authorId="0" shapeId="0" xr:uid="{00000000-0006-0000-0600-00000B000000}">
      <text>
        <r>
          <rPr>
            <b/>
            <sz val="10"/>
            <color indexed="81"/>
            <rFont val="돋움"/>
            <family val="3"/>
            <charset val="129"/>
          </rPr>
          <t>사회적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거리두기로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인해</t>
        </r>
        <r>
          <rPr>
            <b/>
            <sz val="10"/>
            <color indexed="81"/>
            <rFont val="Tahoma"/>
            <family val="2"/>
          </rPr>
          <t xml:space="preserve"> 10</t>
        </r>
        <r>
          <rPr>
            <b/>
            <sz val="10"/>
            <color indexed="81"/>
            <rFont val="돋움"/>
            <family val="3"/>
            <charset val="129"/>
          </rPr>
          <t>명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정원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 xml:space="preserve">마감
</t>
        </r>
        <r>
          <rPr>
            <b/>
            <sz val="10"/>
            <color indexed="81"/>
            <rFont val="Tahoma"/>
            <family val="2"/>
          </rPr>
          <t>(</t>
        </r>
        <r>
          <rPr>
            <b/>
            <sz val="10"/>
            <color indexed="81"/>
            <rFont val="돋움"/>
            <family val="3"/>
            <charset val="129"/>
          </rPr>
          <t>비대면수업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불가</t>
        </r>
        <r>
          <rPr>
            <b/>
            <sz val="10"/>
            <color indexed="81"/>
            <rFont val="Tahoma"/>
            <family val="2"/>
          </rPr>
          <t xml:space="preserve">/ </t>
        </r>
        <r>
          <rPr>
            <b/>
            <sz val="10"/>
            <color indexed="81"/>
            <rFont val="돋움"/>
            <family val="3"/>
            <charset val="129"/>
          </rPr>
          <t>대면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수업진행</t>
        </r>
        <r>
          <rPr>
            <b/>
            <sz val="10"/>
            <color indexed="81"/>
            <rFont val="Tahoma"/>
            <family val="2"/>
          </rPr>
          <t>)</t>
        </r>
      </text>
    </comment>
    <comment ref="J17" authorId="0" shapeId="0" xr:uid="{00000000-0006-0000-0600-00000C000000}">
      <text>
        <r>
          <rPr>
            <b/>
            <sz val="9"/>
            <color indexed="81"/>
            <rFont val="돋움"/>
            <family val="3"/>
            <charset val="129"/>
          </rPr>
          <t>종강</t>
        </r>
        <r>
          <rPr>
            <b/>
            <sz val="9"/>
            <color indexed="81"/>
            <rFont val="Tahoma"/>
            <family val="2"/>
          </rPr>
          <t xml:space="preserve"> : 2021-10-04</t>
        </r>
      </text>
    </comment>
    <comment ref="I18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차일정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연기</t>
        </r>
        <r>
          <rPr>
            <b/>
            <sz val="9"/>
            <color indexed="81"/>
            <rFont val="Tahoma"/>
            <family val="2"/>
          </rPr>
          <t>) :21.02.16(</t>
        </r>
        <r>
          <rPr>
            <b/>
            <sz val="9"/>
            <color indexed="81"/>
            <rFont val="돋움"/>
            <family val="3"/>
            <charset val="129"/>
          </rPr>
          <t>모집저조</t>
        </r>
        <r>
          <rPr>
            <b/>
            <sz val="9"/>
            <color indexed="81"/>
            <rFont val="Tahoma"/>
            <family val="2"/>
          </rPr>
          <t>)
2</t>
        </r>
        <r>
          <rPr>
            <b/>
            <sz val="9"/>
            <color indexed="81"/>
            <rFont val="돋움"/>
            <family val="3"/>
            <charset val="129"/>
          </rPr>
          <t>차일정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연기</t>
        </r>
        <r>
          <rPr>
            <b/>
            <sz val="9"/>
            <color indexed="81"/>
            <rFont val="Tahoma"/>
            <family val="2"/>
          </rPr>
          <t>):21.03.02</t>
        </r>
      </text>
    </comment>
    <comment ref="J18" authorId="0" shapeId="0" xr:uid="{00000000-0006-0000-0600-00000E000000}">
      <text>
        <r>
          <rPr>
            <b/>
            <sz val="9"/>
            <color indexed="81"/>
            <rFont val="돋움"/>
            <family val="3"/>
            <charset val="129"/>
          </rPr>
          <t>기존종강</t>
        </r>
        <r>
          <rPr>
            <b/>
            <sz val="9"/>
            <color indexed="81"/>
            <rFont val="Tahoma"/>
            <family val="2"/>
          </rPr>
          <t xml:space="preserve">: 21.05.18
</t>
        </r>
        <r>
          <rPr>
            <b/>
            <sz val="9"/>
            <color indexed="81"/>
            <rFont val="돋움"/>
            <family val="3"/>
            <charset val="129"/>
          </rPr>
          <t>기존종강</t>
        </r>
        <r>
          <rPr>
            <b/>
            <sz val="9"/>
            <color indexed="81"/>
            <rFont val="Tahoma"/>
            <family val="2"/>
          </rPr>
          <t>:21.06.01</t>
        </r>
      </text>
    </comment>
    <comment ref="I19" authorId="0" shapeId="0" xr:uid="{00000000-0006-0000-0600-00000F000000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차일정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연기</t>
        </r>
        <r>
          <rPr>
            <b/>
            <sz val="9"/>
            <color indexed="81"/>
            <rFont val="Tahoma"/>
            <family val="2"/>
          </rPr>
          <t>) 
:21.02.22(</t>
        </r>
        <r>
          <rPr>
            <b/>
            <sz val="9"/>
            <color indexed="81"/>
            <rFont val="돋움"/>
            <family val="3"/>
            <charset val="129"/>
          </rPr>
          <t>모집저조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J19" authorId="0" shapeId="0" xr:uid="{00000000-0006-0000-0600-000010000000}">
      <text>
        <r>
          <rPr>
            <b/>
            <sz val="9"/>
            <color indexed="81"/>
            <rFont val="돋움"/>
            <family val="3"/>
            <charset val="129"/>
          </rPr>
          <t>기존종강</t>
        </r>
        <r>
          <rPr>
            <b/>
            <sz val="9"/>
            <color indexed="81"/>
            <rFont val="Tahoma"/>
            <family val="2"/>
          </rPr>
          <t>:21.06.04</t>
        </r>
      </text>
    </comment>
    <comment ref="I21" authorId="0" shapeId="0" xr:uid="{00000000-0006-0000-0600-000011000000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일정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연기</t>
        </r>
        <r>
          <rPr>
            <b/>
            <sz val="9"/>
            <color indexed="81"/>
            <rFont val="Tahoma"/>
            <family val="2"/>
          </rPr>
          <t>) 20.02.17 (</t>
        </r>
        <r>
          <rPr>
            <b/>
            <sz val="9"/>
            <color indexed="81"/>
            <rFont val="돋움"/>
            <family val="3"/>
            <charset val="129"/>
          </rPr>
          <t>모집저조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J21" authorId="0" shapeId="0" xr:uid="{00000000-0006-0000-0600-000012000000}">
      <text>
        <r>
          <rPr>
            <b/>
            <sz val="9"/>
            <color indexed="81"/>
            <rFont val="돋움"/>
            <family val="3"/>
            <charset val="129"/>
          </rPr>
          <t>기존종강</t>
        </r>
        <r>
          <rPr>
            <b/>
            <sz val="9"/>
            <color indexed="81"/>
            <rFont val="Tahoma"/>
            <family val="2"/>
          </rPr>
          <t>: 2021-07-15</t>
        </r>
      </text>
    </comment>
    <comment ref="I22" authorId="0" shapeId="0" xr:uid="{00000000-0006-0000-0600-000013000000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차일정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연기</t>
        </r>
        <r>
          <rPr>
            <b/>
            <sz val="9"/>
            <color indexed="81"/>
            <rFont val="Tahoma"/>
            <family val="2"/>
          </rPr>
          <t>) : 21-03-10 (</t>
        </r>
        <r>
          <rPr>
            <b/>
            <sz val="9"/>
            <color indexed="81"/>
            <rFont val="돋움"/>
            <family val="3"/>
            <charset val="129"/>
          </rPr>
          <t>지점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문제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J22" authorId="0" shapeId="0" xr:uid="{00000000-0006-0000-0600-000014000000}">
      <text>
        <r>
          <rPr>
            <b/>
            <sz val="9"/>
            <color indexed="81"/>
            <rFont val="돋움"/>
            <family val="3"/>
            <charset val="129"/>
          </rPr>
          <t>기존종강일</t>
        </r>
        <r>
          <rPr>
            <b/>
            <sz val="9"/>
            <color indexed="81"/>
            <rFont val="Tahoma"/>
            <family val="2"/>
          </rPr>
          <t xml:space="preserve"> : 21-11-22</t>
        </r>
      </text>
    </comment>
    <comment ref="I27" authorId="0" shapeId="0" xr:uid="{00000000-0006-0000-0600-000015000000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차일정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연기</t>
        </r>
        <r>
          <rPr>
            <b/>
            <sz val="9"/>
            <color indexed="81"/>
            <rFont val="Tahoma"/>
            <family val="2"/>
          </rPr>
          <t>) :21.03.11(</t>
        </r>
        <r>
          <rPr>
            <b/>
            <sz val="9"/>
            <color indexed="81"/>
            <rFont val="돋움"/>
            <family val="3"/>
            <charset val="129"/>
          </rPr>
          <t>지점운영일정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J27" authorId="0" shapeId="0" xr:uid="{00000000-0006-0000-0600-000016000000}">
      <text>
        <r>
          <rPr>
            <b/>
            <sz val="9"/>
            <color indexed="81"/>
            <rFont val="돋움"/>
            <family val="3"/>
            <charset val="129"/>
          </rPr>
          <t>기존종강</t>
        </r>
        <r>
          <rPr>
            <b/>
            <sz val="9"/>
            <color indexed="81"/>
            <rFont val="Tahoma"/>
            <family val="2"/>
          </rPr>
          <t>:21.08.16</t>
        </r>
      </text>
    </comment>
    <comment ref="I28" authorId="0" shapeId="0" xr:uid="{00000000-0006-0000-0600-000017000000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일정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연기</t>
        </r>
        <r>
          <rPr>
            <b/>
            <sz val="9"/>
            <color indexed="81"/>
            <rFont val="Tahoma"/>
            <family val="2"/>
          </rPr>
          <t>) : 20.02.22(</t>
        </r>
        <r>
          <rPr>
            <b/>
            <sz val="9"/>
            <color indexed="81"/>
            <rFont val="돋움"/>
            <family val="3"/>
            <charset val="129"/>
          </rPr>
          <t>모집저조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F38" authorId="0" shapeId="0" xr:uid="{00000000-0006-0000-0600-000018000000}">
      <text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회차</t>
        </r>
      </text>
    </comment>
    <comment ref="I39" authorId="0" shapeId="0" xr:uid="{00000000-0006-0000-0600-000019000000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차일정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연기</t>
        </r>
        <r>
          <rPr>
            <b/>
            <sz val="9"/>
            <color indexed="81"/>
            <rFont val="Tahoma"/>
            <family val="2"/>
          </rPr>
          <t>) :2021-03-29(</t>
        </r>
        <r>
          <rPr>
            <b/>
            <sz val="9"/>
            <color indexed="81"/>
            <rFont val="돋움"/>
            <family val="3"/>
            <charset val="129"/>
          </rPr>
          <t>모집미비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J39" authorId="0" shapeId="0" xr:uid="{00000000-0006-0000-0600-00001A000000}">
      <text>
        <r>
          <rPr>
            <b/>
            <sz val="9"/>
            <color indexed="81"/>
            <rFont val="Tahoma"/>
            <family val="2"/>
          </rPr>
          <t>2021-07-09</t>
        </r>
      </text>
    </comment>
    <comment ref="I41" authorId="0" shapeId="0" xr:uid="{00000000-0006-0000-0600-00001B000000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차일정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연기</t>
        </r>
        <r>
          <rPr>
            <b/>
            <sz val="9"/>
            <color indexed="81"/>
            <rFont val="Tahoma"/>
            <family val="2"/>
          </rPr>
          <t>) :2021-04-13(</t>
        </r>
        <r>
          <rPr>
            <b/>
            <sz val="9"/>
            <color indexed="81"/>
            <rFont val="돋움"/>
            <family val="3"/>
            <charset val="129"/>
          </rPr>
          <t>모집미비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J41" authorId="0" shapeId="0" xr:uid="{00000000-0006-0000-0600-00001C000000}">
      <text>
        <r>
          <rPr>
            <b/>
            <sz val="9"/>
            <color indexed="81"/>
            <rFont val="돋움"/>
            <family val="3"/>
            <charset val="129"/>
          </rPr>
          <t>기존종강</t>
        </r>
        <r>
          <rPr>
            <b/>
            <sz val="9"/>
            <color indexed="81"/>
            <rFont val="Tahoma"/>
            <family val="2"/>
          </rPr>
          <t xml:space="preserve"> : 21-07-21
1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</t>
        </r>
        <r>
          <rPr>
            <b/>
            <sz val="9"/>
            <color indexed="81"/>
            <rFont val="Tahoma"/>
            <family val="2"/>
          </rPr>
          <t xml:space="preserve"> : 21-08-04</t>
        </r>
      </text>
    </comment>
    <comment ref="I42" authorId="0" shapeId="0" xr:uid="{00000000-0006-0000-0600-00001D000000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차일정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연기</t>
        </r>
        <r>
          <rPr>
            <b/>
            <sz val="9"/>
            <color indexed="81"/>
            <rFont val="Tahoma"/>
            <family val="2"/>
          </rPr>
          <t>) :2021-03-23(</t>
        </r>
        <r>
          <rPr>
            <b/>
            <sz val="9"/>
            <color indexed="81"/>
            <rFont val="돋움"/>
            <family val="3"/>
            <charset val="129"/>
          </rPr>
          <t>모집미비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J42" authorId="0" shapeId="0" xr:uid="{00000000-0006-0000-0600-00001E000000}">
      <text>
        <r>
          <rPr>
            <b/>
            <sz val="9"/>
            <color indexed="81"/>
            <rFont val="Tahoma"/>
            <family val="2"/>
          </rPr>
          <t>2021-08-04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43" authorId="0" shapeId="0" xr:uid="{00000000-0006-0000-0600-00001F000000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차일정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연기</t>
        </r>
        <r>
          <rPr>
            <b/>
            <sz val="9"/>
            <color indexed="81"/>
            <rFont val="Tahoma"/>
            <family val="2"/>
          </rPr>
          <t>) :2021-03-15(</t>
        </r>
        <r>
          <rPr>
            <b/>
            <sz val="9"/>
            <color indexed="81"/>
            <rFont val="돋움"/>
            <family val="3"/>
            <charset val="129"/>
          </rPr>
          <t>모집미비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J43" authorId="0" shapeId="0" xr:uid="{00000000-0006-0000-0600-000020000000}">
      <text>
        <r>
          <rPr>
            <b/>
            <sz val="9"/>
            <color indexed="81"/>
            <rFont val="돋움"/>
            <family val="3"/>
            <charset val="129"/>
          </rPr>
          <t>기존종강</t>
        </r>
        <r>
          <rPr>
            <b/>
            <sz val="9"/>
            <color indexed="81"/>
            <rFont val="Tahoma"/>
            <family val="2"/>
          </rPr>
          <t xml:space="preserve"> : 2021-08-04</t>
        </r>
      </text>
    </comment>
    <comment ref="I45" authorId="0" shapeId="0" xr:uid="{00000000-0006-0000-0600-000021000000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차일정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연기</t>
        </r>
        <r>
          <rPr>
            <b/>
            <sz val="9"/>
            <color indexed="81"/>
            <rFont val="Tahoma"/>
            <family val="2"/>
          </rPr>
          <t>) : 21-03-17(</t>
        </r>
        <r>
          <rPr>
            <b/>
            <sz val="9"/>
            <color indexed="81"/>
            <rFont val="돋움"/>
            <family val="3"/>
            <charset val="129"/>
          </rPr>
          <t>모집률저조</t>
        </r>
        <r>
          <rPr>
            <b/>
            <sz val="9"/>
            <color indexed="81"/>
            <rFont val="Tahoma"/>
            <family val="2"/>
          </rPr>
          <t>)
2</t>
        </r>
        <r>
          <rPr>
            <b/>
            <sz val="9"/>
            <color indexed="81"/>
            <rFont val="돋움"/>
            <family val="3"/>
            <charset val="129"/>
          </rPr>
          <t>차일정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연기</t>
        </r>
        <r>
          <rPr>
            <b/>
            <sz val="9"/>
            <color indexed="81"/>
            <rFont val="Tahoma"/>
            <family val="2"/>
          </rPr>
          <t>) : 21-03-31(</t>
        </r>
        <r>
          <rPr>
            <b/>
            <sz val="9"/>
            <color indexed="81"/>
            <rFont val="돋움"/>
            <family val="3"/>
            <charset val="129"/>
          </rPr>
          <t>모집률</t>
        </r>
        <r>
          <rPr>
            <b/>
            <sz val="9"/>
            <color indexed="81"/>
            <rFont val="돋움"/>
            <family val="3"/>
            <charset val="129"/>
          </rPr>
          <t>저조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J45" authorId="0" shapeId="0" xr:uid="{00000000-0006-0000-0600-000022000000}">
      <text>
        <r>
          <rPr>
            <b/>
            <sz val="9"/>
            <color indexed="81"/>
            <rFont val="돋움"/>
            <family val="3"/>
            <charset val="129"/>
          </rPr>
          <t>기존종강</t>
        </r>
        <r>
          <rPr>
            <b/>
            <sz val="9"/>
            <color indexed="81"/>
            <rFont val="Tahoma"/>
            <family val="2"/>
          </rPr>
          <t xml:space="preserve"> : 2021-06-02
</t>
        </r>
        <r>
          <rPr>
            <b/>
            <sz val="9"/>
            <color indexed="81"/>
            <rFont val="돋움"/>
            <family val="3"/>
            <charset val="129"/>
          </rPr>
          <t>기존존강</t>
        </r>
        <r>
          <rPr>
            <b/>
            <sz val="9"/>
            <color indexed="81"/>
            <rFont val="Tahoma"/>
            <family val="2"/>
          </rPr>
          <t>:  2021-06-23</t>
        </r>
      </text>
    </comment>
    <comment ref="I49" authorId="0" shapeId="0" xr:uid="{00000000-0006-0000-0600-000023000000}">
      <text>
        <r>
          <rPr>
            <b/>
            <sz val="9"/>
            <color indexed="81"/>
            <rFont val="돋움"/>
            <family val="3"/>
            <charset val="129"/>
          </rPr>
          <t>1차일정(연기) :21.04.15 (모집저조)</t>
        </r>
      </text>
    </comment>
    <comment ref="J49" authorId="0" shapeId="0" xr:uid="{00000000-0006-0000-0600-000024000000}">
      <text>
        <r>
          <rPr>
            <b/>
            <sz val="9"/>
            <color indexed="81"/>
            <rFont val="돋움"/>
            <family val="3"/>
            <charset val="129"/>
          </rPr>
          <t>기존종강</t>
        </r>
        <r>
          <rPr>
            <b/>
            <sz val="9"/>
            <color indexed="81"/>
            <rFont val="Tahoma"/>
            <family val="2"/>
          </rPr>
          <t xml:space="preserve"> : 2021-09-09</t>
        </r>
      </text>
    </comment>
    <comment ref="I50" authorId="0" shapeId="0" xr:uid="{00000000-0006-0000-0600-000025000000}">
      <text>
        <r>
          <rPr>
            <b/>
            <sz val="9"/>
            <color indexed="81"/>
            <rFont val="돋움"/>
            <family val="3"/>
            <charset val="129"/>
          </rPr>
          <t>1차일정(연기) :21.04.15 (모집저조)</t>
        </r>
      </text>
    </comment>
    <comment ref="J50" authorId="0" shapeId="0" xr:uid="{00000000-0006-0000-0600-000026000000}">
      <text>
        <r>
          <rPr>
            <b/>
            <sz val="9"/>
            <color indexed="81"/>
            <rFont val="돋움"/>
            <family val="3"/>
            <charset val="129"/>
          </rPr>
          <t>기존종강</t>
        </r>
        <r>
          <rPr>
            <b/>
            <sz val="9"/>
            <color indexed="81"/>
            <rFont val="Tahoma"/>
            <family val="2"/>
          </rPr>
          <t xml:space="preserve"> : 2021-09-09</t>
        </r>
      </text>
    </comment>
    <comment ref="I52" authorId="0" shapeId="0" xr:uid="{00000000-0006-0000-0600-000027000000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연기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모집미비</t>
        </r>
        <r>
          <rPr>
            <b/>
            <sz val="9"/>
            <color indexed="81"/>
            <rFont val="Tahoma"/>
            <family val="2"/>
          </rPr>
          <t>)2021-05-10
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연기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모집미비</t>
        </r>
        <r>
          <rPr>
            <b/>
            <sz val="9"/>
            <color indexed="81"/>
            <rFont val="Tahoma"/>
            <family val="2"/>
          </rPr>
          <t>)2021-05-20</t>
        </r>
      </text>
    </comment>
    <comment ref="J52" authorId="0" shapeId="0" xr:uid="{00000000-0006-0000-0600-000028000000}">
      <text>
        <r>
          <rPr>
            <b/>
            <sz val="9"/>
            <color indexed="81"/>
            <rFont val="Tahoma"/>
            <family val="2"/>
          </rPr>
          <t>2021-08-02
2021-08-11</t>
        </r>
      </text>
    </comment>
    <comment ref="I58" authorId="0" shapeId="0" xr:uid="{00000000-0006-0000-0600-000029000000}">
      <text>
        <r>
          <rPr>
            <b/>
            <sz val="9"/>
            <color indexed="81"/>
            <rFont val="Tahoma"/>
            <family val="2"/>
          </rPr>
          <t>2021-06-10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58" authorId="0" shapeId="0" xr:uid="{00000000-0006-0000-0600-00002A000000}">
      <text>
        <r>
          <rPr>
            <b/>
            <sz val="9"/>
            <color indexed="81"/>
            <rFont val="Tahoma"/>
            <family val="2"/>
          </rPr>
          <t>2021-10-22</t>
        </r>
      </text>
    </comment>
    <comment ref="I62" authorId="0" shapeId="0" xr:uid="{00000000-0006-0000-0600-00002B000000}">
      <text>
        <r>
          <rPr>
            <b/>
            <sz val="9"/>
            <color indexed="81"/>
            <rFont val="돋움"/>
            <family val="3"/>
            <charset val="129"/>
          </rPr>
          <t>기존</t>
        </r>
        <r>
          <rPr>
            <b/>
            <sz val="9"/>
            <color indexed="81"/>
            <rFont val="Tahoma"/>
            <family val="2"/>
          </rPr>
          <t>: 21.06.29</t>
        </r>
      </text>
    </comment>
    <comment ref="J62" authorId="0" shapeId="0" xr:uid="{00000000-0006-0000-0600-00002C000000}">
      <text>
        <r>
          <rPr>
            <b/>
            <sz val="9"/>
            <color indexed="81"/>
            <rFont val="돋움"/>
            <family val="3"/>
            <charset val="129"/>
          </rPr>
          <t>기존</t>
        </r>
        <r>
          <rPr>
            <b/>
            <sz val="9"/>
            <color indexed="81"/>
            <rFont val="Tahoma"/>
            <family val="2"/>
          </rPr>
          <t xml:space="preserve"> 21.11.18</t>
        </r>
      </text>
    </comment>
    <comment ref="I64" authorId="0" shapeId="0" xr:uid="{00000000-0006-0000-0600-00002D000000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차연기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모집미비</t>
        </r>
        <r>
          <rPr>
            <b/>
            <sz val="9"/>
            <color indexed="81"/>
            <rFont val="Tahoma"/>
            <family val="2"/>
          </rPr>
          <t>) 2021-05-13
2</t>
        </r>
        <r>
          <rPr>
            <b/>
            <sz val="9"/>
            <color indexed="81"/>
            <rFont val="돋움"/>
            <family val="3"/>
            <charset val="129"/>
          </rPr>
          <t>차연기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모집미비</t>
        </r>
        <r>
          <rPr>
            <b/>
            <sz val="9"/>
            <color indexed="81"/>
            <rFont val="Tahoma"/>
            <family val="2"/>
          </rPr>
          <t>) 2021-05-25</t>
        </r>
      </text>
    </comment>
    <comment ref="J64" authorId="0" shapeId="0" xr:uid="{00000000-0006-0000-0600-00002E000000}">
      <text>
        <r>
          <rPr>
            <b/>
            <sz val="9"/>
            <color indexed="81"/>
            <rFont val="Tahoma"/>
            <family val="2"/>
          </rPr>
          <t>2021-09-16
2021-09-30</t>
        </r>
      </text>
    </comment>
    <comment ref="I65" authorId="0" shapeId="0" xr:uid="{00000000-0006-0000-0600-00002F000000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차연기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모집미비</t>
        </r>
        <r>
          <rPr>
            <b/>
            <sz val="9"/>
            <color indexed="81"/>
            <rFont val="Tahoma"/>
            <family val="2"/>
          </rPr>
          <t>)2021-05-26</t>
        </r>
      </text>
    </comment>
    <comment ref="J65" authorId="0" shapeId="0" xr:uid="{00000000-0006-0000-0600-000030000000}">
      <text>
        <r>
          <rPr>
            <b/>
            <sz val="9"/>
            <color indexed="81"/>
            <rFont val="Tahoma"/>
            <family val="2"/>
          </rPr>
          <t>2021-10-14</t>
        </r>
      </text>
    </comment>
    <comment ref="F70" authorId="0" shapeId="0" xr:uid="{00000000-0006-0000-0600-000031000000}">
      <text>
        <r>
          <rPr>
            <b/>
            <sz val="9"/>
            <color indexed="81"/>
            <rFont val="Tahoma"/>
            <family val="2"/>
          </rPr>
          <t>3</t>
        </r>
        <r>
          <rPr>
            <b/>
            <sz val="9"/>
            <color indexed="81"/>
            <rFont val="돋움"/>
            <family val="3"/>
            <charset val="129"/>
          </rPr>
          <t xml:space="preserve">회차
</t>
        </r>
      </text>
    </comment>
    <comment ref="I70" authorId="0" shapeId="0" xr:uid="{00000000-0006-0000-0600-000032000000}">
      <text>
        <r>
          <rPr>
            <b/>
            <sz val="9"/>
            <color indexed="81"/>
            <rFont val="Tahoma"/>
            <family val="2"/>
          </rPr>
          <t xml:space="preserve">2021-06-08
2021-06-22
</t>
        </r>
      </text>
    </comment>
    <comment ref="J70" authorId="0" shapeId="0" xr:uid="{00000000-0006-0000-0600-000033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2021-09-30</t>
        </r>
        <r>
          <rPr>
            <sz val="9"/>
            <color indexed="81"/>
            <rFont val="맑은 고딕"/>
            <family val="3"/>
            <charset val="129"/>
            <scheme val="minor"/>
          </rPr>
          <t xml:space="preserve">
2021-10-14</t>
        </r>
      </text>
    </comment>
    <comment ref="I71" authorId="0" shapeId="0" xr:uid="{00000000-0006-0000-0600-000034000000}">
      <text>
        <r>
          <rPr>
            <b/>
            <sz val="9"/>
            <color indexed="81"/>
            <rFont val="Tahoma"/>
            <family val="2"/>
          </rPr>
          <t>2021-07-15(</t>
        </r>
        <r>
          <rPr>
            <b/>
            <sz val="9"/>
            <color indexed="81"/>
            <rFont val="돋움"/>
            <family val="3"/>
            <charset val="129"/>
          </rPr>
          <t>코로나로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연기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I74" authorId="0" shapeId="0" xr:uid="{00000000-0006-0000-0600-000035000000}">
      <text>
        <r>
          <rPr>
            <b/>
            <sz val="9"/>
            <color indexed="81"/>
            <rFont val="Tahoma"/>
            <family val="2"/>
          </rPr>
          <t>2021-07-15</t>
        </r>
      </text>
    </comment>
    <comment ref="J74" authorId="0" shapeId="0" xr:uid="{00000000-0006-0000-0600-000036000000}">
      <text>
        <r>
          <rPr>
            <b/>
            <sz val="9"/>
            <color indexed="81"/>
            <rFont val="Tahoma"/>
            <family val="2"/>
          </rPr>
          <t>2021-11-23
2021-11-29(</t>
        </r>
        <r>
          <rPr>
            <b/>
            <sz val="9"/>
            <color indexed="81"/>
            <rFont val="돋움"/>
            <family val="3"/>
            <charset val="129"/>
          </rPr>
          <t>강사휴강일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I75" authorId="0" shapeId="0" xr:uid="{00000000-0006-0000-0600-000037000000}">
      <text>
        <r>
          <rPr>
            <b/>
            <sz val="9"/>
            <color indexed="81"/>
            <rFont val="Tahoma"/>
            <family val="2"/>
          </rPr>
          <t>2021-07-14</t>
        </r>
      </text>
    </comment>
    <comment ref="J75" authorId="0" shapeId="0" xr:uid="{00000000-0006-0000-0600-000038000000}">
      <text>
        <r>
          <rPr>
            <b/>
            <sz val="9"/>
            <color indexed="81"/>
            <rFont val="Tahoma"/>
            <family val="2"/>
          </rPr>
          <t>2021-12-08</t>
        </r>
      </text>
    </comment>
    <comment ref="I77" authorId="0" shapeId="0" xr:uid="{00000000-0006-0000-0600-000039000000}">
      <text>
        <r>
          <rPr>
            <b/>
            <sz val="9"/>
            <color indexed="81"/>
            <rFont val="Tahoma"/>
            <family val="2"/>
          </rPr>
          <t>2021-06-21</t>
        </r>
      </text>
    </comment>
    <comment ref="J77" authorId="0" shapeId="0" xr:uid="{00000000-0006-0000-0600-00003A000000}">
      <text>
        <r>
          <rPr>
            <b/>
            <sz val="9"/>
            <color indexed="81"/>
            <rFont val="Tahoma"/>
            <family val="2"/>
          </rPr>
          <t>2022-01-13</t>
        </r>
      </text>
    </comment>
    <comment ref="I78" authorId="0" shapeId="0" xr:uid="{00000000-0006-0000-0600-00003B000000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연기</t>
        </r>
        <r>
          <rPr>
            <b/>
            <sz val="9"/>
            <color indexed="81"/>
            <rFont val="Tahoma"/>
            <family val="2"/>
          </rPr>
          <t xml:space="preserve"> : 2021-07-08</t>
        </r>
      </text>
    </comment>
    <comment ref="J78" authorId="0" shapeId="0" xr:uid="{00000000-0006-0000-0600-00003C000000}">
      <text>
        <r>
          <rPr>
            <b/>
            <sz val="9"/>
            <color indexed="81"/>
            <rFont val="Tahoma"/>
            <family val="2"/>
          </rPr>
          <t>2022-01-14</t>
        </r>
      </text>
    </comment>
    <comment ref="I79" authorId="0" shapeId="0" xr:uid="{00000000-0006-0000-0600-00003D000000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차연기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모집미비</t>
        </r>
        <r>
          <rPr>
            <b/>
            <sz val="9"/>
            <color indexed="81"/>
            <rFont val="Tahoma"/>
            <family val="2"/>
          </rPr>
          <t>)2021-06-24</t>
        </r>
      </text>
    </comment>
    <comment ref="J79" authorId="0" shapeId="0" xr:uid="{00000000-0006-0000-0600-00003E000000}">
      <text>
        <r>
          <rPr>
            <b/>
            <sz val="9"/>
            <color indexed="81"/>
            <rFont val="Tahoma"/>
            <family val="2"/>
          </rPr>
          <t>2021-09-24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80" authorId="0" shapeId="0" xr:uid="{00000000-0006-0000-0600-00003F000000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차연기</t>
        </r>
        <r>
          <rPr>
            <b/>
            <sz val="9"/>
            <color indexed="81"/>
            <rFont val="Tahoma"/>
            <family val="2"/>
          </rPr>
          <t>: 21-05-14(</t>
        </r>
        <r>
          <rPr>
            <b/>
            <sz val="9"/>
            <color indexed="81"/>
            <rFont val="돋움"/>
            <family val="3"/>
            <charset val="129"/>
          </rPr>
          <t>모집미비</t>
        </r>
        <r>
          <rPr>
            <b/>
            <sz val="9"/>
            <color indexed="81"/>
            <rFont val="Tahoma"/>
            <family val="2"/>
          </rPr>
          <t>)
2</t>
        </r>
        <r>
          <rPr>
            <b/>
            <sz val="9"/>
            <color indexed="81"/>
            <rFont val="돋움"/>
            <family val="3"/>
            <charset val="129"/>
          </rPr>
          <t>차연기</t>
        </r>
        <r>
          <rPr>
            <b/>
            <sz val="9"/>
            <color indexed="81"/>
            <rFont val="Tahoma"/>
            <family val="2"/>
          </rPr>
          <t xml:space="preserve"> : 21-05-28(</t>
        </r>
        <r>
          <rPr>
            <b/>
            <sz val="9"/>
            <color indexed="81"/>
            <rFont val="돋움"/>
            <family val="3"/>
            <charset val="129"/>
          </rPr>
          <t>모집미비</t>
        </r>
        <r>
          <rPr>
            <b/>
            <sz val="9"/>
            <color indexed="81"/>
            <rFont val="Tahoma"/>
            <family val="2"/>
          </rPr>
          <t>)
3</t>
        </r>
        <r>
          <rPr>
            <b/>
            <sz val="9"/>
            <color indexed="81"/>
            <rFont val="돋움"/>
            <family val="3"/>
            <charset val="129"/>
          </rPr>
          <t>차연기</t>
        </r>
        <r>
          <rPr>
            <b/>
            <sz val="9"/>
            <color indexed="81"/>
            <rFont val="Tahoma"/>
            <family val="2"/>
          </rPr>
          <t xml:space="preserve"> : 21-06-25(</t>
        </r>
        <r>
          <rPr>
            <b/>
            <sz val="9"/>
            <color indexed="81"/>
            <rFont val="돋움"/>
            <family val="3"/>
            <charset val="129"/>
          </rPr>
          <t>모집미비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J80" authorId="0" shapeId="0" xr:uid="{00000000-0006-0000-0600-000040000000}">
      <text>
        <r>
          <rPr>
            <b/>
            <sz val="9"/>
            <color indexed="81"/>
            <rFont val="Tahoma"/>
            <family val="2"/>
          </rPr>
          <t>2021-09-29
2021-10-12
2021-12-30</t>
        </r>
      </text>
    </comment>
    <comment ref="I86" authorId="0" shapeId="0" xr:uid="{00000000-0006-0000-0600-000041000000}">
      <text>
        <r>
          <rPr>
            <b/>
            <sz val="9"/>
            <color indexed="81"/>
            <rFont val="Tahoma"/>
            <family val="2"/>
          </rPr>
          <t>2021-08-11
2021-08-17(</t>
        </r>
        <r>
          <rPr>
            <b/>
            <sz val="9"/>
            <color indexed="81"/>
            <rFont val="돋움"/>
            <family val="3"/>
            <charset val="129"/>
          </rPr>
          <t>사업부휴가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J86" authorId="0" shapeId="0" xr:uid="{00000000-0006-0000-0600-000042000000}">
      <text>
        <r>
          <rPr>
            <b/>
            <sz val="9"/>
            <color indexed="81"/>
            <rFont val="Tahoma"/>
            <family val="2"/>
          </rPr>
          <t>2021-12-16
2021-12-22</t>
        </r>
      </text>
    </comment>
    <comment ref="I87" authorId="0" shapeId="0" xr:uid="{00000000-0006-0000-0600-000043000000}">
      <text>
        <r>
          <rPr>
            <b/>
            <sz val="9"/>
            <color indexed="81"/>
            <rFont val="Tahoma"/>
            <family val="2"/>
          </rPr>
          <t>2021-08-11</t>
        </r>
      </text>
    </comment>
    <comment ref="J87" authorId="0" shapeId="0" xr:uid="{00000000-0006-0000-0600-000044000000}">
      <text>
        <r>
          <rPr>
            <b/>
            <sz val="9"/>
            <color indexed="81"/>
            <rFont val="Tahoma"/>
            <family val="2"/>
          </rPr>
          <t>2022-01-13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88" authorId="0" shapeId="0" xr:uid="{00000000-0006-0000-0600-000045000000}">
      <text>
        <r>
          <rPr>
            <b/>
            <sz val="9"/>
            <color indexed="81"/>
            <rFont val="Tahoma"/>
            <family val="2"/>
          </rPr>
          <t>2021-08-17</t>
        </r>
      </text>
    </comment>
    <comment ref="J88" authorId="0" shapeId="0" xr:uid="{00000000-0006-0000-0600-000046000000}">
      <text>
        <r>
          <rPr>
            <b/>
            <sz val="9"/>
            <color indexed="81"/>
            <rFont val="Tahoma"/>
            <family val="2"/>
          </rPr>
          <t>2022-01-13</t>
        </r>
      </text>
    </comment>
    <comment ref="I90" authorId="0" shapeId="0" xr:uid="{00000000-0006-0000-0600-000047000000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: 21.07.26 (</t>
        </r>
        <r>
          <rPr>
            <b/>
            <sz val="9"/>
            <color indexed="81"/>
            <rFont val="돋움"/>
            <family val="3"/>
            <charset val="129"/>
          </rPr>
          <t>모집미비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J90" authorId="0" shapeId="0" xr:uid="{00000000-0006-0000-0600-000048000000}">
      <text>
        <r>
          <rPr>
            <b/>
            <sz val="9"/>
            <color indexed="81"/>
            <rFont val="Tahoma"/>
            <family val="2"/>
          </rPr>
          <t>2021-10-20</t>
        </r>
      </text>
    </comment>
    <comment ref="I91" authorId="0" shapeId="0" xr:uid="{00000000-0006-0000-0600-000049000000}">
      <text>
        <r>
          <rPr>
            <b/>
            <sz val="9"/>
            <color indexed="81"/>
            <rFont val="Tahoma"/>
            <family val="2"/>
          </rPr>
          <t>2021-08-10</t>
        </r>
      </text>
    </comment>
    <comment ref="J91" authorId="0" shapeId="0" xr:uid="{00000000-0006-0000-0600-00004A000000}">
      <text>
        <r>
          <rPr>
            <b/>
            <sz val="9"/>
            <color indexed="81"/>
            <rFont val="Tahoma"/>
            <family val="2"/>
          </rPr>
          <t>2021-11-04</t>
        </r>
      </text>
    </comment>
    <comment ref="I93" authorId="0" shapeId="0" xr:uid="{00000000-0006-0000-0600-00004B000000}">
      <text>
        <r>
          <rPr>
            <b/>
            <sz val="9"/>
            <color indexed="81"/>
            <rFont val="Tahoma"/>
            <family val="2"/>
          </rPr>
          <t>2021-08-23</t>
        </r>
      </text>
    </comment>
    <comment ref="J93" authorId="0" shapeId="0" xr:uid="{00000000-0006-0000-0600-00004C000000}">
      <text>
        <r>
          <rPr>
            <b/>
            <sz val="9"/>
            <color indexed="81"/>
            <rFont val="Tahoma"/>
            <family val="2"/>
          </rPr>
          <t>2021-11-17</t>
        </r>
      </text>
    </comment>
    <comment ref="I95" authorId="0" shapeId="0" xr:uid="{00000000-0006-0000-0600-00004D000000}">
      <text>
        <r>
          <rPr>
            <b/>
            <sz val="9"/>
            <color indexed="81"/>
            <rFont val="Tahoma"/>
            <family val="2"/>
          </rPr>
          <t>2021-08-05
2021-08-26(</t>
        </r>
        <r>
          <rPr>
            <b/>
            <sz val="9"/>
            <color indexed="81"/>
            <rFont val="돋움"/>
            <family val="3"/>
            <charset val="129"/>
          </rPr>
          <t>모집저조</t>
        </r>
        <r>
          <rPr>
            <b/>
            <sz val="9"/>
            <color indexed="81"/>
            <rFont val="Tahoma"/>
            <family val="2"/>
          </rPr>
          <t>)
2021-09-02(</t>
        </r>
        <r>
          <rPr>
            <b/>
            <sz val="9"/>
            <color indexed="81"/>
            <rFont val="돋움"/>
            <family val="3"/>
            <charset val="129"/>
          </rPr>
          <t>모집지조</t>
        </r>
        <r>
          <rPr>
            <b/>
            <sz val="9"/>
            <color indexed="81"/>
            <rFont val="Tahoma"/>
            <family val="2"/>
          </rPr>
          <t>)
2021-09-08(</t>
        </r>
        <r>
          <rPr>
            <b/>
            <sz val="9"/>
            <color indexed="81"/>
            <rFont val="돋움"/>
            <family val="3"/>
            <charset val="129"/>
          </rPr>
          <t>모집저조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J95" authorId="0" shapeId="0" xr:uid="{00000000-0006-0000-0600-00004E000000}">
      <text>
        <r>
          <rPr>
            <b/>
            <sz val="9"/>
            <color indexed="81"/>
            <rFont val="Tahoma"/>
            <family val="2"/>
          </rPr>
          <t>2021-11-29
2021-11-26
2021-12-03
2021-12-09</t>
        </r>
      </text>
    </comment>
    <comment ref="I96" authorId="0" shapeId="0" xr:uid="{00000000-0006-0000-0600-00004F000000}">
      <text>
        <r>
          <rPr>
            <b/>
            <sz val="9"/>
            <color indexed="81"/>
            <rFont val="Tahoma"/>
            <family val="2"/>
          </rPr>
          <t>2021-08-18</t>
        </r>
      </text>
    </comment>
    <comment ref="J96" authorId="0" shapeId="0" xr:uid="{00000000-0006-0000-0600-000050000000}">
      <text>
        <r>
          <rPr>
            <b/>
            <sz val="9"/>
            <color indexed="81"/>
            <rFont val="Tahoma"/>
            <family val="2"/>
          </rPr>
          <t>2022-04-27</t>
        </r>
      </text>
    </comment>
    <comment ref="I97" authorId="0" shapeId="0" xr:uid="{00000000-0006-0000-0600-000051000000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연기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모집저조</t>
        </r>
        <r>
          <rPr>
            <b/>
            <sz val="9"/>
            <color indexed="81"/>
            <rFont val="Tahoma"/>
            <family val="2"/>
          </rPr>
          <t>)2021-09-10</t>
        </r>
      </text>
    </comment>
    <comment ref="J97" authorId="0" shapeId="0" xr:uid="{00000000-0006-0000-0600-000052000000}">
      <text>
        <r>
          <rPr>
            <b/>
            <sz val="9"/>
            <color indexed="81"/>
            <rFont val="Tahoma"/>
            <family val="2"/>
          </rPr>
          <t>2022-02-09</t>
        </r>
      </text>
    </comment>
    <comment ref="I101" authorId="0" shapeId="0" xr:uid="{00000000-0006-0000-0600-000053000000}">
      <text>
        <r>
          <rPr>
            <b/>
            <sz val="9"/>
            <color indexed="81"/>
            <rFont val="Tahoma"/>
            <family val="2"/>
          </rPr>
          <t>2021-08-24</t>
        </r>
      </text>
    </comment>
    <comment ref="J101" authorId="0" shapeId="0" xr:uid="{00000000-0006-0000-0600-000054000000}">
      <text>
        <r>
          <rPr>
            <b/>
            <sz val="9"/>
            <color indexed="81"/>
            <rFont val="Tahoma"/>
            <family val="2"/>
          </rPr>
          <t>2022-01-03</t>
        </r>
      </text>
    </comment>
    <comment ref="I102" authorId="0" shapeId="0" xr:uid="{00000000-0006-0000-0600-000055000000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연기</t>
        </r>
        <r>
          <rPr>
            <b/>
            <sz val="9"/>
            <color indexed="81"/>
            <rFont val="Tahoma"/>
            <family val="2"/>
          </rPr>
          <t xml:space="preserve"> : 2021-09-14(</t>
        </r>
        <r>
          <rPr>
            <b/>
            <sz val="9"/>
            <color indexed="81"/>
            <rFont val="돋움"/>
            <family val="3"/>
            <charset val="129"/>
          </rPr>
          <t>모집저조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J102" authorId="0" shapeId="0" xr:uid="{00000000-0006-0000-0600-000056000000}">
      <text>
        <r>
          <rPr>
            <b/>
            <sz val="9"/>
            <color indexed="81"/>
            <rFont val="Tahoma"/>
            <family val="2"/>
          </rPr>
          <t>2022-03-03</t>
        </r>
      </text>
    </comment>
    <comment ref="I103" authorId="0" shapeId="0" xr:uid="{00000000-0006-0000-0600-000057000000}">
      <text>
        <r>
          <rPr>
            <b/>
            <sz val="9"/>
            <color indexed="81"/>
            <rFont val="돋움"/>
            <family val="3"/>
            <charset val="129"/>
          </rPr>
          <t>모집미비</t>
        </r>
        <r>
          <rPr>
            <b/>
            <sz val="9"/>
            <color indexed="81"/>
            <rFont val="Tahoma"/>
            <family val="2"/>
          </rPr>
          <t xml:space="preserve"> : 2021-08-18</t>
        </r>
      </text>
    </comment>
    <comment ref="J103" authorId="0" shapeId="0" xr:uid="{00000000-0006-0000-0600-000058000000}">
      <text>
        <r>
          <rPr>
            <b/>
            <sz val="9"/>
            <color indexed="81"/>
            <rFont val="Tahoma"/>
            <family val="2"/>
          </rPr>
          <t>2021-12-24</t>
        </r>
      </text>
    </comment>
    <comment ref="I105" authorId="0" shapeId="0" xr:uid="{00000000-0006-0000-0600-000059000000}">
      <text>
        <r>
          <rPr>
            <b/>
            <sz val="9"/>
            <color indexed="81"/>
            <rFont val="Tahoma"/>
            <family val="2"/>
          </rPr>
          <t>2021-08-30</t>
        </r>
      </text>
    </comment>
    <comment ref="J105" authorId="0" shapeId="0" xr:uid="{00000000-0006-0000-0600-00005A000000}">
      <text>
        <r>
          <rPr>
            <b/>
            <sz val="9"/>
            <color indexed="81"/>
            <rFont val="Tahoma"/>
            <family val="2"/>
          </rPr>
          <t>2022-02-22</t>
        </r>
      </text>
    </comment>
    <comment ref="I107" authorId="0" shapeId="0" xr:uid="{00000000-0006-0000-0600-00005B000000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연기</t>
        </r>
        <r>
          <rPr>
            <b/>
            <sz val="9"/>
            <color indexed="81"/>
            <rFont val="Tahoma"/>
            <family val="2"/>
          </rPr>
          <t xml:space="preserve"> : 2021-08-23(</t>
        </r>
        <r>
          <rPr>
            <b/>
            <sz val="9"/>
            <color indexed="81"/>
            <rFont val="돋움"/>
            <family val="3"/>
            <charset val="129"/>
          </rPr>
          <t>모집미비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J107" authorId="0" shapeId="0" xr:uid="{00000000-0006-0000-0600-00005C000000}">
      <text>
        <r>
          <rPr>
            <b/>
            <sz val="9"/>
            <color indexed="81"/>
            <rFont val="Tahoma"/>
            <family val="2"/>
          </rPr>
          <t>2021-12-20
2022-01-10</t>
        </r>
      </text>
    </comment>
    <comment ref="I108" authorId="0" shapeId="0" xr:uid="{00000000-0006-0000-0600-00005D000000}">
      <text>
        <r>
          <rPr>
            <b/>
            <sz val="9"/>
            <color indexed="81"/>
            <rFont val="Tahoma"/>
            <family val="2"/>
          </rPr>
          <t>2021-09-15
2021-09-27</t>
        </r>
      </text>
    </comment>
    <comment ref="J108" authorId="0" shapeId="0" xr:uid="{00000000-0006-0000-0600-00005E000000}">
      <text>
        <r>
          <rPr>
            <b/>
            <sz val="9"/>
            <color indexed="81"/>
            <rFont val="Tahoma"/>
            <family val="2"/>
          </rPr>
          <t>2021-12-23
2021-12-27</t>
        </r>
      </text>
    </comment>
    <comment ref="I110" authorId="0" shapeId="0" xr:uid="{00000000-0006-0000-0600-00005F000000}">
      <text>
        <r>
          <rPr>
            <b/>
            <sz val="9"/>
            <color indexed="81"/>
            <rFont val="Tahoma"/>
            <family val="2"/>
          </rPr>
          <t>2021-09-28</t>
        </r>
        <r>
          <rPr>
            <sz val="9"/>
            <color indexed="81"/>
            <rFont val="Tahoma"/>
            <family val="2"/>
          </rPr>
          <t xml:space="preserve">
2021-10-12</t>
        </r>
      </text>
    </comment>
    <comment ref="J110" authorId="0" shapeId="0" xr:uid="{00000000-0006-0000-0600-000060000000}">
      <text>
        <r>
          <rPr>
            <b/>
            <sz val="9"/>
            <color indexed="81"/>
            <rFont val="Tahoma"/>
            <family val="2"/>
          </rPr>
          <t>2021-12-20
2021-12-30</t>
        </r>
      </text>
    </comment>
    <comment ref="I111" authorId="0" shapeId="0" xr:uid="{00000000-0006-0000-0600-000061000000}">
      <text>
        <r>
          <rPr>
            <b/>
            <sz val="9"/>
            <color indexed="81"/>
            <rFont val="돋움"/>
            <family val="3"/>
            <charset val="129"/>
          </rPr>
          <t>주말과정</t>
        </r>
      </text>
    </comment>
    <comment ref="I112" authorId="0" shapeId="0" xr:uid="{00000000-0006-0000-0600-000062000000}">
      <text>
        <r>
          <rPr>
            <b/>
            <sz val="9"/>
            <color indexed="81"/>
            <rFont val="Tahoma"/>
            <family val="2"/>
          </rPr>
          <t>2021-10-04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12" authorId="0" shapeId="0" xr:uid="{00000000-0006-0000-0600-000063000000}">
      <text>
        <r>
          <rPr>
            <b/>
            <sz val="9"/>
            <color indexed="81"/>
            <rFont val="Tahoma"/>
            <family val="2"/>
          </rPr>
          <t>2021-11-17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15" authorId="0" shapeId="0" xr:uid="{00000000-0006-0000-0600-000064000000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연기</t>
        </r>
        <r>
          <rPr>
            <b/>
            <sz val="9"/>
            <color indexed="81"/>
            <rFont val="Tahoma"/>
            <family val="2"/>
          </rPr>
          <t xml:space="preserve"> : 2021-10-12(</t>
        </r>
        <r>
          <rPr>
            <b/>
            <sz val="9"/>
            <color indexed="81"/>
            <rFont val="돋움"/>
            <family val="3"/>
            <charset val="129"/>
          </rPr>
          <t>모집저조</t>
        </r>
        <r>
          <rPr>
            <b/>
            <sz val="9"/>
            <color indexed="81"/>
            <rFont val="Tahoma"/>
            <family val="2"/>
          </rPr>
          <t xml:space="preserve">)
</t>
        </r>
      </text>
    </comment>
    <comment ref="J115" authorId="0" shapeId="0" xr:uid="{00000000-0006-0000-0600-000065000000}">
      <text>
        <r>
          <rPr>
            <b/>
            <sz val="9"/>
            <color indexed="81"/>
            <rFont val="Tahoma"/>
            <family val="2"/>
          </rPr>
          <t>2021-12-20</t>
        </r>
      </text>
    </comment>
    <comment ref="I116" authorId="0" shapeId="0" xr:uid="{00000000-0006-0000-0600-000066000000}">
      <text>
        <r>
          <rPr>
            <b/>
            <sz val="9"/>
            <color indexed="81"/>
            <rFont val="Tahoma"/>
            <family val="2"/>
          </rPr>
          <t>2021-09-23
2021-10-12</t>
        </r>
      </text>
    </comment>
    <comment ref="J116" authorId="0" shapeId="0" xr:uid="{00000000-0006-0000-0600-000067000000}">
      <text>
        <r>
          <rPr>
            <b/>
            <sz val="9"/>
            <color indexed="81"/>
            <rFont val="Tahoma"/>
            <family val="2"/>
          </rPr>
          <t>2022-03-24
2022-04-08</t>
        </r>
      </text>
    </comment>
    <comment ref="I117" authorId="0" shapeId="0" xr:uid="{00000000-0006-0000-0600-000068000000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차연기</t>
        </r>
        <r>
          <rPr>
            <b/>
            <sz val="9"/>
            <color indexed="81"/>
            <rFont val="Tahoma"/>
            <family val="2"/>
          </rPr>
          <t xml:space="preserve"> : 2021-08-17(</t>
        </r>
        <r>
          <rPr>
            <b/>
            <sz val="9"/>
            <color indexed="81"/>
            <rFont val="돋움"/>
            <family val="3"/>
            <charset val="129"/>
          </rPr>
          <t>모짐미비</t>
        </r>
        <r>
          <rPr>
            <b/>
            <sz val="9"/>
            <color indexed="81"/>
            <rFont val="Tahoma"/>
            <family val="2"/>
          </rPr>
          <t>)
2021-10-14</t>
        </r>
      </text>
    </comment>
    <comment ref="J117" authorId="0" shapeId="0" xr:uid="{00000000-0006-0000-0600-000069000000}">
      <text>
        <r>
          <rPr>
            <b/>
            <sz val="9"/>
            <color indexed="81"/>
            <rFont val="Tahoma"/>
            <family val="2"/>
          </rPr>
          <t>2021-11-26
2022-01-19</t>
        </r>
      </text>
    </comment>
    <comment ref="J118" authorId="0" shapeId="0" xr:uid="{00000000-0006-0000-0600-00006A000000}">
      <text>
        <r>
          <rPr>
            <b/>
            <sz val="9"/>
            <color indexed="81"/>
            <rFont val="Tahoma"/>
            <family val="2"/>
          </rPr>
          <t>2022-04-01</t>
        </r>
      </text>
    </comment>
    <comment ref="I119" authorId="0" shapeId="0" xr:uid="{00000000-0006-0000-0600-00006B000000}">
      <text>
        <r>
          <rPr>
            <b/>
            <sz val="9"/>
            <color indexed="81"/>
            <rFont val="Tahoma"/>
            <family val="2"/>
          </rPr>
          <t>2021-08-23
2021-09-27
2021-10-25</t>
        </r>
      </text>
    </comment>
    <comment ref="J119" authorId="0" shapeId="0" xr:uid="{00000000-0006-0000-0600-00006C000000}">
      <text>
        <r>
          <rPr>
            <b/>
            <sz val="9"/>
            <color indexed="81"/>
            <rFont val="Tahoma"/>
            <family val="2"/>
          </rPr>
          <t>2021-11-17
2021-12-17
2022-01-14</t>
        </r>
      </text>
    </comment>
    <comment ref="I120" authorId="0" shapeId="0" xr:uid="{00000000-0006-0000-0600-00006D000000}">
      <text>
        <r>
          <rPr>
            <b/>
            <sz val="9"/>
            <color indexed="81"/>
            <rFont val="Tahoma"/>
            <family val="2"/>
          </rPr>
          <t>2021-10-25</t>
        </r>
      </text>
    </comment>
    <comment ref="J120" authorId="0" shapeId="0" xr:uid="{00000000-0006-0000-0600-00006E000000}">
      <text>
        <r>
          <rPr>
            <b/>
            <sz val="9"/>
            <color indexed="81"/>
            <rFont val="Tahoma"/>
            <family val="2"/>
          </rPr>
          <t>2021-12-08</t>
        </r>
      </text>
    </comment>
    <comment ref="I121" authorId="0" shapeId="0" xr:uid="{00000000-0006-0000-0600-00006F000000}">
      <text>
        <r>
          <rPr>
            <b/>
            <sz val="9"/>
            <color indexed="81"/>
            <rFont val="Tahoma"/>
            <family val="2"/>
          </rPr>
          <t>2021-10-12</t>
        </r>
      </text>
    </comment>
    <comment ref="J121" authorId="0" shapeId="0" xr:uid="{00000000-0006-0000-0600-000070000000}">
      <text>
        <r>
          <rPr>
            <b/>
            <sz val="9"/>
            <color indexed="81"/>
            <rFont val="Tahoma"/>
            <family val="2"/>
          </rPr>
          <t>2022-04-07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22" authorId="0" shapeId="0" xr:uid="{00000000-0006-0000-0600-000071000000}">
      <text>
        <r>
          <rPr>
            <b/>
            <sz val="9"/>
            <color indexed="81"/>
            <rFont val="Tahoma"/>
            <family val="2"/>
          </rPr>
          <t xml:space="preserve">2022.04.28
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훈련시간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조정으로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종강일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변경
</t>
        </r>
        <r>
          <rPr>
            <b/>
            <sz val="9"/>
            <color indexed="81"/>
            <rFont val="Tahoma"/>
            <family val="2"/>
          </rPr>
          <t xml:space="preserve">2022.05.06
</t>
        </r>
        <r>
          <rPr>
            <b/>
            <sz val="9"/>
            <color indexed="81"/>
            <rFont val="돋움"/>
            <family val="3"/>
            <charset val="129"/>
          </rPr>
          <t>휴강일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</t>
        </r>
      </text>
    </comment>
    <comment ref="N122" authorId="0" shapeId="0" xr:uid="{00000000-0006-0000-0600-000072000000}">
      <text>
        <r>
          <rPr>
            <b/>
            <sz val="9"/>
            <color indexed="81"/>
            <rFont val="Tahoma"/>
            <family val="2"/>
          </rPr>
          <t>0900 - 1800</t>
        </r>
      </text>
    </comment>
    <comment ref="I124" authorId="0" shapeId="0" xr:uid="{00000000-0006-0000-0600-000073000000}">
      <text>
        <r>
          <rPr>
            <b/>
            <sz val="9"/>
            <color indexed="81"/>
            <rFont val="Tahoma"/>
            <family val="2"/>
          </rPr>
          <t>2021-10-12</t>
        </r>
      </text>
    </comment>
    <comment ref="J124" authorId="0" shapeId="0" xr:uid="{00000000-0006-0000-0600-000074000000}">
      <text>
        <r>
          <rPr>
            <b/>
            <sz val="9"/>
            <color indexed="81"/>
            <rFont val="Tahoma"/>
            <family val="2"/>
          </rPr>
          <t>2022-04-11</t>
        </r>
      </text>
    </comment>
    <comment ref="I125" authorId="0" shapeId="0" xr:uid="{00000000-0006-0000-0600-000075000000}">
      <text>
        <r>
          <rPr>
            <b/>
            <sz val="9"/>
            <color indexed="81"/>
            <rFont val="Tahoma"/>
            <family val="2"/>
          </rPr>
          <t>2021-10-12</t>
        </r>
      </text>
    </comment>
    <comment ref="J125" authorId="0" shapeId="0" xr:uid="{00000000-0006-0000-0600-000076000000}">
      <text>
        <r>
          <rPr>
            <b/>
            <sz val="9"/>
            <color indexed="81"/>
            <rFont val="Tahoma"/>
            <family val="2"/>
          </rPr>
          <t>2022-03-07</t>
        </r>
      </text>
    </comment>
    <comment ref="I126" authorId="0" shapeId="0" xr:uid="{00000000-0006-0000-0600-000077000000}">
      <text>
        <r>
          <rPr>
            <b/>
            <sz val="9"/>
            <color indexed="81"/>
            <rFont val="Tahoma"/>
            <family val="2"/>
          </rPr>
          <t>2021-10-12
2021-10-26</t>
        </r>
      </text>
    </comment>
    <comment ref="J126" authorId="0" shapeId="0" xr:uid="{00000000-0006-0000-0600-000078000000}">
      <text>
        <r>
          <rPr>
            <b/>
            <sz val="9"/>
            <color indexed="81"/>
            <rFont val="Tahoma"/>
            <family val="2"/>
          </rPr>
          <t>2022-04-07
2022-04-21</t>
        </r>
      </text>
    </comment>
    <comment ref="I127" authorId="0" shapeId="0" xr:uid="{00000000-0006-0000-0600-000079000000}">
      <text>
        <r>
          <rPr>
            <b/>
            <sz val="9"/>
            <color indexed="81"/>
            <rFont val="Tahoma"/>
            <family val="2"/>
          </rPr>
          <t>2021-08-30
2021-10-28(</t>
        </r>
        <r>
          <rPr>
            <b/>
            <sz val="9"/>
            <color indexed="81"/>
            <rFont val="돋움"/>
            <family val="3"/>
            <charset val="129"/>
          </rPr>
          <t>모집저조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J127" authorId="0" shapeId="0" xr:uid="{00000000-0006-0000-0600-00007A000000}">
      <text>
        <r>
          <rPr>
            <b/>
            <sz val="9"/>
            <color indexed="81"/>
            <rFont val="Tahoma"/>
            <family val="2"/>
          </rPr>
          <t>2022-02-22
2022-05-11</t>
        </r>
      </text>
    </comment>
    <comment ref="J128" authorId="0" shapeId="0" xr:uid="{00000000-0006-0000-0600-00007B000000}">
      <text>
        <r>
          <rPr>
            <b/>
            <sz val="9"/>
            <color indexed="81"/>
            <rFont val="Tahoma"/>
            <family val="2"/>
          </rPr>
          <t>2022-04-13</t>
        </r>
      </text>
    </comment>
    <comment ref="I129" authorId="0" shapeId="0" xr:uid="{00000000-0006-0000-0600-00007C000000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연기</t>
        </r>
        <r>
          <rPr>
            <b/>
            <sz val="9"/>
            <color indexed="81"/>
            <rFont val="Tahoma"/>
            <family val="2"/>
          </rPr>
          <t xml:space="preserve"> : 2021-10-07(</t>
        </r>
        <r>
          <rPr>
            <b/>
            <sz val="9"/>
            <color indexed="81"/>
            <rFont val="돋움"/>
            <family val="3"/>
            <charset val="129"/>
          </rPr>
          <t>모집저조</t>
        </r>
        <r>
          <rPr>
            <b/>
            <sz val="9"/>
            <color indexed="81"/>
            <rFont val="Tahoma"/>
            <family val="2"/>
          </rPr>
          <t>)
2021-10-25</t>
        </r>
      </text>
    </comment>
    <comment ref="J129" authorId="0" shapeId="0" xr:uid="{00000000-0006-0000-0600-00007D000000}">
      <text>
        <r>
          <rPr>
            <b/>
            <sz val="9"/>
            <color indexed="81"/>
            <rFont val="Tahoma"/>
            <family val="2"/>
          </rPr>
          <t>2022-01-12
2022-01-28</t>
        </r>
      </text>
    </comment>
    <comment ref="I130" authorId="0" shapeId="0" xr:uid="{00000000-0006-0000-0600-00007E000000}">
      <text>
        <r>
          <rPr>
            <b/>
            <sz val="9"/>
            <color indexed="81"/>
            <rFont val="Tahoma"/>
            <family val="2"/>
          </rPr>
          <t>2021-10-12</t>
        </r>
        <r>
          <rPr>
            <sz val="9"/>
            <color indexed="81"/>
            <rFont val="Tahoma"/>
            <family val="2"/>
          </rPr>
          <t xml:space="preserve">
2021-11-09</t>
        </r>
      </text>
    </comment>
    <comment ref="J130" authorId="0" shapeId="0" xr:uid="{00000000-0006-0000-0600-00007F000000}">
      <text>
        <r>
          <rPr>
            <b/>
            <sz val="9"/>
            <color indexed="81"/>
            <rFont val="Tahoma"/>
            <family val="2"/>
          </rPr>
          <t>2022-03-15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32" authorId="0" shapeId="0" xr:uid="{00000000-0006-0000-0600-000080000000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차연기</t>
        </r>
        <r>
          <rPr>
            <b/>
            <sz val="9"/>
            <color indexed="81"/>
            <rFont val="Tahoma"/>
            <family val="2"/>
          </rPr>
          <t>:2021-10-28(</t>
        </r>
        <r>
          <rPr>
            <b/>
            <sz val="9"/>
            <color indexed="81"/>
            <rFont val="돋움"/>
            <family val="3"/>
            <charset val="129"/>
          </rPr>
          <t>모집미비</t>
        </r>
        <r>
          <rPr>
            <b/>
            <sz val="9"/>
            <color indexed="81"/>
            <rFont val="Tahoma"/>
            <family val="2"/>
          </rPr>
          <t xml:space="preserve">)
</t>
        </r>
      </text>
    </comment>
    <comment ref="J132" authorId="0" shapeId="0" xr:uid="{00000000-0006-0000-0600-000081000000}">
      <text>
        <r>
          <rPr>
            <b/>
            <sz val="9"/>
            <color indexed="81"/>
            <rFont val="Tahoma"/>
            <family val="2"/>
          </rPr>
          <t>2022-03-08</t>
        </r>
      </text>
    </comment>
    <comment ref="I133" authorId="0" shapeId="0" xr:uid="{00000000-0006-0000-0600-000082000000}">
      <text>
        <r>
          <rPr>
            <b/>
            <sz val="9"/>
            <color indexed="81"/>
            <rFont val="Tahoma"/>
            <family val="2"/>
          </rPr>
          <t>2021-11-15</t>
        </r>
      </text>
    </comment>
    <comment ref="J133" authorId="0" shapeId="0" xr:uid="{00000000-0006-0000-0600-000083000000}">
      <text>
        <r>
          <rPr>
            <b/>
            <sz val="9"/>
            <color indexed="81"/>
            <rFont val="Tahoma"/>
            <family val="2"/>
          </rPr>
          <t>2022-04-01</t>
        </r>
      </text>
    </comment>
    <comment ref="F135" authorId="0" shapeId="0" xr:uid="{00000000-0006-0000-0600-00008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35" authorId="0" shapeId="0" xr:uid="{00000000-0006-0000-0600-000085000000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모집일정</t>
        </r>
        <r>
          <rPr>
            <b/>
            <sz val="9"/>
            <color indexed="81"/>
            <rFont val="Tahoma"/>
            <family val="2"/>
          </rPr>
          <t xml:space="preserve"> : 11.25</t>
        </r>
      </text>
    </comment>
    <comment ref="J135" authorId="0" shapeId="0" xr:uid="{00000000-0006-0000-0600-000086000000}">
      <text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훈련시간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조정으로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종강일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</t>
        </r>
        <r>
          <rPr>
            <b/>
            <sz val="9"/>
            <color indexed="81"/>
            <rFont val="Tahoma"/>
            <family val="2"/>
          </rPr>
          <t xml:space="preserve">
2022-04-15
2022-06-07
</t>
        </r>
        <r>
          <rPr>
            <b/>
            <sz val="9"/>
            <color indexed="81"/>
            <rFont val="돋움"/>
            <family val="3"/>
            <charset val="129"/>
          </rPr>
          <t>모집일정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연기</t>
        </r>
        <r>
          <rPr>
            <b/>
            <sz val="9"/>
            <color indexed="81"/>
            <rFont val="Tahoma"/>
            <family val="2"/>
          </rPr>
          <t xml:space="preserve">
2022-06-13</t>
        </r>
      </text>
    </comment>
    <comment ref="N135" authorId="0" shapeId="0" xr:uid="{00000000-0006-0000-0600-000087000000}">
      <text>
        <r>
          <rPr>
            <b/>
            <sz val="9"/>
            <color indexed="81"/>
            <rFont val="Tahoma"/>
            <family val="2"/>
          </rPr>
          <t>0900 - 1800</t>
        </r>
      </text>
    </comment>
    <comment ref="I136" authorId="0" shapeId="0" xr:uid="{00000000-0006-0000-0600-000088000000}">
      <text>
        <r>
          <rPr>
            <b/>
            <sz val="9"/>
            <color indexed="81"/>
            <rFont val="Tahoma"/>
            <family val="2"/>
          </rPr>
          <t>2021-10-27</t>
        </r>
      </text>
    </comment>
    <comment ref="J136" authorId="0" shapeId="0" xr:uid="{00000000-0006-0000-0600-000089000000}">
      <text>
        <r>
          <rPr>
            <b/>
            <sz val="9"/>
            <color indexed="81"/>
            <rFont val="Tahoma"/>
            <family val="2"/>
          </rPr>
          <t>2022-02-04</t>
        </r>
      </text>
    </comment>
    <comment ref="I137" authorId="0" shapeId="0" xr:uid="{00000000-0006-0000-0600-00008A000000}">
      <text>
        <r>
          <rPr>
            <b/>
            <sz val="9"/>
            <color indexed="81"/>
            <rFont val="Tahoma"/>
            <family val="2"/>
          </rPr>
          <t>2021-11-16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37" authorId="0" shapeId="0" xr:uid="{00000000-0006-0000-0600-00008B000000}">
      <text>
        <r>
          <rPr>
            <b/>
            <sz val="9"/>
            <color indexed="81"/>
            <rFont val="Tahoma"/>
            <family val="2"/>
          </rPr>
          <t>2022-03-30</t>
        </r>
      </text>
    </comment>
    <comment ref="I138" authorId="0" shapeId="0" xr:uid="{00000000-0006-0000-0600-00008C000000}">
      <text>
        <r>
          <rPr>
            <b/>
            <sz val="9"/>
            <color indexed="81"/>
            <rFont val="Tahoma"/>
            <family val="2"/>
          </rPr>
          <t xml:space="preserve">2021-10-21
</t>
        </r>
        <r>
          <rPr>
            <sz val="9"/>
            <color indexed="81"/>
            <rFont val="Tahoma"/>
            <family val="2"/>
          </rPr>
          <t xml:space="preserve">
2021-11-15</t>
        </r>
      </text>
    </comment>
    <comment ref="J138" authorId="0" shapeId="0" xr:uid="{00000000-0006-0000-0600-00008D000000}">
      <text>
        <r>
          <rPr>
            <b/>
            <sz val="9"/>
            <color indexed="81"/>
            <rFont val="Tahoma"/>
            <family val="2"/>
          </rPr>
          <t>2022-04-29
2022-05-26</t>
        </r>
      </text>
    </comment>
    <comment ref="I139" authorId="0" shapeId="0" xr:uid="{00000000-0006-0000-0600-00008E000000}">
      <text>
        <r>
          <rPr>
            <b/>
            <sz val="9"/>
            <color indexed="81"/>
            <rFont val="Tahoma"/>
            <family val="2"/>
          </rPr>
          <t>2021-11-08
2021-11-22 (</t>
        </r>
        <r>
          <rPr>
            <b/>
            <sz val="9"/>
            <color indexed="81"/>
            <rFont val="돋움"/>
            <family val="3"/>
            <charset val="129"/>
          </rPr>
          <t>모집저조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J139" authorId="0" shapeId="0" xr:uid="{00000000-0006-0000-0600-00008F000000}">
      <text>
        <r>
          <rPr>
            <b/>
            <sz val="9"/>
            <color indexed="81"/>
            <rFont val="Tahoma"/>
            <family val="2"/>
          </rPr>
          <t>2022-03-30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40" authorId="0" shapeId="0" xr:uid="{00000000-0006-0000-0600-000090000000}">
      <text>
        <r>
          <rPr>
            <b/>
            <sz val="9"/>
            <color indexed="81"/>
            <rFont val="Tahoma"/>
            <family val="2"/>
          </rPr>
          <t>2021-11-08
2021-11-22</t>
        </r>
      </text>
    </comment>
    <comment ref="J140" authorId="0" shapeId="0" xr:uid="{00000000-0006-0000-0600-000091000000}">
      <text>
        <r>
          <rPr>
            <b/>
            <sz val="9"/>
            <color indexed="81"/>
            <rFont val="Tahoma"/>
            <family val="2"/>
          </rPr>
          <t>2022-02-09
2022-02-22</t>
        </r>
      </text>
    </comment>
    <comment ref="I141" authorId="0" shapeId="0" xr:uid="{00000000-0006-0000-0600-000092000000}">
      <text>
        <r>
          <rPr>
            <b/>
            <sz val="9"/>
            <color indexed="81"/>
            <rFont val="Tahoma"/>
            <family val="2"/>
          </rPr>
          <t>2021-08-23
2021-09-27
2021-11-08</t>
        </r>
      </text>
    </comment>
    <comment ref="J141" authorId="0" shapeId="0" xr:uid="{00000000-0006-0000-0600-000093000000}">
      <text>
        <r>
          <rPr>
            <b/>
            <sz val="9"/>
            <color indexed="81"/>
            <rFont val="Tahoma"/>
            <family val="2"/>
          </rPr>
          <t xml:space="preserve">2021-11-17
2021-12-17
</t>
        </r>
      </text>
    </comment>
    <comment ref="I142" authorId="0" shapeId="0" xr:uid="{00000000-0006-0000-0600-000094000000}">
      <text>
        <r>
          <rPr>
            <b/>
            <sz val="9"/>
            <color indexed="81"/>
            <rFont val="Tahoma"/>
            <family val="2"/>
          </rPr>
          <t>2021-10-14
2021-11-16(</t>
        </r>
        <r>
          <rPr>
            <b/>
            <sz val="9"/>
            <color indexed="81"/>
            <rFont val="돋움"/>
            <family val="3"/>
            <charset val="129"/>
          </rPr>
          <t>모집저조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J142" authorId="0" shapeId="0" xr:uid="{00000000-0006-0000-0600-000095000000}">
      <text>
        <r>
          <rPr>
            <b/>
            <sz val="9"/>
            <color indexed="81"/>
            <rFont val="Tahoma"/>
            <family val="2"/>
          </rPr>
          <t>2022-02-16
2022-03-22</t>
        </r>
      </text>
    </comment>
    <comment ref="I143" authorId="0" shapeId="0" xr:uid="{00000000-0006-0000-0600-000096000000}">
      <text>
        <r>
          <rPr>
            <b/>
            <sz val="9"/>
            <color indexed="81"/>
            <rFont val="Tahoma"/>
            <family val="2"/>
          </rPr>
          <t xml:space="preserve">2021-11-10
2021-11-24
</t>
        </r>
      </text>
    </comment>
    <comment ref="J143" authorId="0" shapeId="0" xr:uid="{00000000-0006-0000-0600-000097000000}">
      <text>
        <r>
          <rPr>
            <b/>
            <sz val="9"/>
            <color indexed="81"/>
            <rFont val="Tahoma"/>
            <family val="2"/>
          </rPr>
          <t>2022-05-10</t>
        </r>
      </text>
    </comment>
    <comment ref="I144" authorId="0" shapeId="0" xr:uid="{00000000-0006-0000-0600-000098000000}">
      <text>
        <r>
          <rPr>
            <b/>
            <sz val="9"/>
            <color indexed="81"/>
            <rFont val="Tahoma"/>
            <family val="2"/>
          </rPr>
          <t>2021-11-08
2021-11-24</t>
        </r>
      </text>
    </comment>
    <comment ref="J144" authorId="0" shapeId="0" xr:uid="{00000000-0006-0000-0600-000099000000}">
      <text>
        <r>
          <rPr>
            <b/>
            <sz val="9"/>
            <color indexed="81"/>
            <rFont val="Tahoma"/>
            <family val="2"/>
          </rPr>
          <t>2022-03-16
2022-08-09</t>
        </r>
      </text>
    </comment>
    <comment ref="I145" authorId="0" shapeId="0" xr:uid="{00000000-0006-0000-0600-00009A000000}">
      <text>
        <r>
          <rPr>
            <b/>
            <sz val="9"/>
            <color indexed="81"/>
            <rFont val="Tahoma"/>
            <family val="2"/>
          </rPr>
          <t>2021-11-08
2021-11-11(</t>
        </r>
        <r>
          <rPr>
            <b/>
            <sz val="9"/>
            <color indexed="81"/>
            <rFont val="돋움"/>
            <family val="3"/>
            <charset val="129"/>
          </rPr>
          <t>모집저조</t>
        </r>
        <r>
          <rPr>
            <b/>
            <sz val="9"/>
            <color indexed="81"/>
            <rFont val="Tahoma"/>
            <family val="2"/>
          </rPr>
          <t>)
2021-12-09</t>
        </r>
      </text>
    </comment>
    <comment ref="J145" authorId="0" shapeId="0" xr:uid="{00000000-0006-0000-0600-00009B000000}">
      <text>
        <r>
          <rPr>
            <b/>
            <sz val="9"/>
            <color indexed="81"/>
            <rFont val="Tahoma"/>
            <family val="2"/>
          </rPr>
          <t>2022-04-29
2022-05-04</t>
        </r>
      </text>
    </comment>
    <comment ref="I146" authorId="0" shapeId="0" xr:uid="{00000000-0006-0000-0600-00009C000000}">
      <text>
        <r>
          <rPr>
            <b/>
            <sz val="9"/>
            <color indexed="81"/>
            <rFont val="Tahoma"/>
            <family val="2"/>
          </rPr>
          <t>2021-10-26</t>
        </r>
      </text>
    </comment>
    <comment ref="J146" authorId="0" shapeId="0" xr:uid="{00000000-0006-0000-0600-00009D000000}">
      <text>
        <r>
          <rPr>
            <b/>
            <sz val="9"/>
            <color indexed="81"/>
            <rFont val="Tahoma"/>
            <family val="2"/>
          </rPr>
          <t>2022-05-02</t>
        </r>
      </text>
    </comment>
    <comment ref="I148" authorId="0" shapeId="0" xr:uid="{00000000-0006-0000-0600-00009E000000}">
      <text>
        <r>
          <rPr>
            <b/>
            <sz val="9"/>
            <color indexed="81"/>
            <rFont val="Tahoma"/>
            <family val="2"/>
          </rPr>
          <t xml:space="preserve">2021-12-17
</t>
        </r>
      </text>
    </comment>
    <comment ref="J151" authorId="0" shapeId="0" xr:uid="{00000000-0006-0000-0600-00009F000000}">
      <text>
        <r>
          <rPr>
            <b/>
            <sz val="9"/>
            <color indexed="81"/>
            <rFont val="Tahoma"/>
            <family val="2"/>
          </rPr>
          <t>2022-06-01</t>
        </r>
      </text>
    </comment>
    <comment ref="I152" authorId="0" shapeId="0" xr:uid="{00000000-0006-0000-0600-0000A0000000}">
      <text>
        <r>
          <rPr>
            <b/>
            <sz val="9"/>
            <color indexed="81"/>
            <rFont val="Tahoma"/>
            <family val="2"/>
          </rPr>
          <t>2021-12-06</t>
        </r>
      </text>
    </comment>
    <comment ref="J152" authorId="0" shapeId="0" xr:uid="{00000000-0006-0000-0600-0000A1000000}">
      <text>
        <r>
          <rPr>
            <b/>
            <sz val="9"/>
            <color indexed="81"/>
            <rFont val="Tahoma"/>
            <family val="2"/>
          </rPr>
          <t>2022-03-03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54" authorId="0" shapeId="0" xr:uid="{00000000-0006-0000-0600-0000A2000000}">
      <text>
        <r>
          <rPr>
            <b/>
            <sz val="9"/>
            <color indexed="81"/>
            <rFont val="Tahoma"/>
            <family val="2"/>
          </rPr>
          <t>2022-05-19</t>
        </r>
      </text>
    </comment>
    <comment ref="I155" authorId="0" shapeId="0" xr:uid="{00000000-0006-0000-0600-0000A3000000}">
      <text>
        <r>
          <rPr>
            <b/>
            <sz val="9"/>
            <color indexed="81"/>
            <rFont val="Tahoma"/>
            <family val="2"/>
          </rPr>
          <t>2021-10-14</t>
        </r>
        <r>
          <rPr>
            <sz val="9"/>
            <color indexed="81"/>
            <rFont val="Tahoma"/>
            <family val="2"/>
          </rPr>
          <t xml:space="preserve">
2021-12-09</t>
        </r>
      </text>
    </comment>
    <comment ref="J155" authorId="0" shapeId="0" xr:uid="{00000000-0006-0000-0600-0000A4000000}">
      <text>
        <r>
          <rPr>
            <b/>
            <sz val="9"/>
            <color indexed="81"/>
            <rFont val="Tahoma"/>
            <family val="2"/>
          </rPr>
          <t>2022-01-06
2022-03-25</t>
        </r>
      </text>
    </comment>
    <comment ref="I156" authorId="0" shapeId="0" xr:uid="{00000000-0006-0000-0600-0000A5000000}">
      <text>
        <r>
          <rPr>
            <b/>
            <sz val="9"/>
            <color indexed="81"/>
            <rFont val="Tahoma"/>
            <family val="2"/>
          </rPr>
          <t>2021-12-20</t>
        </r>
      </text>
    </comment>
    <comment ref="J156" authorId="0" shapeId="0" xr:uid="{00000000-0006-0000-0600-0000A6000000}">
      <text>
        <r>
          <rPr>
            <b/>
            <sz val="9"/>
            <color indexed="81"/>
            <rFont val="Tahoma"/>
            <family val="2"/>
          </rPr>
          <t>2022-04-06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57" authorId="0" shapeId="0" xr:uid="{00000000-0006-0000-0600-0000A7000000}">
      <text>
        <r>
          <rPr>
            <b/>
            <sz val="9"/>
            <color indexed="81"/>
            <rFont val="Tahoma"/>
            <family val="2"/>
          </rPr>
          <t>2021-12-16</t>
        </r>
      </text>
    </comment>
    <comment ref="J157" authorId="0" shapeId="0" xr:uid="{00000000-0006-0000-0600-0000A8000000}">
      <text>
        <r>
          <rPr>
            <b/>
            <sz val="9"/>
            <color indexed="81"/>
            <rFont val="Tahoma"/>
            <family val="2"/>
          </rPr>
          <t>2022-04-06</t>
        </r>
      </text>
    </comment>
    <comment ref="I158" authorId="0" shapeId="0" xr:uid="{00000000-0006-0000-0600-0000A9000000}">
      <text>
        <r>
          <rPr>
            <b/>
            <sz val="9"/>
            <color indexed="81"/>
            <rFont val="Tahoma"/>
            <family val="2"/>
          </rPr>
          <t>2021-12-02</t>
        </r>
      </text>
    </comment>
    <comment ref="J158" authorId="0" shapeId="0" xr:uid="{00000000-0006-0000-0600-0000AA000000}">
      <text>
        <r>
          <rPr>
            <b/>
            <sz val="9"/>
            <color indexed="81"/>
            <rFont val="Tahoma"/>
            <family val="2"/>
          </rPr>
          <t>22.04.14
2022-04-20</t>
        </r>
      </text>
    </comment>
    <comment ref="I159" authorId="0" shapeId="0" xr:uid="{00000000-0006-0000-0600-0000AB000000}">
      <text>
        <r>
          <rPr>
            <b/>
            <sz val="9"/>
            <color indexed="81"/>
            <rFont val="Tahoma"/>
            <family val="2"/>
          </rPr>
          <t>2021-11-09(</t>
        </r>
        <r>
          <rPr>
            <b/>
            <sz val="9"/>
            <color indexed="81"/>
            <rFont val="돋움"/>
            <family val="3"/>
            <charset val="129"/>
          </rPr>
          <t>모집저조</t>
        </r>
        <r>
          <rPr>
            <b/>
            <sz val="9"/>
            <color indexed="81"/>
            <rFont val="Tahoma"/>
            <family val="2"/>
          </rPr>
          <t>)
2021-12-07(</t>
        </r>
        <r>
          <rPr>
            <b/>
            <sz val="9"/>
            <color indexed="81"/>
            <rFont val="돋움"/>
            <family val="3"/>
            <charset val="129"/>
          </rPr>
          <t>모집저조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J159" authorId="0" shapeId="0" xr:uid="{00000000-0006-0000-0600-0000AC000000}">
      <text>
        <r>
          <rPr>
            <b/>
            <sz val="9"/>
            <color indexed="81"/>
            <rFont val="Tahoma"/>
            <family val="2"/>
          </rPr>
          <t xml:space="preserve">2022.04.08
</t>
        </r>
      </text>
    </comment>
    <comment ref="I160" authorId="0" shapeId="0" xr:uid="{00000000-0006-0000-0600-0000AD000000}">
      <text>
        <r>
          <rPr>
            <b/>
            <sz val="9"/>
            <color indexed="81"/>
            <rFont val="Tahoma"/>
            <family val="2"/>
          </rPr>
          <t>2021-12-21
2021-12-23</t>
        </r>
      </text>
    </comment>
    <comment ref="J160" authorId="0" shapeId="0" xr:uid="{00000000-0006-0000-0600-0000AE000000}">
      <text>
        <r>
          <rPr>
            <b/>
            <sz val="9"/>
            <color indexed="81"/>
            <rFont val="Tahoma"/>
            <family val="2"/>
          </rPr>
          <t>2022-04-01
2022-04-05</t>
        </r>
      </text>
    </comment>
    <comment ref="I161" authorId="0" shapeId="0" xr:uid="{00000000-0006-0000-0600-0000AF000000}">
      <text>
        <r>
          <rPr>
            <b/>
            <sz val="9"/>
            <color indexed="81"/>
            <rFont val="Tahoma"/>
            <family val="2"/>
          </rPr>
          <t>2021-12-29</t>
        </r>
      </text>
    </comment>
    <comment ref="J161" authorId="0" shapeId="0" xr:uid="{00000000-0006-0000-0600-0000B0000000}">
      <text>
        <r>
          <rPr>
            <b/>
            <sz val="9"/>
            <color indexed="81"/>
            <rFont val="Tahoma"/>
            <family val="2"/>
          </rPr>
          <t>2022-05-13
2022-04-15</t>
        </r>
      </text>
    </comment>
    <comment ref="I164" authorId="0" shapeId="0" xr:uid="{00000000-0006-0000-0600-0000B1000000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연기</t>
        </r>
        <r>
          <rPr>
            <b/>
            <sz val="9"/>
            <color indexed="81"/>
            <rFont val="Tahoma"/>
            <family val="2"/>
          </rPr>
          <t xml:space="preserve"> : 2021-08-23(</t>
        </r>
        <r>
          <rPr>
            <b/>
            <sz val="9"/>
            <color indexed="81"/>
            <rFont val="돋움"/>
            <family val="3"/>
            <charset val="129"/>
          </rPr>
          <t>모집미비</t>
        </r>
        <r>
          <rPr>
            <b/>
            <sz val="9"/>
            <color indexed="81"/>
            <rFont val="Tahoma"/>
            <family val="2"/>
          </rPr>
          <t>)
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연기</t>
        </r>
        <r>
          <rPr>
            <b/>
            <sz val="9"/>
            <color indexed="81"/>
            <rFont val="Tahoma"/>
            <family val="2"/>
          </rPr>
          <t xml:space="preserve"> : 2021-09-27(</t>
        </r>
        <r>
          <rPr>
            <b/>
            <sz val="9"/>
            <color indexed="81"/>
            <rFont val="돋움"/>
            <family val="3"/>
            <charset val="129"/>
          </rPr>
          <t>모집미비</t>
        </r>
        <r>
          <rPr>
            <b/>
            <sz val="9"/>
            <color indexed="81"/>
            <rFont val="Tahoma"/>
            <family val="2"/>
          </rPr>
          <t>)
3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연기</t>
        </r>
        <r>
          <rPr>
            <b/>
            <sz val="9"/>
            <color indexed="81"/>
            <rFont val="Tahoma"/>
            <family val="2"/>
          </rPr>
          <t xml:space="preserve"> : 2021-10-18
4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연기</t>
        </r>
        <r>
          <rPr>
            <b/>
            <sz val="9"/>
            <color indexed="81"/>
            <rFont val="Tahoma"/>
            <family val="2"/>
          </rPr>
          <t xml:space="preserve"> : 2021-11-15
5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연기</t>
        </r>
        <r>
          <rPr>
            <b/>
            <sz val="9"/>
            <color indexed="81"/>
            <rFont val="Tahoma"/>
            <family val="2"/>
          </rPr>
          <t xml:space="preserve"> : 2021-11-22
6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연기</t>
        </r>
        <r>
          <rPr>
            <b/>
            <sz val="9"/>
            <color indexed="81"/>
            <rFont val="Tahoma"/>
            <family val="2"/>
          </rPr>
          <t xml:space="preserve"> : 2021-12-06
7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연기</t>
        </r>
        <r>
          <rPr>
            <b/>
            <sz val="9"/>
            <color indexed="81"/>
            <rFont val="Tahoma"/>
            <family val="2"/>
          </rPr>
          <t xml:space="preserve"> : 2021-12-27</t>
        </r>
      </text>
    </comment>
    <comment ref="J164" authorId="0" shapeId="0" xr:uid="{00000000-0006-0000-0600-0000B2000000}">
      <text>
        <r>
          <rPr>
            <b/>
            <sz val="9"/>
            <color indexed="81"/>
            <rFont val="Tahoma"/>
            <family val="2"/>
          </rPr>
          <t>2021-12-20
2022-01-19
2022-01-21
2022-02-09
2022-03-18
2022-04-01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H136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일정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연기</t>
        </r>
        <r>
          <rPr>
            <b/>
            <sz val="9"/>
            <color indexed="81"/>
            <rFont val="Tahoma"/>
            <family val="2"/>
          </rPr>
          <t>) 20.12.23 (</t>
        </r>
        <r>
          <rPr>
            <b/>
            <sz val="9"/>
            <color indexed="81"/>
            <rFont val="돋움"/>
            <family val="3"/>
            <charset val="129"/>
          </rPr>
          <t>모집저조</t>
        </r>
        <r>
          <rPr>
            <b/>
            <sz val="9"/>
            <color indexed="81"/>
            <rFont val="Tahoma"/>
            <family val="2"/>
          </rPr>
          <t>)
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일정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연기</t>
        </r>
        <r>
          <rPr>
            <b/>
            <sz val="9"/>
            <color indexed="81"/>
            <rFont val="Tahoma"/>
            <family val="2"/>
          </rPr>
          <t>) 20.12.28 (</t>
        </r>
        <r>
          <rPr>
            <b/>
            <sz val="9"/>
            <color indexed="81"/>
            <rFont val="돋움"/>
            <family val="3"/>
            <charset val="129"/>
          </rPr>
          <t>모집저조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H14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차일정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연기</t>
        </r>
        <r>
          <rPr>
            <b/>
            <sz val="9"/>
            <color indexed="81"/>
            <rFont val="Tahoma"/>
            <family val="2"/>
          </rPr>
          <t>) :20.12.23(</t>
        </r>
        <r>
          <rPr>
            <b/>
            <sz val="9"/>
            <color indexed="81"/>
            <rFont val="돋움"/>
            <family val="3"/>
            <charset val="129"/>
          </rPr>
          <t>모집저조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H145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일정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연기</t>
        </r>
        <r>
          <rPr>
            <b/>
            <sz val="9"/>
            <color indexed="81"/>
            <rFont val="Tahoma"/>
            <family val="2"/>
          </rPr>
          <t>) : 20.11.19 (</t>
        </r>
        <r>
          <rPr>
            <b/>
            <sz val="9"/>
            <color indexed="81"/>
            <rFont val="돋움"/>
            <family val="3"/>
            <charset val="129"/>
          </rPr>
          <t>모집저조</t>
        </r>
        <r>
          <rPr>
            <b/>
            <sz val="9"/>
            <color indexed="81"/>
            <rFont val="Tahoma"/>
            <family val="2"/>
          </rPr>
          <t>)
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일정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연기</t>
        </r>
        <r>
          <rPr>
            <b/>
            <sz val="9"/>
            <color indexed="81"/>
            <rFont val="Tahoma"/>
            <family val="2"/>
          </rPr>
          <t>) : 20.12.28 (</t>
        </r>
        <r>
          <rPr>
            <b/>
            <sz val="9"/>
            <color indexed="81"/>
            <rFont val="돋움"/>
            <family val="3"/>
            <charset val="129"/>
          </rPr>
          <t>방특일정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조정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sharedStrings.xml><?xml version="1.0" encoding="utf-8"?>
<sst xmlns="http://schemas.openxmlformats.org/spreadsheetml/2006/main" count="6383" uniqueCount="1976">
  <si>
    <t>G</t>
    <phoneticPr fontId="6" type="noConversion"/>
  </si>
  <si>
    <t>1300 - 1800</t>
    <phoneticPr fontId="6" type="noConversion"/>
  </si>
  <si>
    <t>국</t>
    <phoneticPr fontId="6" type="noConversion"/>
  </si>
  <si>
    <t>IT</t>
    <phoneticPr fontId="6" type="noConversion"/>
  </si>
  <si>
    <t>0900 - 1800</t>
    <phoneticPr fontId="6" type="noConversion"/>
  </si>
  <si>
    <t>I</t>
    <phoneticPr fontId="6" type="noConversion"/>
  </si>
  <si>
    <t>(디지털컨버전스)자바(JAVA) 기반 크로스 플랫폼 개발자 양성과정A</t>
    <phoneticPr fontId="6" type="noConversion"/>
  </si>
  <si>
    <t>컴퓨터</t>
    <phoneticPr fontId="6" type="noConversion"/>
  </si>
  <si>
    <t>신청률</t>
    <phoneticPr fontId="7" type="noConversion"/>
  </si>
  <si>
    <t>확정인원</t>
    <phoneticPr fontId="6" type="noConversion"/>
  </si>
  <si>
    <t>정원</t>
  </si>
  <si>
    <t>훈련과정명</t>
  </si>
  <si>
    <t>훈련종류</t>
  </si>
  <si>
    <t>지점명</t>
    <phoneticPr fontId="7" type="noConversion"/>
  </si>
  <si>
    <t>(AI 활용 소프트웨어 개발 및 응용)AI활용 소프트웨어 개발 및 응용과정A</t>
    <phoneticPr fontId="6" type="noConversion"/>
  </si>
  <si>
    <t>구분</t>
    <phoneticPr fontId="6" type="noConversion"/>
  </si>
  <si>
    <t>1월</t>
    <phoneticPr fontId="6" type="noConversion"/>
  </si>
  <si>
    <t>연번</t>
    <phoneticPr fontId="6" type="noConversion"/>
  </si>
  <si>
    <t>계열</t>
    <phoneticPr fontId="6" type="noConversion"/>
  </si>
  <si>
    <t>훈련일</t>
    <phoneticPr fontId="7" type="noConversion"/>
  </si>
  <si>
    <t>훈련시간</t>
    <phoneticPr fontId="7" type="noConversion"/>
  </si>
  <si>
    <t>훈련비</t>
    <phoneticPr fontId="7" type="noConversion"/>
  </si>
  <si>
    <t>직종단가</t>
    <phoneticPr fontId="6" type="noConversion"/>
  </si>
  <si>
    <t>강의장</t>
    <phoneticPr fontId="6" type="noConversion"/>
  </si>
  <si>
    <t>시간</t>
    <phoneticPr fontId="6" type="noConversion"/>
  </si>
  <si>
    <t>신청인원</t>
    <phoneticPr fontId="7" type="noConversion"/>
  </si>
  <si>
    <t>모집률</t>
    <phoneticPr fontId="7" type="noConversion"/>
  </si>
  <si>
    <t>전산세무회계(전산회계1급, 전산세무2급)자격증 취득과정</t>
    <phoneticPr fontId="6" type="noConversion"/>
  </si>
  <si>
    <t>J</t>
    <phoneticPr fontId="6" type="noConversion"/>
  </si>
  <si>
    <t>1300 - 1900</t>
    <phoneticPr fontId="6" type="noConversion"/>
  </si>
  <si>
    <t>A</t>
    <phoneticPr fontId="6" type="noConversion"/>
  </si>
  <si>
    <t>(디지털컨버전스)융합서비스 애플리케이션 개발자 양성과정B</t>
    <phoneticPr fontId="6" type="noConversion"/>
  </si>
  <si>
    <t>(디지털컨버전스)융합서비스 애플리케이션 개발자 양성과정A</t>
    <phoneticPr fontId="6" type="noConversion"/>
  </si>
  <si>
    <t>H</t>
    <phoneticPr fontId="6" type="noConversion"/>
  </si>
  <si>
    <t>0900 - 1300</t>
    <phoneticPr fontId="6" type="noConversion"/>
  </si>
  <si>
    <t>[출판]출판편집디자인(포토샵,일러스트,인디자인)과정B-원격보조</t>
    <phoneticPr fontId="6" type="noConversion"/>
  </si>
  <si>
    <t>1000 - 1800</t>
    <phoneticPr fontId="6" type="noConversion"/>
  </si>
  <si>
    <t>미용사(피부)국가자격증 취득과정</t>
    <phoneticPr fontId="6" type="noConversion"/>
  </si>
  <si>
    <t>SKIN_2</t>
    <phoneticPr fontId="6" type="noConversion"/>
  </si>
  <si>
    <t>1000 - 1600</t>
    <phoneticPr fontId="6" type="noConversion"/>
  </si>
  <si>
    <t>미용사(네일)국가자격증 취득과정</t>
    <phoneticPr fontId="6" type="noConversion"/>
  </si>
  <si>
    <t>NAIL_2</t>
  </si>
  <si>
    <t>1000- 1600</t>
    <phoneticPr fontId="6" type="noConversion"/>
  </si>
  <si>
    <t>미용사(메이크업)국가자격증 취득과정</t>
    <phoneticPr fontId="6" type="noConversion"/>
  </si>
  <si>
    <t>MAKE-UP_2</t>
    <phoneticPr fontId="6" type="noConversion"/>
  </si>
  <si>
    <t>1000 - 1600</t>
    <phoneticPr fontId="6" type="noConversion"/>
  </si>
  <si>
    <t>실</t>
    <phoneticPr fontId="6" type="noConversion"/>
  </si>
  <si>
    <t>게임</t>
    <phoneticPr fontId="6" type="noConversion"/>
  </si>
  <si>
    <t>굿잡</t>
    <phoneticPr fontId="6" type="noConversion"/>
  </si>
  <si>
    <t>굿잡</t>
    <phoneticPr fontId="6" type="noConversion"/>
  </si>
  <si>
    <t>뷰티</t>
    <phoneticPr fontId="6" type="noConversion"/>
  </si>
  <si>
    <t>뷰티</t>
    <phoneticPr fontId="6" type="noConversion"/>
  </si>
  <si>
    <t>2월</t>
    <phoneticPr fontId="6" type="noConversion"/>
  </si>
  <si>
    <t>S</t>
    <phoneticPr fontId="6" type="noConversion"/>
  </si>
  <si>
    <t>1400 - 1800</t>
    <phoneticPr fontId="6" type="noConversion"/>
  </si>
  <si>
    <t>스마트기기 UXUI 웹퍼블리셔 양성과정_원격보조</t>
    <phoneticPr fontId="6" type="noConversion"/>
  </si>
  <si>
    <t>B</t>
    <phoneticPr fontId="6" type="noConversion"/>
  </si>
  <si>
    <t>편집디자인(포토샵, 일러스트, 인디자인)실무자 양성과정</t>
    <phoneticPr fontId="6" type="noConversion"/>
  </si>
  <si>
    <t>C</t>
    <phoneticPr fontId="6" type="noConversion"/>
  </si>
  <si>
    <t>1400 - 1900</t>
    <phoneticPr fontId="6" type="noConversion"/>
  </si>
  <si>
    <t>컴퓨터</t>
    <phoneticPr fontId="6" type="noConversion"/>
  </si>
  <si>
    <t>1300 - 1700</t>
    <phoneticPr fontId="6" type="noConversion"/>
  </si>
  <si>
    <t xml:space="preserve">웹디자인 양성과정 </t>
    <phoneticPr fontId="6" type="noConversion"/>
  </si>
  <si>
    <t>E</t>
    <phoneticPr fontId="6" type="noConversion"/>
  </si>
  <si>
    <t>1000 - 1300</t>
    <phoneticPr fontId="6" type="noConversion"/>
  </si>
  <si>
    <t>(게임콘텐츠제작) 게임콘텐츠(게임기획&amp;게임프로그래밍)개발자 양성</t>
    <phoneticPr fontId="6" type="noConversion"/>
  </si>
  <si>
    <t>0930 - 1530</t>
    <phoneticPr fontId="6" type="noConversion"/>
  </si>
  <si>
    <t>(디지털컨버전스)스프링 프레임워크 기반 풀스택 개발자 양성과정</t>
    <phoneticPr fontId="6" type="noConversion"/>
  </si>
  <si>
    <t xml:space="preserve"> UI/UX웹퍼블리셔&amp;프론트엔드 개발자 양성과정</t>
    <phoneticPr fontId="6" type="noConversion"/>
  </si>
  <si>
    <t>0900 - 1400</t>
    <phoneticPr fontId="6" type="noConversion"/>
  </si>
  <si>
    <t>HAIR_2</t>
    <phoneticPr fontId="6" type="noConversion"/>
  </si>
  <si>
    <t>BIM건축설계&amp;실내건축설계양성과정</t>
    <phoneticPr fontId="6" type="noConversion"/>
  </si>
  <si>
    <t>F</t>
    <phoneticPr fontId="6" type="noConversion"/>
  </si>
  <si>
    <t>1200- 1800</t>
    <phoneticPr fontId="6" type="noConversion"/>
  </si>
  <si>
    <t>(게임콘텐츠제작)유니티게임프로그래밍전문가양성과정</t>
    <phoneticPr fontId="6" type="noConversion"/>
  </si>
  <si>
    <t>1200 - 1800</t>
    <phoneticPr fontId="6" type="noConversion"/>
  </si>
  <si>
    <t>게임 기획 실무자 양성과정</t>
    <phoneticPr fontId="6" type="noConversion"/>
  </si>
  <si>
    <t>1200- 1500</t>
    <phoneticPr fontId="6" type="noConversion"/>
  </si>
  <si>
    <t>1600 - 1900</t>
    <phoneticPr fontId="6" type="noConversion"/>
  </si>
  <si>
    <t xml:space="preserve">미용사(피부)국가자격증 취득 과정 </t>
    <phoneticPr fontId="6" type="noConversion"/>
  </si>
  <si>
    <t xml:space="preserve">미용사(네일)국가자격증 취득 과정 </t>
    <phoneticPr fontId="6" type="noConversion"/>
  </si>
  <si>
    <t>NAIL_2</t>
    <phoneticPr fontId="6" type="noConversion"/>
  </si>
  <si>
    <t xml:space="preserve">미용사(메이크업)국가자격증 취득 과정 </t>
    <phoneticPr fontId="6" type="noConversion"/>
  </si>
  <si>
    <t>MAKE UP_2</t>
    <phoneticPr fontId="6" type="noConversion"/>
  </si>
  <si>
    <t>4월</t>
    <phoneticPr fontId="6" type="noConversion"/>
  </si>
  <si>
    <t>5월</t>
    <phoneticPr fontId="6" type="noConversion"/>
  </si>
  <si>
    <t>5월</t>
  </si>
  <si>
    <t>6월</t>
  </si>
  <si>
    <t>7월</t>
  </si>
  <si>
    <t>8월</t>
  </si>
  <si>
    <t>9월</t>
  </si>
  <si>
    <t>10월</t>
  </si>
  <si>
    <t>11월</t>
  </si>
  <si>
    <t>12월</t>
  </si>
  <si>
    <t>계</t>
    <phoneticPr fontId="14" type="noConversion"/>
  </si>
  <si>
    <t>3월</t>
    <phoneticPr fontId="6" type="noConversion"/>
  </si>
  <si>
    <t>과정수</t>
    <phoneticPr fontId="6" type="noConversion"/>
  </si>
  <si>
    <t>정원</t>
    <phoneticPr fontId="6" type="noConversion"/>
  </si>
  <si>
    <t>신청인원</t>
    <phoneticPr fontId="6" type="noConversion"/>
  </si>
  <si>
    <t>모집률</t>
    <phoneticPr fontId="6" type="noConversion"/>
  </si>
  <si>
    <t>신청률</t>
    <phoneticPr fontId="6" type="noConversion"/>
  </si>
  <si>
    <t>2020년도 모집현황</t>
    <phoneticPr fontId="14" type="noConversion"/>
  </si>
  <si>
    <t>(출판)(S)디지털퍼블리싱(출판편집)실무자 양성과정</t>
    <phoneticPr fontId="6" type="noConversion"/>
  </si>
  <si>
    <t>게임원화디자이너양성과정</t>
    <phoneticPr fontId="6" type="noConversion"/>
  </si>
  <si>
    <t>1200 - 1600</t>
    <phoneticPr fontId="6" type="noConversion"/>
  </si>
  <si>
    <t>D</t>
    <phoneticPr fontId="6" type="noConversion"/>
  </si>
  <si>
    <t>1500 - 1900</t>
    <phoneticPr fontId="6" type="noConversion"/>
  </si>
  <si>
    <t>[디지털디자인]스마트기기UXUI웹디자인&amp;웹퍼블리셔 과정B-원격보조</t>
    <phoneticPr fontId="6" type="noConversion"/>
  </si>
  <si>
    <t>1300 - 2000</t>
    <phoneticPr fontId="6" type="noConversion"/>
  </si>
  <si>
    <t xml:space="preserve">미용사(일반)국가자격증 취득 </t>
    <phoneticPr fontId="6" type="noConversion"/>
  </si>
  <si>
    <t>6월</t>
    <phoneticPr fontId="6" type="noConversion"/>
  </si>
  <si>
    <t>1300 - 1600</t>
    <phoneticPr fontId="6" type="noConversion"/>
  </si>
  <si>
    <t>0900 - 1700</t>
    <phoneticPr fontId="6" type="noConversion"/>
  </si>
  <si>
    <t>1500 - 2000</t>
    <phoneticPr fontId="6" type="noConversion"/>
  </si>
  <si>
    <t>1400 - 2200</t>
    <phoneticPr fontId="6" type="noConversion"/>
  </si>
  <si>
    <t>[계]실내건축설계 인테리어디자이너 양성 과정</t>
    <phoneticPr fontId="6" type="noConversion"/>
  </si>
  <si>
    <t xml:space="preserve">N </t>
    <phoneticPr fontId="6" type="noConversion"/>
  </si>
  <si>
    <t>0930 - 1330</t>
    <phoneticPr fontId="6" type="noConversion"/>
  </si>
  <si>
    <t>(디지털디자인)[스마트혼합과정]스마트기기 UXUI 웹디자이너양성</t>
    <phoneticPr fontId="6" type="noConversion"/>
  </si>
  <si>
    <t>게임 캐릭터 디자이너 양성 과정(2D그래픽, 원화)</t>
    <phoneticPr fontId="6" type="noConversion"/>
  </si>
  <si>
    <t>(게임콘텐츠제작) 게임 2D그래픽 디자이너 양성과정</t>
    <phoneticPr fontId="6" type="noConversion"/>
  </si>
  <si>
    <t xml:space="preserve">0900 - 1500 </t>
    <phoneticPr fontId="6" type="noConversion"/>
  </si>
  <si>
    <t>7월</t>
    <phoneticPr fontId="6" type="noConversion"/>
  </si>
  <si>
    <t>8월</t>
    <phoneticPr fontId="6" type="noConversion"/>
  </si>
  <si>
    <t>실내건축 인테리어 디자이너 양성과정</t>
    <phoneticPr fontId="6" type="noConversion"/>
  </si>
  <si>
    <t>인테리어 (2D캐드, 3D맥스) 디자이너 양성과정</t>
    <phoneticPr fontId="6" type="noConversion"/>
  </si>
  <si>
    <t>유니티 게임 프로그래머 양성과정</t>
    <phoneticPr fontId="6" type="noConversion"/>
  </si>
  <si>
    <t>게임 3D그래픽 디자이너 양성과정</t>
    <phoneticPr fontId="6" type="noConversion"/>
  </si>
  <si>
    <t>[디지털디자인]UI/UX 웹디자인&amp;웹퍼블리셔 전문가 양성과정-스마트혼합훈련</t>
    <phoneticPr fontId="6" type="noConversion"/>
  </si>
  <si>
    <t>출판편집디자인(포토샵,일러스트,인디자인)과정-스마트혼합</t>
    <phoneticPr fontId="6" type="noConversion"/>
  </si>
  <si>
    <t xml:space="preserve"> [디지털디자인]스마트기기 UXUI 웹디자인&amp;웹퍼블리셔 양성과정-스마트혼합</t>
    <phoneticPr fontId="6" type="noConversion"/>
  </si>
  <si>
    <t>유니티 프로그래밍 전문가 양성 과정</t>
    <phoneticPr fontId="6" type="noConversion"/>
  </si>
  <si>
    <t>(스마트웹&amp;콘텐츠개발)스마트웹디자인(UIUX)&amp;콘텐츠개발(웹퍼블리셔)양성_(원격보조)</t>
    <phoneticPr fontId="6" type="noConversion"/>
  </si>
  <si>
    <t>(디지털디자인)(S)스마트기기 UIUX 웹퍼블리셔 양성과정(프론트엔드)</t>
    <phoneticPr fontId="6" type="noConversion"/>
  </si>
  <si>
    <t>미용사(일반)국가자격증 취득과정</t>
    <phoneticPr fontId="6" type="noConversion"/>
  </si>
  <si>
    <t>(BIM)BIM실내건축설계(캐드,맥스,레빗)인테리어양성</t>
    <phoneticPr fontId="6" type="noConversion"/>
  </si>
  <si>
    <t>BIM 건축설계&amp;인테리어 실무 양성과정(CAD,MAX,REVIT)</t>
    <phoneticPr fontId="6" type="noConversion"/>
  </si>
  <si>
    <t>디지털퍼블리싱(출판편집)실무자양성과정</t>
    <phoneticPr fontId="6" type="noConversion"/>
  </si>
  <si>
    <t>[BIM] BIM 실내건축인테리어(캐드,맥스,스케치업,레빗)과정B</t>
    <phoneticPr fontId="6" type="noConversion"/>
  </si>
  <si>
    <t>[디지털디자인]스마트기기UXUI웹디자인&amp;웹퍼블리셔 과정A-원격보조</t>
    <phoneticPr fontId="6" type="noConversion"/>
  </si>
  <si>
    <t>모션그래픽 방송콘텐츠(영상제작,편집,CG) 제작 과정</t>
    <phoneticPr fontId="6" type="noConversion"/>
  </si>
  <si>
    <t>출판편집디자인(포토샵,일러스트,드로잉,인디자인) 실무자 양성과정</t>
    <phoneticPr fontId="6" type="noConversion"/>
  </si>
  <si>
    <t>영상편집제작(프리미어, 에프터이펙트 전문가)양성과정</t>
    <phoneticPr fontId="6" type="noConversion"/>
  </si>
  <si>
    <t>디지털디자인 UI/UX 웹퍼블리셔 실무 양성과정</t>
    <phoneticPr fontId="6" type="noConversion"/>
  </si>
  <si>
    <t>디지털컨버전스 풀스택 SW개발자 양성과정 (프론트엔드,백엔드)</t>
    <phoneticPr fontId="6" type="noConversion"/>
  </si>
  <si>
    <t>0900- 1400</t>
    <phoneticPr fontId="6" type="noConversion"/>
  </si>
  <si>
    <t>웹퍼블리셔 양성과정(UI/UX디자인)</t>
    <phoneticPr fontId="6" type="noConversion"/>
  </si>
  <si>
    <t>E</t>
    <phoneticPr fontId="6" type="noConversion"/>
  </si>
  <si>
    <t>1300 - 1800</t>
    <phoneticPr fontId="6" type="noConversion"/>
  </si>
  <si>
    <t>G</t>
    <phoneticPr fontId="6" type="noConversion"/>
  </si>
  <si>
    <t>[과정평가형 자격] 정보처리산업기사 취득과정A</t>
    <phoneticPr fontId="6" type="noConversion"/>
  </si>
  <si>
    <t>[BIM] BIM 실내건축인테리어(캐드,맥스,스케치업,레빗)과정-원격보조훈련</t>
    <phoneticPr fontId="6" type="noConversion"/>
  </si>
  <si>
    <t>(디지털컨버전스)자바(JAVA) 기반 크로스 플랫폼 개발자 양성과정B</t>
    <phoneticPr fontId="6" type="noConversion"/>
  </si>
  <si>
    <t>(빅데이터 UI 전문가)빅데이터 UI 전문가 양성과정A</t>
    <phoneticPr fontId="6" type="noConversion"/>
  </si>
  <si>
    <t>(디지털컨버전스)자바(JAVA) 기반 크로스 플랫폼 개발자 양성과정D</t>
    <phoneticPr fontId="6" type="noConversion"/>
  </si>
  <si>
    <t>(디지털컨버전스)웹 데이터 기반 챗봇 융합서비스 개발자 양성A</t>
    <phoneticPr fontId="6" type="noConversion"/>
  </si>
  <si>
    <t>(디지털컨버전스)자바(JAVA) 기반 크로스 플랫폼 개발자 양성과정C</t>
    <phoneticPr fontId="6" type="noConversion"/>
  </si>
  <si>
    <t>(AI 활용 소프트웨어 개발 및 응용)AI 활용 소프트웨어 개발 및 응용A</t>
    <phoneticPr fontId="6" type="noConversion"/>
  </si>
  <si>
    <t>웹퍼블리셔(반응형)양성 과정</t>
    <phoneticPr fontId="6" type="noConversion"/>
  </si>
  <si>
    <t>(디지털컨버전스) 임베디드 소프트웨어 융합 풀스택 개발자 양성과정</t>
    <phoneticPr fontId="6" type="noConversion"/>
  </si>
  <si>
    <t>자바를 활용한 웹 개발자 양성 과정</t>
    <phoneticPr fontId="6" type="noConversion"/>
  </si>
  <si>
    <t>(스마트웹&amp;콘텐츠개발) 풀스택(프론트앤드&amp;백앤드) 개발자 양성과정</t>
    <phoneticPr fontId="6" type="noConversion"/>
  </si>
  <si>
    <t>멀티미디어 영상편집 제작(에프터이펙트,프리미어,C4D)과정-스마트혼합</t>
    <phoneticPr fontId="6" type="noConversion"/>
  </si>
  <si>
    <t>(BIM)BIM실내건축설계(캐드,맥스,레빗)인테리어양성_A</t>
    <phoneticPr fontId="6" type="noConversion"/>
  </si>
  <si>
    <t xml:space="preserve"> (빅데이터 UI 전문가)빅데이터 UI 전문가 양성A</t>
    <phoneticPr fontId="6" type="noConversion"/>
  </si>
  <si>
    <t>(과정평가형 자격)정보보안산업기사 취득과정B</t>
    <phoneticPr fontId="6" type="noConversion"/>
  </si>
  <si>
    <t xml:space="preserve">(정보시스템 구축) ICT정보보안(모의해킹) 및 침해사고 대응과정B </t>
    <phoneticPr fontId="6" type="noConversion"/>
  </si>
  <si>
    <t>혼(스마트웹콘텐츠개발) 스마트콘텐츠 융합 웹 응용프로그래밍 개발자 양성</t>
    <phoneticPr fontId="6" type="noConversion"/>
  </si>
  <si>
    <t>방송콘텐츠제작(기획,제작,편집,CG) 및 모션그래픽 과정</t>
    <phoneticPr fontId="6" type="noConversion"/>
  </si>
  <si>
    <t>광고콘텐츠 3D영상편집제작(에프터이펙트, 프리미어, C4D)과정</t>
    <phoneticPr fontId="6" type="noConversion"/>
  </si>
  <si>
    <t>1000 - 1500</t>
    <phoneticPr fontId="6" type="noConversion"/>
  </si>
  <si>
    <t>(디지털디자인) 스마트기기UXUI웹디자인&amp;웹퍼블리셔 양성과정A</t>
    <phoneticPr fontId="6" type="noConversion"/>
  </si>
  <si>
    <t>0900 - 1500</t>
    <phoneticPr fontId="6" type="noConversion"/>
  </si>
  <si>
    <t>취업</t>
    <phoneticPr fontId="6" type="noConversion"/>
  </si>
  <si>
    <t>항공사CRS(예약발권)/DCS(공항수속)과정</t>
    <phoneticPr fontId="6" type="noConversion"/>
  </si>
  <si>
    <t>도쿄</t>
    <phoneticPr fontId="6" type="noConversion"/>
  </si>
  <si>
    <t>1900 - 2200</t>
    <phoneticPr fontId="6" type="noConversion"/>
  </si>
  <si>
    <t>K</t>
    <phoneticPr fontId="6" type="noConversion"/>
  </si>
  <si>
    <t xml:space="preserve">(스마트웹콘텐츠개발) 스마트콘텐츠 융합 웹 응용프로그래밍 개발자 양성 </t>
    <phoneticPr fontId="6" type="noConversion"/>
  </si>
  <si>
    <t xml:space="preserve">자바기반 백엔드 개발자 양성 과정 </t>
    <phoneticPr fontId="6" type="noConversion"/>
  </si>
  <si>
    <t>미용사(피부)국가자격증 취득</t>
    <phoneticPr fontId="6" type="noConversion"/>
  </si>
  <si>
    <t>Estetic_2</t>
    <phoneticPr fontId="6" type="noConversion"/>
  </si>
  <si>
    <t>9월</t>
    <phoneticPr fontId="6" type="noConversion"/>
  </si>
  <si>
    <t>(스마트웹콘텐츠개발) UI/UX스마트콘텐츠 융합 응용SW개발자 양성과정</t>
    <phoneticPr fontId="6" type="noConversion"/>
  </si>
  <si>
    <t xml:space="preserve">UI/UX기반 프론트엔드 개발자 양성 과정 </t>
    <phoneticPr fontId="6" type="noConversion"/>
  </si>
  <si>
    <t>(정보시스템구축(개발,운영))정보시스템 보안운영 및 보안사고 분석과정B</t>
    <phoneticPr fontId="6" type="noConversion"/>
  </si>
  <si>
    <t>(정보시스템 구축) ICT정보보안(모의해킹) 및 침해사고 대응과정A</t>
    <phoneticPr fontId="6" type="noConversion"/>
  </si>
  <si>
    <t>(정보시스템구축(개발,운영))정보시스템 보안운영 및 보안사고 분석과정A</t>
    <phoneticPr fontId="6" type="noConversion"/>
  </si>
  <si>
    <t>정보보안 엔지니어 양성 과정</t>
    <phoneticPr fontId="6" type="noConversion"/>
  </si>
  <si>
    <t>훈련시작</t>
    <phoneticPr fontId="6" type="noConversion"/>
  </si>
  <si>
    <t>훈련종료</t>
    <phoneticPr fontId="6" type="noConversion"/>
  </si>
  <si>
    <t>계열</t>
  </si>
  <si>
    <t>합계 : 확정인원</t>
  </si>
  <si>
    <t>합계 : 정원</t>
  </si>
  <si>
    <t>강남</t>
    <phoneticPr fontId="6" type="noConversion"/>
  </si>
  <si>
    <t xml:space="preserve">관광통역안내사/국내여행안내사자격증과정 </t>
    <phoneticPr fontId="6" type="noConversion"/>
  </si>
  <si>
    <t>항공사CRS(예약발권)/DCS(체크인수속)과정</t>
    <phoneticPr fontId="6" type="noConversion"/>
  </si>
  <si>
    <t xml:space="preserve">여행사예약발권(CRS)/오퍼레이터(OP)과정 </t>
    <phoneticPr fontId="6" type="noConversion"/>
  </si>
  <si>
    <t xml:space="preserve">관광통역안내사/국내여행안내사자격증과정 </t>
    <phoneticPr fontId="6" type="noConversion"/>
  </si>
  <si>
    <t>취업</t>
    <phoneticPr fontId="6" type="noConversion"/>
  </si>
  <si>
    <t>강남</t>
    <phoneticPr fontId="6" type="noConversion"/>
  </si>
  <si>
    <t>강남</t>
    <phoneticPr fontId="6" type="noConversion"/>
  </si>
  <si>
    <t>실</t>
    <phoneticPr fontId="6" type="noConversion"/>
  </si>
  <si>
    <t>3월</t>
    <phoneticPr fontId="6" type="noConversion"/>
  </si>
  <si>
    <t xml:space="preserve">관광통역안내사/국내여행안내사자격증과정 </t>
    <phoneticPr fontId="6" type="noConversion"/>
  </si>
  <si>
    <t>취업</t>
    <phoneticPr fontId="6" type="noConversion"/>
  </si>
  <si>
    <t>4월</t>
    <phoneticPr fontId="6" type="noConversion"/>
  </si>
  <si>
    <t>5월</t>
    <phoneticPr fontId="6" type="noConversion"/>
  </si>
  <si>
    <t>항공사CRS(예약발권)/DCS(체크인수속)과정</t>
    <phoneticPr fontId="6" type="noConversion"/>
  </si>
  <si>
    <t>게임</t>
    <phoneticPr fontId="6" type="noConversion"/>
  </si>
  <si>
    <t>6월</t>
    <phoneticPr fontId="6" type="noConversion"/>
  </si>
  <si>
    <t>취업</t>
    <phoneticPr fontId="6" type="noConversion"/>
  </si>
  <si>
    <t>강남</t>
    <phoneticPr fontId="6" type="noConversion"/>
  </si>
  <si>
    <t xml:space="preserve">관광통역안내사/국내여행안내사자격증과정 </t>
    <phoneticPr fontId="6" type="noConversion"/>
  </si>
  <si>
    <t>항공사CRS(예약발권)/DCS(체크인수속)과정</t>
    <phoneticPr fontId="6" type="noConversion"/>
  </si>
  <si>
    <t>7월</t>
    <phoneticPr fontId="6" type="noConversion"/>
  </si>
  <si>
    <t>강남</t>
    <phoneticPr fontId="6" type="noConversion"/>
  </si>
  <si>
    <t xml:space="preserve">여행사예약발권(CRS)/오퍼레이터(OP)과정 </t>
    <phoneticPr fontId="6" type="noConversion"/>
  </si>
  <si>
    <t>8월</t>
    <phoneticPr fontId="6" type="noConversion"/>
  </si>
  <si>
    <t xml:space="preserve"> (과정평가형 자격)정보처리산업기사 취득과정B</t>
    <phoneticPr fontId="6" type="noConversion"/>
  </si>
  <si>
    <t>게임원화(2D그래픽) 전문가 양성 과정</t>
    <phoneticPr fontId="6" type="noConversion"/>
  </si>
  <si>
    <t>(게임콘텐츠제작) 게임 프로그래밍 개발자 양성 과정</t>
    <phoneticPr fontId="6" type="noConversion"/>
  </si>
  <si>
    <t xml:space="preserve">유니티 게임프로그래밍&amp;기획 전문가 양성 과정 </t>
    <phoneticPr fontId="6" type="noConversion"/>
  </si>
  <si>
    <t>(과정평가형 자격)정보처리산업기사 취득과정A</t>
    <phoneticPr fontId="6" type="noConversion"/>
  </si>
  <si>
    <t>(과정평가형 자격) 전산응용건축제도기능사 자격취득과정</t>
    <phoneticPr fontId="6" type="noConversion"/>
  </si>
  <si>
    <t>대구</t>
    <phoneticPr fontId="6" type="noConversion"/>
  </si>
  <si>
    <t>부산</t>
    <phoneticPr fontId="6" type="noConversion"/>
  </si>
  <si>
    <t>신촌</t>
    <phoneticPr fontId="6" type="noConversion"/>
  </si>
  <si>
    <t>대전</t>
    <phoneticPr fontId="6" type="noConversion"/>
  </si>
  <si>
    <t>대전</t>
    <phoneticPr fontId="6" type="noConversion"/>
  </si>
  <si>
    <t>수원</t>
    <phoneticPr fontId="6" type="noConversion"/>
  </si>
  <si>
    <t>일산</t>
    <phoneticPr fontId="6" type="noConversion"/>
  </si>
  <si>
    <t>IT</t>
    <phoneticPr fontId="6" type="noConversion"/>
  </si>
  <si>
    <t>부평</t>
    <phoneticPr fontId="6" type="noConversion"/>
  </si>
  <si>
    <t xml:space="preserve">컴퓨터 </t>
    <phoneticPr fontId="6" type="noConversion"/>
  </si>
  <si>
    <t>광주</t>
    <phoneticPr fontId="6" type="noConversion"/>
  </si>
  <si>
    <t>게임그래픽이펙트디자이너양성과정(2D/3D애니메이션,이펙트)</t>
    <phoneticPr fontId="6" type="noConversion"/>
  </si>
  <si>
    <t>(디지털디자인) 스마트기기UXUI웹디자인&amp;웹퍼블리셔 양성과정B</t>
    <phoneticPr fontId="6" type="noConversion"/>
  </si>
  <si>
    <t>(AI 활용 소프트웨어 개발 및 응용)AI 활용 소프트웨어 개발 및 응용과정A</t>
    <phoneticPr fontId="6" type="noConversion"/>
  </si>
  <si>
    <t>대구</t>
    <phoneticPr fontId="6" type="noConversion"/>
  </si>
  <si>
    <t>뷰티</t>
  </si>
  <si>
    <t>(AI 활용 소프트웨어 개발 및 응용)AI 활용 소프트웨어 개발 및 응용과정B</t>
    <phoneticPr fontId="6" type="noConversion"/>
  </si>
  <si>
    <t>[계좌제] 게임그래픽 디자이너 양성과정</t>
    <phoneticPr fontId="6" type="noConversion"/>
  </si>
  <si>
    <t xml:space="preserve">(게임콘텐츠제작) 게임 3D그래픽 디자이너 양성과정(3D MAX) </t>
    <phoneticPr fontId="6" type="noConversion"/>
  </si>
  <si>
    <t>11월</t>
    <phoneticPr fontId="6" type="noConversion"/>
  </si>
  <si>
    <t>IT</t>
    <phoneticPr fontId="6" type="noConversion"/>
  </si>
  <si>
    <t>강남</t>
    <phoneticPr fontId="6" type="noConversion"/>
  </si>
  <si>
    <t>12월</t>
    <phoneticPr fontId="6" type="noConversion"/>
  </si>
  <si>
    <t>홍대</t>
    <phoneticPr fontId="6" type="noConversion"/>
  </si>
  <si>
    <t>컴퓨터</t>
    <phoneticPr fontId="6" type="noConversion"/>
  </si>
  <si>
    <t>부평</t>
    <phoneticPr fontId="6" type="noConversion"/>
  </si>
  <si>
    <t>신촌</t>
    <phoneticPr fontId="6" type="noConversion"/>
  </si>
  <si>
    <t>컴퓨터</t>
    <phoneticPr fontId="6" type="noConversion"/>
  </si>
  <si>
    <t xml:space="preserve">(디지털컨버전스) 임베디드 소프트웨어 융합 풀스택 개발자 양성과정 </t>
    <phoneticPr fontId="6" type="noConversion"/>
  </si>
  <si>
    <t xml:space="preserve">웹디자이너 양성과정 </t>
    <phoneticPr fontId="6" type="noConversion"/>
  </si>
  <si>
    <t>10월</t>
    <phoneticPr fontId="6" type="noConversion"/>
  </si>
  <si>
    <t>미용사(일반)국가자격증 취득과정</t>
    <phoneticPr fontId="6" type="noConversion"/>
  </si>
  <si>
    <t>HAIR_6</t>
    <phoneticPr fontId="6" type="noConversion"/>
  </si>
  <si>
    <t>게임</t>
    <phoneticPr fontId="6" type="noConversion"/>
  </si>
  <si>
    <t>부산</t>
    <phoneticPr fontId="6" type="noConversion"/>
  </si>
  <si>
    <t>실</t>
    <phoneticPr fontId="6" type="noConversion"/>
  </si>
  <si>
    <t xml:space="preserve">게임프로그래밍개발자양성과정(유니티) </t>
    <phoneticPr fontId="6" type="noConversion"/>
  </si>
  <si>
    <t>I</t>
    <phoneticPr fontId="6" type="noConversion"/>
  </si>
  <si>
    <t>1300 - 1600</t>
    <phoneticPr fontId="6" type="noConversion"/>
  </si>
  <si>
    <t>굿잡</t>
    <phoneticPr fontId="6" type="noConversion"/>
  </si>
  <si>
    <t>신촌</t>
    <phoneticPr fontId="6" type="noConversion"/>
  </si>
  <si>
    <t>스마트기기 UXUI 웹디자인 실무자 양성과정</t>
    <phoneticPr fontId="6" type="noConversion"/>
  </si>
  <si>
    <t>G</t>
    <phoneticPr fontId="6" type="noConversion"/>
  </si>
  <si>
    <t>1400 - 1900</t>
    <phoneticPr fontId="6" type="noConversion"/>
  </si>
  <si>
    <t>취업</t>
    <phoneticPr fontId="6" type="noConversion"/>
  </si>
  <si>
    <t>강남</t>
    <phoneticPr fontId="6" type="noConversion"/>
  </si>
  <si>
    <t>실</t>
    <phoneticPr fontId="6" type="noConversion"/>
  </si>
  <si>
    <t>여행사예약발권(CRS)/오퍼레이터(OP)과정</t>
    <phoneticPr fontId="6" type="noConversion"/>
  </si>
  <si>
    <t>1200-1700</t>
    <phoneticPr fontId="6" type="noConversion"/>
  </si>
  <si>
    <t>부산</t>
    <phoneticPr fontId="6" type="noConversion"/>
  </si>
  <si>
    <t>실</t>
    <phoneticPr fontId="6" type="noConversion"/>
  </si>
  <si>
    <t>항공사지상직/CRS예약발권 취득과정</t>
    <phoneticPr fontId="6" type="noConversion"/>
  </si>
  <si>
    <t>도쿄</t>
    <phoneticPr fontId="6" type="noConversion"/>
  </si>
  <si>
    <t>1000- 1400</t>
    <phoneticPr fontId="6" type="noConversion"/>
  </si>
  <si>
    <t>컴퓨터</t>
    <phoneticPr fontId="6" type="noConversion"/>
  </si>
  <si>
    <t>부산</t>
    <phoneticPr fontId="6" type="noConversion"/>
  </si>
  <si>
    <t>국</t>
    <phoneticPr fontId="6" type="noConversion"/>
  </si>
  <si>
    <t xml:space="preserve">(출판)디지털퍼블리싱 실무자양성과정 </t>
    <phoneticPr fontId="6" type="noConversion"/>
  </si>
  <si>
    <t>C</t>
    <phoneticPr fontId="6" type="noConversion"/>
  </si>
  <si>
    <t>0900 - 1300</t>
    <phoneticPr fontId="6" type="noConversion"/>
  </si>
  <si>
    <t>홍대</t>
    <phoneticPr fontId="6" type="noConversion"/>
  </si>
  <si>
    <t>편집디자이너 양성과정</t>
    <phoneticPr fontId="6" type="noConversion"/>
  </si>
  <si>
    <t>S</t>
    <phoneticPr fontId="6" type="noConversion"/>
  </si>
  <si>
    <t>1400- 1800</t>
    <phoneticPr fontId="6" type="noConversion"/>
  </si>
  <si>
    <t>전산세무회계(전산회계1급, 전산세무2급)취득과정</t>
    <phoneticPr fontId="6" type="noConversion"/>
  </si>
  <si>
    <t>S</t>
    <phoneticPr fontId="6" type="noConversion"/>
  </si>
  <si>
    <t>1400 - 1800</t>
    <phoneticPr fontId="6" type="noConversion"/>
  </si>
  <si>
    <t>게임</t>
    <phoneticPr fontId="6" type="noConversion"/>
  </si>
  <si>
    <t>일산</t>
    <phoneticPr fontId="6" type="noConversion"/>
  </si>
  <si>
    <t xml:space="preserve">유니티(Unity)게임 프로그래머 양성과정 </t>
    <phoneticPr fontId="6" type="noConversion"/>
  </si>
  <si>
    <t>컴퓨터</t>
    <phoneticPr fontId="6" type="noConversion"/>
  </si>
  <si>
    <t>수원</t>
    <phoneticPr fontId="6" type="noConversion"/>
  </si>
  <si>
    <t xml:space="preserve">인테리어 디자인 전문가(2D캐드, 3D맥스) 양성과정 </t>
    <phoneticPr fontId="6" type="noConversion"/>
  </si>
  <si>
    <t>F</t>
    <phoneticPr fontId="6" type="noConversion"/>
  </si>
  <si>
    <t>1400 - 1800</t>
    <phoneticPr fontId="6" type="noConversion"/>
  </si>
  <si>
    <t>11월</t>
    <phoneticPr fontId="6" type="noConversion"/>
  </si>
  <si>
    <t>E</t>
    <phoneticPr fontId="6" type="noConversion"/>
  </si>
  <si>
    <t>0900 - 1800</t>
    <phoneticPr fontId="6" type="noConversion"/>
  </si>
  <si>
    <t>NAIL_2</t>
    <phoneticPr fontId="6" type="noConversion"/>
  </si>
  <si>
    <t>1000 - 1600</t>
    <phoneticPr fontId="6" type="noConversion"/>
  </si>
  <si>
    <t>도쿄</t>
    <phoneticPr fontId="6" type="noConversion"/>
  </si>
  <si>
    <t>1400-1800</t>
    <phoneticPr fontId="6" type="noConversion"/>
  </si>
  <si>
    <t>0900 - 1400</t>
    <phoneticPr fontId="6" type="noConversion"/>
  </si>
  <si>
    <t>0900 - 1600</t>
    <phoneticPr fontId="6" type="noConversion"/>
  </si>
  <si>
    <t xml:space="preserve">유니티 게임 프로그래머 양성과정 </t>
    <phoneticPr fontId="6" type="noConversion"/>
  </si>
  <si>
    <t>B</t>
    <phoneticPr fontId="6" type="noConversion"/>
  </si>
  <si>
    <t>1300 - 1700</t>
    <phoneticPr fontId="6" type="noConversion"/>
  </si>
  <si>
    <t>1000 - 1300</t>
    <phoneticPr fontId="6" type="noConversion"/>
  </si>
  <si>
    <t>0900 - 1600</t>
    <phoneticPr fontId="6" type="noConversion"/>
  </si>
  <si>
    <t>A</t>
    <phoneticPr fontId="6" type="noConversion"/>
  </si>
  <si>
    <t>1300 - 2000</t>
    <phoneticPr fontId="6" type="noConversion"/>
  </si>
  <si>
    <t>A</t>
    <phoneticPr fontId="6" type="noConversion"/>
  </si>
  <si>
    <t>0900 - 1300</t>
    <phoneticPr fontId="6" type="noConversion"/>
  </si>
  <si>
    <t>1530 - 1900</t>
    <phoneticPr fontId="6" type="noConversion"/>
  </si>
  <si>
    <t>SKIN_2</t>
    <phoneticPr fontId="6" type="noConversion"/>
  </si>
  <si>
    <t>1000 - 1600</t>
    <phoneticPr fontId="6" type="noConversion"/>
  </si>
  <si>
    <t>1000 - 1400</t>
    <phoneticPr fontId="6" type="noConversion"/>
  </si>
  <si>
    <t xml:space="preserve">0900 - 1800 </t>
    <phoneticPr fontId="6" type="noConversion"/>
  </si>
  <si>
    <t>1600 - 1900</t>
    <phoneticPr fontId="6" type="noConversion"/>
  </si>
  <si>
    <t>1230 - 1530</t>
    <phoneticPr fontId="6" type="noConversion"/>
  </si>
  <si>
    <t>1200 - 1600</t>
    <phoneticPr fontId="6" type="noConversion"/>
  </si>
  <si>
    <t>계</t>
    <phoneticPr fontId="6" type="noConversion"/>
  </si>
  <si>
    <t>(모두)</t>
  </si>
  <si>
    <t>강남</t>
    <phoneticPr fontId="6" type="noConversion"/>
  </si>
  <si>
    <t>실</t>
    <phoneticPr fontId="6" type="noConversion"/>
  </si>
  <si>
    <t>취업</t>
    <phoneticPr fontId="6" type="noConversion"/>
  </si>
  <si>
    <t>강남</t>
    <phoneticPr fontId="6" type="noConversion"/>
  </si>
  <si>
    <t>실</t>
    <phoneticPr fontId="6" type="noConversion"/>
  </si>
  <si>
    <t>대전</t>
    <phoneticPr fontId="6" type="noConversion"/>
  </si>
  <si>
    <t>국</t>
    <phoneticPr fontId="6" type="noConversion"/>
  </si>
  <si>
    <t>IT</t>
    <phoneticPr fontId="6" type="noConversion"/>
  </si>
  <si>
    <t>강남</t>
    <phoneticPr fontId="6" type="noConversion"/>
  </si>
  <si>
    <t>국</t>
    <phoneticPr fontId="6" type="noConversion"/>
  </si>
  <si>
    <t>게임</t>
    <phoneticPr fontId="6" type="noConversion"/>
  </si>
  <si>
    <t>광주</t>
    <phoneticPr fontId="6" type="noConversion"/>
  </si>
  <si>
    <t>실</t>
    <phoneticPr fontId="6" type="noConversion"/>
  </si>
  <si>
    <t>부산</t>
    <phoneticPr fontId="6" type="noConversion"/>
  </si>
  <si>
    <t>컴퓨터</t>
    <phoneticPr fontId="6" type="noConversion"/>
  </si>
  <si>
    <t xml:space="preserve">컴퓨터 </t>
    <phoneticPr fontId="6" type="noConversion"/>
  </si>
  <si>
    <t>브랜뉴</t>
    <phoneticPr fontId="6" type="noConversion"/>
  </si>
  <si>
    <t>IT</t>
    <phoneticPr fontId="6" type="noConversion"/>
  </si>
  <si>
    <t>대구</t>
    <phoneticPr fontId="6" type="noConversion"/>
  </si>
  <si>
    <t>컴퓨터</t>
    <phoneticPr fontId="6" type="noConversion"/>
  </si>
  <si>
    <t>일산</t>
    <phoneticPr fontId="6" type="noConversion"/>
  </si>
  <si>
    <t>신촌</t>
    <phoneticPr fontId="6" type="noConversion"/>
  </si>
  <si>
    <t>(AI 활용 소프트웨어 개발 및 응용)AI 활용 소프트웨어 개발 및 응용과정C</t>
    <phoneticPr fontId="6" type="noConversion"/>
  </si>
  <si>
    <t xml:space="preserve">미용사(네일)국가자격증 취득 </t>
    <phoneticPr fontId="6" type="noConversion"/>
  </si>
  <si>
    <t>항공사CRS(예약발권)/DCS(공항수속)과정</t>
    <phoneticPr fontId="6" type="noConversion"/>
  </si>
  <si>
    <t>(과정평가형 자격)정보보안산업기사 취득과정A</t>
    <phoneticPr fontId="6" type="noConversion"/>
  </si>
  <si>
    <t>(디지털디자인) 스마트기기 UXUI 디자인 양성과정</t>
    <phoneticPr fontId="6" type="noConversion"/>
  </si>
  <si>
    <t xml:space="preserve">(디지털디자인) 스마트기기 UI/UX 웹퍼블리셔 실무 양성과정 </t>
    <phoneticPr fontId="6" type="noConversion"/>
  </si>
  <si>
    <t>(AI 활용 소프트웨어 개발 및 응용)AI 활용 소프트웨어 개발 및 응용과정A</t>
    <phoneticPr fontId="6" type="noConversion"/>
  </si>
  <si>
    <t xml:space="preserve">자바 백엔드 개발자 양성과정 </t>
    <phoneticPr fontId="6" type="noConversion"/>
  </si>
  <si>
    <t>스마트기기 UI/UX 웹퍼블리셔 양성과정</t>
    <phoneticPr fontId="6" type="noConversion"/>
  </si>
  <si>
    <t>미용사(메이크업)국가자격증 취득 과정</t>
    <phoneticPr fontId="6" type="noConversion"/>
  </si>
  <si>
    <t>(K-디지털) 스마트팩토리 MES 구축 전문가 양성과정</t>
    <phoneticPr fontId="6" type="noConversion"/>
  </si>
  <si>
    <t>(AI 활용 소프트웨어 개발 및 응용)AI 활용 소프트웨어 개발 및 응용과정B</t>
    <phoneticPr fontId="6" type="noConversion"/>
  </si>
  <si>
    <t>전산세무회계(전산회계1급, 전산세무2급) 자격증취득과정</t>
    <phoneticPr fontId="6" type="noConversion"/>
  </si>
  <si>
    <t>게임원화디자이너양성과정</t>
    <phoneticPr fontId="6" type="noConversion"/>
  </si>
  <si>
    <t>6월</t>
    <phoneticPr fontId="6" type="noConversion"/>
  </si>
  <si>
    <t>1월</t>
    <phoneticPr fontId="6" type="noConversion"/>
  </si>
  <si>
    <t>모집순위</t>
    <phoneticPr fontId="6" type="noConversion"/>
  </si>
  <si>
    <t>12월</t>
    <phoneticPr fontId="6" type="noConversion"/>
  </si>
  <si>
    <t>구월</t>
    <phoneticPr fontId="6" type="noConversion"/>
  </si>
  <si>
    <t>(BIM) BIM 실내건축인테리어(캐드,맥스,스케치업,레빗)과정A</t>
    <phoneticPr fontId="6" type="noConversion"/>
  </si>
  <si>
    <t>국</t>
    <phoneticPr fontId="6" type="noConversion"/>
  </si>
  <si>
    <t>대구</t>
    <phoneticPr fontId="6" type="noConversion"/>
  </si>
  <si>
    <t>실</t>
    <phoneticPr fontId="6" type="noConversion"/>
  </si>
  <si>
    <t>J</t>
    <phoneticPr fontId="6" type="noConversion"/>
  </si>
  <si>
    <t>(디지털디자인)스마트기기 웹 인터렉티브 UX UI 디자이너 양성과정</t>
    <phoneticPr fontId="6" type="noConversion"/>
  </si>
  <si>
    <t>일산</t>
    <phoneticPr fontId="6" type="noConversion"/>
  </si>
  <si>
    <t>F</t>
    <phoneticPr fontId="6" type="noConversion"/>
  </si>
  <si>
    <t>웹퍼블리셔(UI/UX) 양성과정</t>
    <phoneticPr fontId="6" type="noConversion"/>
  </si>
  <si>
    <t>게임</t>
    <phoneticPr fontId="6" type="noConversion"/>
  </si>
  <si>
    <t>1100 -1200</t>
    <phoneticPr fontId="6" type="noConversion"/>
  </si>
  <si>
    <t>신촌</t>
    <phoneticPr fontId="6" type="noConversion"/>
  </si>
  <si>
    <t>A</t>
    <phoneticPr fontId="6" type="noConversion"/>
  </si>
  <si>
    <t>1500 - 2000</t>
    <phoneticPr fontId="6" type="noConversion"/>
  </si>
  <si>
    <t xml:space="preserve">(게임콘텐츠제작) 유니티 게임 프로그래머 양성과정 </t>
    <phoneticPr fontId="6" type="noConversion"/>
  </si>
  <si>
    <t>C</t>
    <phoneticPr fontId="6" type="noConversion"/>
  </si>
  <si>
    <t>1000 - 1300</t>
    <phoneticPr fontId="6" type="noConversion"/>
  </si>
  <si>
    <t xml:space="preserve"> (스마트혼합)유니티 게임프로그래머 양성과정</t>
    <phoneticPr fontId="6" type="noConversion"/>
  </si>
  <si>
    <t>1500 - 1900</t>
    <phoneticPr fontId="6" type="noConversion"/>
  </si>
  <si>
    <t>(AI 활용 소프트웨어 개발 및 응용)AI 활용 소프트웨어 개발 및 응용B</t>
    <phoneticPr fontId="6" type="noConversion"/>
  </si>
  <si>
    <t>웹디자인 UIUX 실무자 양성과정</t>
    <phoneticPr fontId="6" type="noConversion"/>
  </si>
  <si>
    <t xml:space="preserve">미용사(네일)국가자격증 취득 </t>
    <phoneticPr fontId="6" type="noConversion"/>
  </si>
  <si>
    <t>NAIL_2</t>
    <phoneticPr fontId="6" type="noConversion"/>
  </si>
  <si>
    <t>1000 - 1600</t>
    <phoneticPr fontId="6" type="noConversion"/>
  </si>
  <si>
    <t>미용사(피부)국가자격증 취득</t>
    <phoneticPr fontId="6" type="noConversion"/>
  </si>
  <si>
    <t>뷰티</t>
    <phoneticPr fontId="6" type="noConversion"/>
  </si>
  <si>
    <t>Make Up_1</t>
    <phoneticPr fontId="6" type="noConversion"/>
  </si>
  <si>
    <t>브랜뉴</t>
    <phoneticPr fontId="6" type="noConversion"/>
  </si>
  <si>
    <t>강남</t>
    <phoneticPr fontId="6" type="noConversion"/>
  </si>
  <si>
    <t>국</t>
    <phoneticPr fontId="6" type="noConversion"/>
  </si>
  <si>
    <t>I</t>
    <phoneticPr fontId="6" type="noConversion"/>
  </si>
  <si>
    <t>0900 - 1500</t>
    <phoneticPr fontId="6" type="noConversion"/>
  </si>
  <si>
    <t>게임</t>
    <phoneticPr fontId="6" type="noConversion"/>
  </si>
  <si>
    <t>부평</t>
    <phoneticPr fontId="6" type="noConversion"/>
  </si>
  <si>
    <t>D</t>
    <phoneticPr fontId="6" type="noConversion"/>
  </si>
  <si>
    <t>1500 - 1900</t>
    <phoneticPr fontId="6" type="noConversion"/>
  </si>
  <si>
    <t>실</t>
    <phoneticPr fontId="6" type="noConversion"/>
  </si>
  <si>
    <t>출판편집디자인(포토샵,일러스트,인디자인)실무자 양성과정</t>
    <phoneticPr fontId="6" type="noConversion"/>
  </si>
  <si>
    <t>F</t>
    <phoneticPr fontId="6" type="noConversion"/>
  </si>
  <si>
    <t>수원</t>
    <phoneticPr fontId="6" type="noConversion"/>
  </si>
  <si>
    <t>SKIN_2</t>
    <phoneticPr fontId="6" type="noConversion"/>
  </si>
  <si>
    <t>1000 - 1600</t>
    <phoneticPr fontId="6" type="noConversion"/>
  </si>
  <si>
    <t>IT</t>
    <phoneticPr fontId="6" type="noConversion"/>
  </si>
  <si>
    <t>웹퍼블리셔(UI/UX) 양성 과정</t>
    <phoneticPr fontId="6" type="noConversion"/>
  </si>
  <si>
    <t>게임 원화(2D그래픽) 디자이너 양성 과정</t>
    <phoneticPr fontId="6" type="noConversion"/>
  </si>
  <si>
    <t>G</t>
    <phoneticPr fontId="6" type="noConversion"/>
  </si>
  <si>
    <t>신촌</t>
    <phoneticPr fontId="6" type="noConversion"/>
  </si>
  <si>
    <t>(게임콘텐츠제작) 게임 프로그래밍 전문가 양성 과정</t>
    <phoneticPr fontId="6" type="noConversion"/>
  </si>
  <si>
    <t>1300 - 1800</t>
    <phoneticPr fontId="6" type="noConversion"/>
  </si>
  <si>
    <t>C</t>
    <phoneticPr fontId="6" type="noConversion"/>
  </si>
  <si>
    <t>실내건축설계 실무자 양성과정(캐드,맥스)-스마트혼합훈련</t>
    <phoneticPr fontId="6" type="noConversion"/>
  </si>
  <si>
    <t>대구</t>
    <phoneticPr fontId="6" type="noConversion"/>
  </si>
  <si>
    <t>(BIM)BIM실내건축설계(캐드,맥스,레빗)인테리어양성_A</t>
    <phoneticPr fontId="6" type="noConversion"/>
  </si>
  <si>
    <t>E</t>
    <phoneticPr fontId="6" type="noConversion"/>
  </si>
  <si>
    <t>1000 - 1800</t>
    <phoneticPr fontId="6" type="noConversion"/>
  </si>
  <si>
    <t>(디지털디자인)스마트기기 UXUI 웹디자이너양성</t>
    <phoneticPr fontId="6" type="noConversion"/>
  </si>
  <si>
    <t>부산</t>
    <phoneticPr fontId="6" type="noConversion"/>
  </si>
  <si>
    <t xml:space="preserve">(BIM)건축설계&amp;실내건축설계양성과정(CAD,MAX) </t>
    <phoneticPr fontId="6" type="noConversion"/>
  </si>
  <si>
    <t>미용사(피부)국가자격증 취득</t>
    <phoneticPr fontId="6" type="noConversion"/>
  </si>
  <si>
    <t>J</t>
    <phoneticPr fontId="6" type="noConversion"/>
  </si>
  <si>
    <t>0900 - 1800</t>
    <phoneticPr fontId="6" type="noConversion"/>
  </si>
  <si>
    <t>실내건축설계 양성과정(AutoCAD, 3DsMAX)</t>
    <phoneticPr fontId="6" type="noConversion"/>
  </si>
  <si>
    <t>1330 - 1830</t>
    <phoneticPr fontId="6" type="noConversion"/>
  </si>
  <si>
    <t xml:space="preserve">웹디자이너 양성과정 </t>
    <phoneticPr fontId="6" type="noConversion"/>
  </si>
  <si>
    <t>1800 - 2200</t>
    <phoneticPr fontId="6" type="noConversion"/>
  </si>
  <si>
    <t>영상편집제작(프리미어, 에프터이펙트 전문가)양성과정</t>
    <phoneticPr fontId="6" type="noConversion"/>
  </si>
  <si>
    <t>1400 - 1800</t>
    <phoneticPr fontId="6" type="noConversion"/>
  </si>
  <si>
    <t>(과정평가형 자격)정보처리산업기사 취득과정B</t>
    <phoneticPr fontId="6" type="noConversion"/>
  </si>
  <si>
    <t>유니티 게임 프로그래머 양성과정</t>
    <phoneticPr fontId="6" type="noConversion"/>
  </si>
  <si>
    <t>B</t>
    <phoneticPr fontId="6" type="noConversion"/>
  </si>
  <si>
    <t>1200 - 1600</t>
    <phoneticPr fontId="6" type="noConversion"/>
  </si>
  <si>
    <t>실내건축설계디자이너(포토,일러,캐드,맥스,스케치업)양성과정</t>
    <phoneticPr fontId="6" type="noConversion"/>
  </si>
  <si>
    <t>0900 - 1400</t>
    <phoneticPr fontId="6" type="noConversion"/>
  </si>
  <si>
    <t>1400 - 1900</t>
    <phoneticPr fontId="6" type="noConversion"/>
  </si>
  <si>
    <t>대전</t>
    <phoneticPr fontId="6" type="noConversion"/>
  </si>
  <si>
    <t xml:space="preserve">미용사(메이크업)국가자격증 취득 </t>
    <phoneticPr fontId="6" type="noConversion"/>
  </si>
  <si>
    <t>강남</t>
  </si>
  <si>
    <t>행 레이블</t>
  </si>
  <si>
    <t>대구</t>
  </si>
  <si>
    <t>총합계</t>
  </si>
  <si>
    <t>홍대</t>
  </si>
  <si>
    <t>부평</t>
  </si>
  <si>
    <t>대전</t>
  </si>
  <si>
    <t>수원</t>
  </si>
  <si>
    <t>신촌</t>
  </si>
  <si>
    <t>광주</t>
  </si>
  <si>
    <t>부산</t>
  </si>
  <si>
    <t>브랜뉴</t>
    <phoneticPr fontId="6" type="noConversion"/>
  </si>
  <si>
    <t>강남</t>
    <phoneticPr fontId="6" type="noConversion"/>
  </si>
  <si>
    <t>실</t>
    <phoneticPr fontId="6" type="noConversion"/>
  </si>
  <si>
    <t>UIUX웹퍼블리셔(HTML5,CSS3, jQuery,Java Script)</t>
    <phoneticPr fontId="6" type="noConversion"/>
  </si>
  <si>
    <t>F</t>
    <phoneticPr fontId="6" type="noConversion"/>
  </si>
  <si>
    <t>1300 - 1800</t>
    <phoneticPr fontId="6" type="noConversion"/>
  </si>
  <si>
    <t>IT</t>
    <phoneticPr fontId="6" type="noConversion"/>
  </si>
  <si>
    <t>실</t>
    <phoneticPr fontId="6" type="noConversion"/>
  </si>
  <si>
    <t xml:space="preserve">(스마트혼합) 자바기반 백엔드 개발자 양성 과정 </t>
    <phoneticPr fontId="6" type="noConversion"/>
  </si>
  <si>
    <t>A</t>
    <phoneticPr fontId="6" type="noConversion"/>
  </si>
  <si>
    <t>1900 - 2200</t>
    <phoneticPr fontId="6" type="noConversion"/>
  </si>
  <si>
    <t>지원외 2명</t>
    <phoneticPr fontId="6" type="noConversion"/>
  </si>
  <si>
    <t>계</t>
    <phoneticPr fontId="6" type="noConversion"/>
  </si>
  <si>
    <t>국기</t>
    <phoneticPr fontId="6" type="noConversion"/>
  </si>
  <si>
    <t>계</t>
    <phoneticPr fontId="6" type="noConversion"/>
  </si>
  <si>
    <t>부산</t>
    <phoneticPr fontId="6" type="noConversion"/>
  </si>
  <si>
    <r>
      <t xml:space="preserve">2021년도 모집현황 </t>
    </r>
    <r>
      <rPr>
        <b/>
        <sz val="12"/>
        <color rgb="FFFF0000"/>
        <rFont val="맑은 고딕"/>
        <family val="3"/>
        <charset val="129"/>
        <scheme val="minor"/>
      </rPr>
      <t>(취업 미포함)</t>
    </r>
    <phoneticPr fontId="14" type="noConversion"/>
  </si>
  <si>
    <r>
      <t>2021년도 모집현황</t>
    </r>
    <r>
      <rPr>
        <b/>
        <sz val="12"/>
        <color rgb="FF0070C0"/>
        <rFont val="맑은 고딕"/>
        <family val="3"/>
        <charset val="129"/>
        <scheme val="minor"/>
      </rPr>
      <t xml:space="preserve"> (취업 포함)</t>
    </r>
    <phoneticPr fontId="14" type="noConversion"/>
  </si>
  <si>
    <t>[KDT] AI기반 챗봇 및 OCR 개발 전문가 과정</t>
    <phoneticPr fontId="6" type="noConversion"/>
  </si>
  <si>
    <t>UI/UX기반 프론트엔드 개발자 양성 과정B</t>
    <phoneticPr fontId="6" type="noConversion"/>
  </si>
  <si>
    <t>KDT</t>
    <phoneticPr fontId="6" type="noConversion"/>
  </si>
  <si>
    <t>KDT</t>
    <phoneticPr fontId="6" type="noConversion"/>
  </si>
  <si>
    <t>산대특</t>
    <phoneticPr fontId="6" type="noConversion"/>
  </si>
  <si>
    <t>9월</t>
    <phoneticPr fontId="6" type="noConversion"/>
  </si>
  <si>
    <t>(스마트웹콘텐츠개발) 스마트웹 응용 프로그래밍 개발자 양성 과정A</t>
    <phoneticPr fontId="6" type="noConversion"/>
  </si>
  <si>
    <t>신촌</t>
    <phoneticPr fontId="6" type="noConversion"/>
  </si>
  <si>
    <t>계</t>
    <phoneticPr fontId="6" type="noConversion"/>
  </si>
  <si>
    <t>IT</t>
    <phoneticPr fontId="6" type="noConversion"/>
  </si>
  <si>
    <t>일산</t>
    <phoneticPr fontId="6" type="noConversion"/>
  </si>
  <si>
    <t>클라우드를 활용한 보안 전문가 양성과정</t>
    <phoneticPr fontId="6" type="noConversion"/>
  </si>
  <si>
    <t>(산대특) 공공데이터 Open API 기반의 모바일 애플리케이션 개발</t>
    <phoneticPr fontId="6" type="noConversion"/>
  </si>
  <si>
    <t>[과정평가형자격] 실내건축기능사 취득과정</t>
    <phoneticPr fontId="6" type="noConversion"/>
  </si>
  <si>
    <t>폐강</t>
    <phoneticPr fontId="6" type="noConversion"/>
  </si>
  <si>
    <t>신촌</t>
    <phoneticPr fontId="6" type="noConversion"/>
  </si>
  <si>
    <t>브랜뉴</t>
    <phoneticPr fontId="6" type="noConversion"/>
  </si>
  <si>
    <t>페강</t>
    <phoneticPr fontId="6" type="noConversion"/>
  </si>
  <si>
    <t>여행사예약발권(CRS)/오퍼레이터(OP)과정</t>
    <phoneticPr fontId="6" type="noConversion"/>
  </si>
  <si>
    <t>계</t>
    <phoneticPr fontId="6" type="noConversion"/>
  </si>
  <si>
    <t>강남</t>
    <phoneticPr fontId="6" type="noConversion"/>
  </si>
  <si>
    <t>취업</t>
    <phoneticPr fontId="6" type="noConversion"/>
  </si>
  <si>
    <t>12월</t>
    <phoneticPr fontId="6" type="noConversion"/>
  </si>
  <si>
    <t>항공사CRS(예약발권)/DCS(탑승수속)과정</t>
    <phoneticPr fontId="6" type="noConversion"/>
  </si>
  <si>
    <t>계</t>
    <phoneticPr fontId="6" type="noConversion"/>
  </si>
  <si>
    <t>강남</t>
    <phoneticPr fontId="6" type="noConversion"/>
  </si>
  <si>
    <t>취업</t>
    <phoneticPr fontId="6" type="noConversion"/>
  </si>
  <si>
    <t xml:space="preserve">[BIM] BIM 실내건축인테리어(캐드,맥스,스케치업,레빗)과정C-원격보조훈련 </t>
    <phoneticPr fontId="6" type="noConversion"/>
  </si>
  <si>
    <t>국</t>
    <phoneticPr fontId="6" type="noConversion"/>
  </si>
  <si>
    <t>12월</t>
    <phoneticPr fontId="6" type="noConversion"/>
  </si>
  <si>
    <t>(게임콘텐츠제작) 게임 3D그래픽 디자이너 양성과정(MAX)_2회차</t>
    <phoneticPr fontId="6" type="noConversion"/>
  </si>
  <si>
    <t>대전</t>
    <phoneticPr fontId="6" type="noConversion"/>
  </si>
  <si>
    <t>게임</t>
    <phoneticPr fontId="6" type="noConversion"/>
  </si>
  <si>
    <t>(디지털컨버전스) 임베디드 소프트웨어 융합 풀스택 개발자 양성과정C</t>
    <phoneticPr fontId="6" type="noConversion"/>
  </si>
  <si>
    <t>국</t>
    <phoneticPr fontId="6" type="noConversion"/>
  </si>
  <si>
    <t>신촌</t>
    <phoneticPr fontId="6" type="noConversion"/>
  </si>
  <si>
    <t>IT</t>
    <phoneticPr fontId="6" type="noConversion"/>
  </si>
  <si>
    <t>클라우드를 활용한 보안 전문가 양성과정</t>
    <phoneticPr fontId="6" type="noConversion"/>
  </si>
  <si>
    <t>KDT</t>
    <phoneticPr fontId="6" type="noConversion"/>
  </si>
  <si>
    <t>신촌</t>
    <phoneticPr fontId="6" type="noConversion"/>
  </si>
  <si>
    <t>203-07-25</t>
    <phoneticPr fontId="6" type="noConversion"/>
  </si>
  <si>
    <t>(산대특)_(IoT융합) IoT를 이용한 C#기반 스마트팩토리 MES 개발자양성과정_육성</t>
    <phoneticPr fontId="6" type="noConversion"/>
  </si>
  <si>
    <t>산대특</t>
    <phoneticPr fontId="6" type="noConversion"/>
  </si>
  <si>
    <t>IT</t>
    <phoneticPr fontId="6" type="noConversion"/>
  </si>
  <si>
    <t>[과정평가형] 실내건축기능사 취득과정 B</t>
    <phoneticPr fontId="6" type="noConversion"/>
  </si>
  <si>
    <t>부산</t>
    <phoneticPr fontId="6" type="noConversion"/>
  </si>
  <si>
    <t>컴퓨터</t>
    <phoneticPr fontId="6" type="noConversion"/>
  </si>
  <si>
    <t>12월</t>
    <phoneticPr fontId="6" type="noConversion"/>
  </si>
  <si>
    <t>(디지털컨버전스)자바(JAVA)기반 디지털컨버전스 풀스택 개발자 과정C_혼합</t>
    <phoneticPr fontId="6" type="noConversion"/>
  </si>
  <si>
    <t>(디지털컨버전스) 디지털데이터 융합 자바기반 풀스택 개발자 양성 과정B_혼합</t>
    <phoneticPr fontId="6" type="noConversion"/>
  </si>
  <si>
    <t>(AI 활용 소프트웨어 개발 및 응용) 자바 파이썬 기반 AI개발 및 응용과정C</t>
    <phoneticPr fontId="6" type="noConversion"/>
  </si>
  <si>
    <t>강남</t>
    <phoneticPr fontId="6" type="noConversion"/>
  </si>
  <si>
    <t>[산대특]AWS기반 공공빅데이터 활용 웹개발자 양성</t>
    <phoneticPr fontId="6" type="noConversion"/>
  </si>
  <si>
    <t>부산</t>
    <phoneticPr fontId="6" type="noConversion"/>
  </si>
  <si>
    <t xml:space="preserve"> [디지털디자인](스마트혼합)스마트UIUX 반응형 웹디자인양성_C</t>
    <phoneticPr fontId="6" type="noConversion"/>
  </si>
  <si>
    <t>국</t>
    <phoneticPr fontId="6" type="noConversion"/>
  </si>
  <si>
    <t>대구</t>
    <phoneticPr fontId="6" type="noConversion"/>
  </si>
  <si>
    <t xml:space="preserve">게임 프로그래머 양성과정_유니티(Unity) </t>
    <phoneticPr fontId="6" type="noConversion"/>
  </si>
  <si>
    <t>일산</t>
    <phoneticPr fontId="6" type="noConversion"/>
  </si>
  <si>
    <t>게임</t>
    <phoneticPr fontId="6" type="noConversion"/>
  </si>
  <si>
    <t>(산대특) 공공데이터 Open API 기반의 모바일 애플리케이션 개발</t>
    <phoneticPr fontId="6" type="noConversion"/>
  </si>
  <si>
    <t>산대특</t>
    <phoneticPr fontId="6" type="noConversion"/>
  </si>
  <si>
    <t>대구</t>
    <phoneticPr fontId="6" type="noConversion"/>
  </si>
  <si>
    <t>IT</t>
    <phoneticPr fontId="6" type="noConversion"/>
  </si>
  <si>
    <t>(출판) 디지털퍼블리싱 실무자양성과정</t>
    <phoneticPr fontId="6" type="noConversion"/>
  </si>
  <si>
    <t>컴퓨터</t>
    <phoneticPr fontId="6" type="noConversion"/>
  </si>
  <si>
    <t>(디지털컨버전스) 자바 기반 임베디드SW 풀스택 개발자양성B</t>
    <phoneticPr fontId="6" type="noConversion"/>
  </si>
  <si>
    <t>(디지털컨버전스) 자바 기반 임베디드SW 풀스택 개발자양성A</t>
    <phoneticPr fontId="6" type="noConversion"/>
  </si>
  <si>
    <t>게임기획전문가양성과정</t>
    <phoneticPr fontId="6" type="noConversion"/>
  </si>
  <si>
    <t>계</t>
    <phoneticPr fontId="6" type="noConversion"/>
  </si>
  <si>
    <t>(게임콘텐츠제작) 인디게임개발자양성과정</t>
    <phoneticPr fontId="6" type="noConversion"/>
  </si>
  <si>
    <t xml:space="preserve">편집(포토샵, 일러스트, 인디자인)디자이너 양성과정 </t>
    <phoneticPr fontId="6" type="noConversion"/>
  </si>
  <si>
    <t>홍대</t>
    <phoneticPr fontId="6" type="noConversion"/>
  </si>
  <si>
    <t>컴퓨터</t>
    <phoneticPr fontId="6" type="noConversion"/>
  </si>
  <si>
    <t xml:space="preserve">UIUX 스마트 엔지니어링(디자인,퍼블리싱) 양성자 과정 </t>
    <phoneticPr fontId="6" type="noConversion"/>
  </si>
  <si>
    <t>홍대</t>
    <phoneticPr fontId="6" type="noConversion"/>
  </si>
  <si>
    <t>게임그래픽(2D/3D그래픽)디자이너 양성과정 B</t>
    <phoneticPr fontId="6" type="noConversion"/>
  </si>
  <si>
    <t>게임 원화 디자이너 양성 과정</t>
    <phoneticPr fontId="6" type="noConversion"/>
  </si>
  <si>
    <t>항공사지상직/CRS예약발권 취득과정</t>
    <phoneticPr fontId="6" type="noConversion"/>
  </si>
  <si>
    <t>취업</t>
    <phoneticPr fontId="6" type="noConversion"/>
  </si>
  <si>
    <t>11월</t>
    <phoneticPr fontId="6" type="noConversion"/>
  </si>
  <si>
    <t>(게임콘텐츠제작)유니티게임프로그래머양성과정</t>
    <phoneticPr fontId="6" type="noConversion"/>
  </si>
  <si>
    <t>11월</t>
    <phoneticPr fontId="6" type="noConversion"/>
  </si>
  <si>
    <t>(과정평가형 자격) 정보보안산업기사 취득과정B</t>
    <phoneticPr fontId="6" type="noConversion"/>
  </si>
  <si>
    <t>(디지털컨버전스) 데이터 융합 풀스택 개발자 양성과정</t>
    <phoneticPr fontId="6" type="noConversion"/>
  </si>
  <si>
    <t>대전</t>
    <phoneticPr fontId="6" type="noConversion"/>
  </si>
  <si>
    <t>프론트엔드(UIUX)개발자 양성과정</t>
    <phoneticPr fontId="6" type="noConversion"/>
  </si>
  <si>
    <t>구월</t>
    <phoneticPr fontId="6" type="noConversion"/>
  </si>
  <si>
    <t>(디지털컨버전스) 임베디드&amp;웹 융합 응용SW개발자 양성과정</t>
    <phoneticPr fontId="6" type="noConversion"/>
  </si>
  <si>
    <t>11월</t>
    <phoneticPr fontId="6" type="noConversion"/>
  </si>
  <si>
    <t>(출판) 디지털퍼블리싱 실무자양성과정</t>
    <phoneticPr fontId="6" type="noConversion"/>
  </si>
  <si>
    <t>자바기반 백엔드 개발자 양성 과정B</t>
    <phoneticPr fontId="6" type="noConversion"/>
  </si>
  <si>
    <t xml:space="preserve">2D UI/UX 디자이너 양성과정 </t>
    <phoneticPr fontId="6" type="noConversion"/>
  </si>
  <si>
    <t>부평</t>
    <phoneticPr fontId="6" type="noConversion"/>
  </si>
  <si>
    <t>게임</t>
    <phoneticPr fontId="6" type="noConversion"/>
  </si>
  <si>
    <t>스마트 웹 콘텐츠개발 UIUX 웹디자인&amp;웹퍼블리셔(프론트엔드)</t>
    <phoneticPr fontId="6" type="noConversion"/>
  </si>
  <si>
    <t xml:space="preserve">광고콘텐츠 3D모션그래픽제작(에프터이펙트, 프리미어, C4D) 과정 </t>
    <phoneticPr fontId="6" type="noConversion"/>
  </si>
  <si>
    <t>브랜뉴</t>
    <phoneticPr fontId="6" type="noConversion"/>
  </si>
  <si>
    <t xml:space="preserve">(디지털컨버전스)디바이스 융합 자바(Java)기반 풀스택 개발자 양성과정B </t>
    <phoneticPr fontId="6" type="noConversion"/>
  </si>
  <si>
    <t>(스마트웹콘텐츠개발) 스마트웹 응용 프로그래밍 개발자 양성 과정A</t>
    <phoneticPr fontId="6" type="noConversion"/>
  </si>
  <si>
    <t>대구</t>
    <phoneticPr fontId="6" type="noConversion"/>
  </si>
  <si>
    <t>여행사예약발권(CRS)/오퍼레이터(OP)과정_8회차</t>
    <phoneticPr fontId="6" type="noConversion"/>
  </si>
  <si>
    <t>10월</t>
    <phoneticPr fontId="6" type="noConversion"/>
  </si>
  <si>
    <t>[BIM] BIM 실내건축인테리어(캐드,맥스,스케치업,레빗)과정B-원격보조훈련</t>
    <phoneticPr fontId="6" type="noConversion"/>
  </si>
  <si>
    <t>편집(포토샵, 일러스트, 인디자인)디자이너 양성과정</t>
    <phoneticPr fontId="6" type="noConversion"/>
  </si>
  <si>
    <t>홍대</t>
    <phoneticPr fontId="6" type="noConversion"/>
  </si>
  <si>
    <t>(과정평가형 자격)정보처리산업기사 취득과정B</t>
    <phoneticPr fontId="6" type="noConversion"/>
  </si>
  <si>
    <t>10월</t>
    <phoneticPr fontId="6" type="noConversion"/>
  </si>
  <si>
    <t>유니티 프로그래밍 개발자 양성 과정</t>
    <phoneticPr fontId="6" type="noConversion"/>
  </si>
  <si>
    <t xml:space="preserve">게임 프로그래밍개발자 양성과정(유니티) B </t>
    <phoneticPr fontId="6" type="noConversion"/>
  </si>
  <si>
    <t>항공사CRS(예약발권)/DCS(탑승수속)과정_4회차</t>
    <phoneticPr fontId="6" type="noConversion"/>
  </si>
  <si>
    <t>4차</t>
    <phoneticPr fontId="6" type="noConversion"/>
  </si>
  <si>
    <t>9월</t>
    <phoneticPr fontId="6" type="noConversion"/>
  </si>
  <si>
    <t>산대특</t>
    <phoneticPr fontId="6" type="noConversion"/>
  </si>
  <si>
    <t>(과정평가형 자격) 정보보안산업기사 취득과정B</t>
    <phoneticPr fontId="6" type="noConversion"/>
  </si>
  <si>
    <t>(디지털컨버전스) 디지털데이터 융합 자바기반 풀스택 개발자 양성 과정C</t>
    <phoneticPr fontId="6" type="noConversion"/>
  </si>
  <si>
    <t>게임그래픽 디자이너 양성과정_2회차</t>
    <phoneticPr fontId="6" type="noConversion"/>
  </si>
  <si>
    <t>2차</t>
    <phoneticPr fontId="6" type="noConversion"/>
  </si>
  <si>
    <t>9월</t>
    <phoneticPr fontId="6" type="noConversion"/>
  </si>
  <si>
    <t xml:space="preserve"> UXUI 웹디자이너 양성과정 </t>
    <phoneticPr fontId="6" type="noConversion"/>
  </si>
  <si>
    <t>2차</t>
    <phoneticPr fontId="6" type="noConversion"/>
  </si>
  <si>
    <t xml:space="preserve"> [스마트혼합] 실내건축설계 실무자 양성과정(캐드, 맥스) </t>
    <phoneticPr fontId="6" type="noConversion"/>
  </si>
  <si>
    <t>(스마트웹콘텐츠개발) 스마트웹 응용 프로그래밍 개발자 양성 과정B</t>
    <phoneticPr fontId="6" type="noConversion"/>
  </si>
  <si>
    <t>(AI 활용 소프트웨어 개발 및 응용) 웹서버 기반 AI 응용 개발자구축과정B</t>
    <phoneticPr fontId="6" type="noConversion"/>
  </si>
  <si>
    <t>전산세무회계(전산회계1급+전산세무2급) 자격증취득과정</t>
    <phoneticPr fontId="6" type="noConversion"/>
  </si>
  <si>
    <t>모션그래픽 광고콘텐츠(영상제작,편집, CG)제작 과정</t>
    <phoneticPr fontId="6" type="noConversion"/>
  </si>
  <si>
    <t>브랜뉴</t>
    <phoneticPr fontId="6" type="noConversion"/>
  </si>
  <si>
    <t>[부산시]BIM건축설계&amp;실내건축설계양성과정</t>
    <phoneticPr fontId="6" type="noConversion"/>
  </si>
  <si>
    <t>부산시</t>
    <phoneticPr fontId="6" type="noConversion"/>
  </si>
  <si>
    <t>(디지털컨버전스) 임베디드 소프트웨어 융합 풀스택 개발자 양성과정 C</t>
    <phoneticPr fontId="6" type="noConversion"/>
  </si>
  <si>
    <t>대전</t>
    <phoneticPr fontId="6" type="noConversion"/>
  </si>
  <si>
    <t>(과정평가형 자격)정보처리산업기사 취득과정A</t>
    <phoneticPr fontId="6" type="noConversion"/>
  </si>
  <si>
    <t>(디지털디자인) 반응형 UXUI 디자이너 양성과정</t>
    <phoneticPr fontId="6" type="noConversion"/>
  </si>
  <si>
    <t>광주</t>
    <phoneticPr fontId="6" type="noConversion"/>
  </si>
  <si>
    <t>디지털디자인 UI/UX 웹디자인&amp;웹퍼블리셔</t>
    <phoneticPr fontId="6" type="noConversion"/>
  </si>
  <si>
    <t>일산</t>
    <phoneticPr fontId="6" type="noConversion"/>
  </si>
  <si>
    <t>클라이언트 게임프로그래머 양성과정</t>
    <phoneticPr fontId="6" type="noConversion"/>
  </si>
  <si>
    <t>실내건축설계(Auto CAD, 3DsMax) 양성과정</t>
    <phoneticPr fontId="6" type="noConversion"/>
  </si>
  <si>
    <t xml:space="preserve">편집디자인(포토샵,일러스트,인디자인)실무자 양성과정 </t>
    <phoneticPr fontId="6" type="noConversion"/>
  </si>
  <si>
    <t xml:space="preserve">게임 3D그래픽 디자이너 양성과정(모델링, 애니메이션) </t>
    <phoneticPr fontId="6" type="noConversion"/>
  </si>
  <si>
    <t>광주</t>
    <phoneticPr fontId="6" type="noConversion"/>
  </si>
  <si>
    <t>항공사지상직/CRS예약발권 취득과정_1회차</t>
    <phoneticPr fontId="6" type="noConversion"/>
  </si>
  <si>
    <t>8월</t>
    <phoneticPr fontId="6" type="noConversion"/>
  </si>
  <si>
    <t>여행사예약발권(CRS)/오퍼레이터(OP)과정_7회차</t>
    <phoneticPr fontId="6" type="noConversion"/>
  </si>
  <si>
    <t>[과정평가형]정보처리산업기사 취득과정B</t>
    <phoneticPr fontId="6" type="noConversion"/>
  </si>
  <si>
    <t>[계좌제] 웹디자이너 양성과정</t>
    <phoneticPr fontId="6" type="noConversion"/>
  </si>
  <si>
    <t>(디지털컨버전스) 임베디드 소프트웨어 융합 풀스택 개발자 양성 과정</t>
    <phoneticPr fontId="6" type="noConversion"/>
  </si>
  <si>
    <t>미용사(피부)국가자격증 취득</t>
    <phoneticPr fontId="6" type="noConversion"/>
  </si>
  <si>
    <t>1차</t>
    <phoneticPr fontId="6" type="noConversion"/>
  </si>
  <si>
    <t>수원</t>
    <phoneticPr fontId="6" type="noConversion"/>
  </si>
  <si>
    <t>뷰티</t>
    <phoneticPr fontId="6" type="noConversion"/>
  </si>
  <si>
    <t>미용사(피부)국가자격증 취득과정</t>
    <phoneticPr fontId="6" type="noConversion"/>
  </si>
  <si>
    <t>뷰티</t>
    <phoneticPr fontId="6" type="noConversion"/>
  </si>
  <si>
    <t>UI/UX기반 프론트엔드 개발자 양성 과정B</t>
    <phoneticPr fontId="6" type="noConversion"/>
  </si>
  <si>
    <t>부산</t>
    <phoneticPr fontId="6" type="noConversion"/>
  </si>
  <si>
    <t>8월</t>
    <phoneticPr fontId="6" type="noConversion"/>
  </si>
  <si>
    <t>(디지털디자인)(S) 스마트기기 UIUX 웹퍼블리셔 양성과정B</t>
    <phoneticPr fontId="6" type="noConversion"/>
  </si>
  <si>
    <t>[과정평가형] 실내건축기능사 취득과정A</t>
    <phoneticPr fontId="6" type="noConversion"/>
  </si>
  <si>
    <t>(디지털컨버전스) 임베디드 소프트웨어 융합 풀스택 개발자 양성과정B</t>
    <phoneticPr fontId="6" type="noConversion"/>
  </si>
  <si>
    <t>8월</t>
    <phoneticPr fontId="6" type="noConversion"/>
  </si>
  <si>
    <t>항공사CRS(예약발권)/DCS(탑승수속)과정_3회차</t>
    <phoneticPr fontId="6" type="noConversion"/>
  </si>
  <si>
    <t>7월</t>
    <phoneticPr fontId="6" type="noConversion"/>
  </si>
  <si>
    <t xml:space="preserve">(디지털컨버전스) 디지털데이터 융합 자바기반 풀스택 개발자 양성 과정A </t>
    <phoneticPr fontId="6" type="noConversion"/>
  </si>
  <si>
    <t>7월</t>
    <phoneticPr fontId="6" type="noConversion"/>
  </si>
  <si>
    <t>(디지털컨버전스)임베디드 소프트웨어 융합 풀스택 개발자 양성과정 B</t>
    <phoneticPr fontId="6" type="noConversion"/>
  </si>
  <si>
    <t>자바기반 백엔드 개발자 양성 과정A </t>
    <phoneticPr fontId="6" type="noConversion"/>
  </si>
  <si>
    <t>편집(포토샵, 일러스트, 인디자인)디자이너 양성과정</t>
    <phoneticPr fontId="6" type="noConversion"/>
  </si>
  <si>
    <t>3차</t>
    <phoneticPr fontId="6" type="noConversion"/>
  </si>
  <si>
    <t xml:space="preserve">프론트엔드(UIUX) 개발자 양성과정 </t>
    <phoneticPr fontId="6" type="noConversion"/>
  </si>
  <si>
    <t>1차</t>
    <phoneticPr fontId="6" type="noConversion"/>
  </si>
  <si>
    <t xml:space="preserve">미용사(메이크업) 국가자격증 취득과정 </t>
    <phoneticPr fontId="6" type="noConversion"/>
  </si>
  <si>
    <t>광고콘텐츠3D모션그래픽제작(에프터이펙트,프리미어,C4D)과정</t>
    <phoneticPr fontId="6" type="noConversion"/>
  </si>
  <si>
    <t>(디지털컨버전스)자바(JAVA)기반 디지털컨버전스 풀스택 개발자 과정B</t>
    <phoneticPr fontId="6" type="noConversion"/>
  </si>
  <si>
    <t>[KDT] AI기반 챗봇 및 OCR 개발 전문가 과정</t>
    <phoneticPr fontId="6" type="noConversion"/>
  </si>
  <si>
    <t>KDT</t>
    <phoneticPr fontId="6" type="noConversion"/>
  </si>
  <si>
    <t>(디지털컨버전스)임베디드 소프트웨어 융합 풀스택 개발자 양성과정C</t>
    <phoneticPr fontId="6" type="noConversion"/>
  </si>
  <si>
    <t>3D게임그래픽 전문가 양성과정</t>
    <phoneticPr fontId="6" type="noConversion"/>
  </si>
  <si>
    <t>(게임콘텐츠제작)게임 3D그래픽 디자이너 양성과정 (MAX)</t>
    <phoneticPr fontId="6" type="noConversion"/>
  </si>
  <si>
    <t>게임2D그래픽원화가양성과정</t>
    <phoneticPr fontId="6" type="noConversion"/>
  </si>
  <si>
    <t>자바기반 웹 개발자 양성</t>
    <phoneticPr fontId="6" type="noConversion"/>
  </si>
  <si>
    <t>(BIM) BIM 실내건축인테리어(캐드,맥스,스케치업,레빗)과정B</t>
    <phoneticPr fontId="6" type="noConversion"/>
  </si>
  <si>
    <t xml:space="preserve">관광통역안내사/국내여행안내사자격증과정_10회차 </t>
    <phoneticPr fontId="6" type="noConversion"/>
  </si>
  <si>
    <t xml:space="preserve">(게임콘텐츠제작)게임 개발자(유니티 엔진) 양성(스마트혼합) </t>
    <phoneticPr fontId="6" type="noConversion"/>
  </si>
  <si>
    <t>(스마트혼합/게임콘텐츠제작) 유니티 게임 프로그래머 개발자 양성과정A</t>
    <phoneticPr fontId="6" type="noConversion"/>
  </si>
  <si>
    <t>유니티 게임 프로그래머 양성과정A</t>
    <phoneticPr fontId="6" type="noConversion"/>
  </si>
  <si>
    <t>유니티게임프로그래머양성과정</t>
    <phoneticPr fontId="6" type="noConversion"/>
  </si>
  <si>
    <t>21년 연장</t>
    <phoneticPr fontId="6" type="noConversion"/>
  </si>
  <si>
    <t>수원</t>
    <phoneticPr fontId="6" type="noConversion"/>
  </si>
  <si>
    <t>미용사(네일)국가자격증 취득</t>
    <phoneticPr fontId="6" type="noConversion"/>
  </si>
  <si>
    <t>(과정평가형 자격) 실내건축산업기사 취득과정_B</t>
    <phoneticPr fontId="6" type="noConversion"/>
  </si>
  <si>
    <t>[디지털디자인](스마트혼합)스마트UIUX 반응형 웹디자인양성_B</t>
    <phoneticPr fontId="6" type="noConversion"/>
  </si>
  <si>
    <t>편집디자인(포토샵,일러스트,인디자인)실무자양성과정</t>
    <phoneticPr fontId="6" type="noConversion"/>
  </si>
  <si>
    <t>헤어미용 국가자격증 취득과정</t>
    <phoneticPr fontId="6" type="noConversion"/>
  </si>
  <si>
    <t>광고콘텐츠 3D모션그래픽제작(에프터이펙트, 프리미어, C4D)과정</t>
    <phoneticPr fontId="6" type="noConversion"/>
  </si>
  <si>
    <t xml:space="preserve">(디지털컨버전스)디바이스 융합 자바(java)기반 풀스택 개발자 양성과정A </t>
    <phoneticPr fontId="6" type="noConversion"/>
  </si>
  <si>
    <t>UXUI 웹디자이너 양성과정</t>
    <phoneticPr fontId="6" type="noConversion"/>
  </si>
  <si>
    <t xml:space="preserve">스마트 웹 콘텐츠개발 UIUX 웹디자인&amp;웹퍼블리셔(프론트엔드) </t>
    <phoneticPr fontId="6" type="noConversion"/>
  </si>
  <si>
    <t>6월</t>
    <phoneticPr fontId="6" type="noConversion"/>
  </si>
  <si>
    <t xml:space="preserve">여행사예약발권(CRS)/오퍼레이터(OP)과정_6회차 </t>
    <phoneticPr fontId="6" type="noConversion"/>
  </si>
  <si>
    <t>5월</t>
    <phoneticPr fontId="6" type="noConversion"/>
  </si>
  <si>
    <t>항공사CRS(예약발권)/DCS(탑승수속)과정_2회차</t>
    <phoneticPr fontId="6" type="noConversion"/>
  </si>
  <si>
    <t>인테리어 디자인 전문가 양성과정(2D캐드, 3D맥스)</t>
    <phoneticPr fontId="6" type="noConversion"/>
  </si>
  <si>
    <t>5월</t>
    <phoneticPr fontId="6" type="noConversion"/>
  </si>
  <si>
    <t>출판편집디자인(포토샵,일러스트,인디자인)과정-스마트혼합</t>
    <phoneticPr fontId="6" type="noConversion"/>
  </si>
  <si>
    <t>(출판)디지털퍼블리싱 실무자양성과정</t>
    <phoneticPr fontId="6" type="noConversion"/>
  </si>
  <si>
    <t xml:space="preserve">[과정평가형] 전산응용건축제도기능사 취득과정 (캐드, 스케치업) </t>
    <phoneticPr fontId="6" type="noConversion"/>
  </si>
  <si>
    <t>(BIM) BIM실내건축인테리어(캐드,맥스,스케치업,레빗)과정A</t>
    <phoneticPr fontId="6" type="noConversion"/>
  </si>
  <si>
    <t>(과정평가형 자격)정보처리산업기사 취득과정A</t>
    <phoneticPr fontId="6" type="noConversion"/>
  </si>
  <si>
    <t>(과정평가형 자격)정보보안산업기사 취득과정A</t>
    <phoneticPr fontId="6" type="noConversion"/>
  </si>
  <si>
    <t xml:space="preserve">(스마트웹콘텐츠개발) UI/UX 스마트콘텐츠 융합 응용SW개발자 양성과정 </t>
    <phoneticPr fontId="6" type="noConversion"/>
  </si>
  <si>
    <t>(과정평가형 자격) 전산응용건축제도기능사 자격증 취득과정</t>
    <phoneticPr fontId="6" type="noConversion"/>
  </si>
  <si>
    <t>부평</t>
    <phoneticPr fontId="6" type="noConversion"/>
  </si>
  <si>
    <t xml:space="preserve">(디지털컨버전스) 임베디드 소프트웨어 융합 풀스택 개발자 양성과정 A </t>
    <phoneticPr fontId="6" type="noConversion"/>
  </si>
  <si>
    <t xml:space="preserve">[디지털디자인](스마트혼합)스마트UIUX 반응형 웹디자인양성_A </t>
    <phoneticPr fontId="6" type="noConversion"/>
  </si>
  <si>
    <t>광고콘텐츠제작(기획,제작,편집,CG) 및 모션그래픽 과정</t>
    <phoneticPr fontId="6" type="noConversion"/>
  </si>
  <si>
    <t>게임 프로그래머 양성과정_유니티(Unity)</t>
    <phoneticPr fontId="6" type="noConversion"/>
  </si>
  <si>
    <t xml:space="preserve">게임그래픽(2D/3D그래픽)디자이너 양성과정 A </t>
    <phoneticPr fontId="6" type="noConversion"/>
  </si>
  <si>
    <t xml:space="preserve">게임3D배경그래픽디자이너양성과정 </t>
    <phoneticPr fontId="6" type="noConversion"/>
  </si>
  <si>
    <t>영상편집(프리미어,에펙)&amp;3D모션그래픽제작</t>
    <phoneticPr fontId="6" type="noConversion"/>
  </si>
  <si>
    <t>실내건축설계(AutoCAD, 3DsMAX)양성과정</t>
    <phoneticPr fontId="6" type="noConversion"/>
  </si>
  <si>
    <t>(과정평가형 자격) 실내건축산업기사 취득과정_A</t>
    <phoneticPr fontId="6" type="noConversion"/>
  </si>
  <si>
    <t>관광통역안내사/국내여행안내사자격증과정_9회차</t>
    <phoneticPr fontId="6" type="noConversion"/>
  </si>
  <si>
    <t>4월</t>
    <phoneticPr fontId="6" type="noConversion"/>
  </si>
  <si>
    <t>(스마트혼합) (게임콘텐츠제작) 유니티프로그래밍전문가양성과정</t>
    <phoneticPr fontId="6" type="noConversion"/>
  </si>
  <si>
    <t>4월</t>
    <phoneticPr fontId="6" type="noConversion"/>
  </si>
  <si>
    <t>미용사(네일)국가자격증 취득과정</t>
    <phoneticPr fontId="6" type="noConversion"/>
  </si>
  <si>
    <t>모션그래픽 영상제작(프리미어, 에펙, C4D) 실무자 양성과정</t>
    <phoneticPr fontId="6" type="noConversion"/>
  </si>
  <si>
    <t>(디지털컨버전스)자바(JAVA)기반 디지털컨버전스 풀스택 개발자 과정A</t>
    <phoneticPr fontId="6" type="noConversion"/>
  </si>
  <si>
    <t>[디지털디자인] 스마트 UIUX 반응형 웹디자이너 양성 과정</t>
    <phoneticPr fontId="6" type="noConversion"/>
  </si>
  <si>
    <t xml:space="preserve">미용사(피부)국가자격증 취득 과정 </t>
    <phoneticPr fontId="6" type="noConversion"/>
  </si>
  <si>
    <t>(디지털컨버전스) 자바(JAVA)기반 임베디드SW 융합 풀스택 개발자 양성과정</t>
    <phoneticPr fontId="6" type="noConversion"/>
  </si>
  <si>
    <t xml:space="preserve"> (디지털디자인)(S) 스마트기기 UIUX 웹퍼블리셔 양성과정A</t>
    <phoneticPr fontId="6" type="noConversion"/>
  </si>
  <si>
    <t>UIUX프론트엔드 개발자 양성과정</t>
    <phoneticPr fontId="6" type="noConversion"/>
  </si>
  <si>
    <t>(디지털디자인) 스마트기기 UXUI 디자이너 양성과정</t>
    <phoneticPr fontId="6" type="noConversion"/>
  </si>
  <si>
    <t xml:space="preserve">게임 프로그래밍개발자 양성과정(유니티) A </t>
    <phoneticPr fontId="6" type="noConversion"/>
  </si>
  <si>
    <t>(AI 활용 소프트웨어 개발 및 응용) 웹서버 기반 AI응용 개발자구축과정A - 혼합</t>
    <phoneticPr fontId="6" type="noConversion"/>
  </si>
  <si>
    <t>UI/UX기반 프론트엔드 개발자 양성과정A</t>
    <phoneticPr fontId="6" type="noConversion"/>
  </si>
  <si>
    <t xml:space="preserve">UI/UX웹퍼블리셔 양성과정 </t>
    <phoneticPr fontId="6" type="noConversion"/>
  </si>
  <si>
    <t>유니티 게임프로그래머 양성과정</t>
    <phoneticPr fontId="6" type="noConversion"/>
  </si>
  <si>
    <t xml:space="preserve">게임 원화 디자이너 양성과정 (스파인 애니메이션, 포토샵, 일러스트)A </t>
    <phoneticPr fontId="6" type="noConversion"/>
  </si>
  <si>
    <t>항공사CRS(예약발권)/DCS(탑승수속)과정_1회차</t>
    <phoneticPr fontId="6" type="noConversion"/>
  </si>
  <si>
    <t>3월</t>
    <phoneticPr fontId="6" type="noConversion"/>
  </si>
  <si>
    <t xml:space="preserve">네일아트 실무 과정 </t>
    <phoneticPr fontId="6" type="noConversion"/>
  </si>
  <si>
    <t xml:space="preserve">미용사(네일)국가자격증 취득 과정 </t>
    <phoneticPr fontId="6" type="noConversion"/>
  </si>
  <si>
    <t>모션그래픽 광고콘텐츠(영상제작,편집,CG) 제작 과정</t>
    <phoneticPr fontId="6" type="noConversion"/>
  </si>
  <si>
    <t>3월</t>
    <phoneticPr fontId="6" type="noConversion"/>
  </si>
  <si>
    <t>(과정평가형 자격) 정보보안산업기사 취득과정A</t>
    <phoneticPr fontId="6" type="noConversion"/>
  </si>
  <si>
    <t>(게임콘텐츠제작) 게임 기획 실무자 양성과정</t>
    <phoneticPr fontId="6" type="noConversion"/>
  </si>
  <si>
    <t xml:space="preserve">(스마트웹콘텐츠개발) 스마트웹 응용 소프트웨어 개발자 양성 과정 </t>
    <phoneticPr fontId="6" type="noConversion"/>
  </si>
  <si>
    <t>게임 캐릭터 디자이너 양성 과정(2D그래픽,원화)</t>
    <phoneticPr fontId="6" type="noConversion"/>
  </si>
  <si>
    <t xml:space="preserve">파이썬 기반의 빅데이터 활용 개발자 양성과정 </t>
    <phoneticPr fontId="6" type="noConversion"/>
  </si>
  <si>
    <t>자바기반 백엔드 개발자 양성 과정A </t>
    <phoneticPr fontId="6" type="noConversion"/>
  </si>
  <si>
    <t>게임그래픽 디자이너 양성과정</t>
    <phoneticPr fontId="6" type="noConversion"/>
  </si>
  <si>
    <t>21년 연장</t>
    <phoneticPr fontId="6" type="noConversion"/>
  </si>
  <si>
    <t>(디지털컨버전스)임베디드 소프트웨어 융합 풀스택 개발자 양성과정A</t>
    <phoneticPr fontId="6" type="noConversion"/>
  </si>
  <si>
    <t xml:space="preserve">관광통역안내사/국내여행안내사자격증과정_8회차 </t>
    <phoneticPr fontId="6" type="noConversion"/>
  </si>
  <si>
    <t>2월</t>
    <phoneticPr fontId="6" type="noConversion"/>
  </si>
  <si>
    <t>여행사예약발권(CRS)/오퍼레이터(OP)과정_5회차</t>
    <phoneticPr fontId="6" type="noConversion"/>
  </si>
  <si>
    <t xml:space="preserve">미용사(피부)국가자격증 취득 </t>
    <phoneticPr fontId="6" type="noConversion"/>
  </si>
  <si>
    <t>[과정평가형 자격] 정보처리산업기사 취득과정A</t>
    <phoneticPr fontId="6" type="noConversion"/>
  </si>
  <si>
    <t>(디지털컨버전스)디바이스 융합 자바(JAVA)기반 풀스택 개발자 양성과정C</t>
    <phoneticPr fontId="6" type="noConversion"/>
  </si>
  <si>
    <t>(디지털컨버전스) 임베디드 소프트웨어 융합 풀스택 개발자 양성과정A</t>
    <phoneticPr fontId="6" type="noConversion"/>
  </si>
  <si>
    <t>1월</t>
    <phoneticPr fontId="6" type="noConversion"/>
  </si>
  <si>
    <t xml:space="preserve">(AI 활용 소프트웨어 개발 및 응용) 자바 파이썬 기반 AI개발 및 응용과정B </t>
    <phoneticPr fontId="6" type="noConversion"/>
  </si>
  <si>
    <t>1월</t>
    <phoneticPr fontId="6" type="noConversion"/>
  </si>
  <si>
    <t>계좌제</t>
    <phoneticPr fontId="6" type="noConversion"/>
  </si>
  <si>
    <t>국기</t>
    <phoneticPr fontId="6" type="noConversion"/>
  </si>
  <si>
    <t>신청률</t>
    <phoneticPr fontId="7" type="noConversion"/>
  </si>
  <si>
    <t>모집률</t>
    <phoneticPr fontId="7" type="noConversion"/>
  </si>
  <si>
    <t>신청인원</t>
    <phoneticPr fontId="7" type="noConversion"/>
  </si>
  <si>
    <t>확정인원</t>
    <phoneticPr fontId="6" type="noConversion"/>
  </si>
  <si>
    <t>훈련비</t>
    <phoneticPr fontId="7" type="noConversion"/>
  </si>
  <si>
    <t>훈련종료</t>
    <phoneticPr fontId="6" type="noConversion"/>
  </si>
  <si>
    <t>훈련시작</t>
    <phoneticPr fontId="6" type="noConversion"/>
  </si>
  <si>
    <t>훈련시간</t>
    <phoneticPr fontId="7" type="noConversion"/>
  </si>
  <si>
    <t>훈련일</t>
    <phoneticPr fontId="7" type="noConversion"/>
  </si>
  <si>
    <t>지점명</t>
    <phoneticPr fontId="7" type="noConversion"/>
  </si>
  <si>
    <t>계열</t>
    <phoneticPr fontId="6" type="noConversion"/>
  </si>
  <si>
    <t>구분</t>
    <phoneticPr fontId="6" type="noConversion"/>
  </si>
  <si>
    <t>연번</t>
    <phoneticPr fontId="6" type="noConversion"/>
  </si>
  <si>
    <t>[21년 연장과정] (디지털디자인) (S)스마트기기 UXUI 웹퍼블리셔 양성과정</t>
    <phoneticPr fontId="6" type="noConversion"/>
  </si>
  <si>
    <t>[KDT] AI기반 챗봇 및 OCR 개발 전문가 과정</t>
    <phoneticPr fontId="6" type="noConversion"/>
  </si>
  <si>
    <t>[21년 연장과정](게임콘텐츠제작)게임콘텐츠 개발자 양성(게임기획&amp;게임프로그래밍)</t>
    <phoneticPr fontId="6" type="noConversion"/>
  </si>
  <si>
    <t>[21년 연장과정](BIM) BIM 실내건축인테리어(캐드,맥스,스케치업,레빗)과정B</t>
    <phoneticPr fontId="6" type="noConversion"/>
  </si>
  <si>
    <t>[21년 연장과정][디지털디자인]스마트기기 웹 인터렉티브 UX UI 디자이너 양성과정</t>
    <phoneticPr fontId="6" type="noConversion"/>
  </si>
  <si>
    <r>
      <t>(산대특)</t>
    </r>
    <r>
      <rPr>
        <b/>
        <sz val="10"/>
        <color theme="1"/>
        <rFont val="맑은 고딕"/>
        <family val="3"/>
        <charset val="129"/>
        <scheme val="minor"/>
      </rPr>
      <t>_</t>
    </r>
    <r>
      <rPr>
        <sz val="10"/>
        <color theme="1"/>
        <rFont val="맑은 고딕"/>
        <family val="3"/>
        <charset val="129"/>
        <scheme val="minor"/>
      </rPr>
      <t xml:space="preserve">빅데이터를 활용한 AI챗봇&amp;광학기술 개발자 과정_육성 </t>
    </r>
    <phoneticPr fontId="6" type="noConversion"/>
  </si>
  <si>
    <t>계(혼)</t>
    <phoneticPr fontId="6" type="noConversion"/>
  </si>
  <si>
    <t>직종</t>
    <phoneticPr fontId="6" type="noConversion"/>
  </si>
  <si>
    <t>응용SW엔지니어링(20010202)</t>
    <phoneticPr fontId="6" type="noConversion"/>
  </si>
  <si>
    <t>게임콘텐츠제작(08030205)</t>
    <phoneticPr fontId="6" type="noConversion"/>
  </si>
  <si>
    <t>지점</t>
    <phoneticPr fontId="7" type="noConversion"/>
  </si>
  <si>
    <t>종류</t>
    <phoneticPr fontId="6" type="noConversion"/>
  </si>
  <si>
    <t>월</t>
    <phoneticPr fontId="6" type="noConversion"/>
  </si>
  <si>
    <t>(스마트혼합) 유니티 게임프로그래머 양성과정</t>
    <phoneticPr fontId="6" type="noConversion"/>
  </si>
  <si>
    <t>UI/UX엔지니어링(20010207)</t>
    <phoneticPr fontId="6" type="noConversion"/>
  </si>
  <si>
    <t>노원</t>
    <phoneticPr fontId="6" type="noConversion"/>
  </si>
  <si>
    <t xml:space="preserve"> 응용SW엔지니어링(20010202)</t>
    <phoneticPr fontId="6" type="noConversion"/>
  </si>
  <si>
    <t>디지털디자인(08020104)</t>
    <phoneticPr fontId="6" type="noConversion"/>
  </si>
  <si>
    <t>부평</t>
    <phoneticPr fontId="6" type="noConversion"/>
  </si>
  <si>
    <t>실내건축설계(14030104)</t>
    <phoneticPr fontId="6" type="noConversion"/>
  </si>
  <si>
    <t>IT</t>
    <phoneticPr fontId="6" type="noConversion"/>
  </si>
  <si>
    <t>응용SW엔지니어링(20010202)</t>
    <phoneticPr fontId="6" type="noConversion"/>
  </si>
  <si>
    <t>국(혼)</t>
    <phoneticPr fontId="6" type="noConversion"/>
  </si>
  <si>
    <t>응용SW엔지니어링(20010202)</t>
    <phoneticPr fontId="6" type="noConversion"/>
  </si>
  <si>
    <t>국</t>
    <phoneticPr fontId="6" type="noConversion"/>
  </si>
  <si>
    <t>인천</t>
    <phoneticPr fontId="6" type="noConversion"/>
  </si>
  <si>
    <t>계</t>
    <phoneticPr fontId="6" type="noConversion"/>
  </si>
  <si>
    <t>국</t>
    <phoneticPr fontId="6" type="noConversion"/>
  </si>
  <si>
    <t>게임콘텐츠제작(08030205)</t>
    <phoneticPr fontId="6" type="noConversion"/>
  </si>
  <si>
    <t>국(혼)</t>
    <phoneticPr fontId="6" type="noConversion"/>
  </si>
  <si>
    <t>대전</t>
    <phoneticPr fontId="6" type="noConversion"/>
  </si>
  <si>
    <t>부평</t>
    <phoneticPr fontId="6" type="noConversion"/>
  </si>
  <si>
    <t>편집디자인(22010102)</t>
    <phoneticPr fontId="6" type="noConversion"/>
  </si>
  <si>
    <t>2월</t>
    <phoneticPr fontId="6" type="noConversion"/>
  </si>
  <si>
    <t>2월</t>
    <phoneticPr fontId="6" type="noConversion"/>
  </si>
  <si>
    <t>(디지털컨버전스) 임베디드 소프트웨어 융합 풀스택 개발자 양성 과정C</t>
    <phoneticPr fontId="6" type="noConversion"/>
  </si>
  <si>
    <t>자바(JAVA)기반 스프링 응용SW개발자 양성과정A</t>
    <phoneticPr fontId="6" type="noConversion"/>
  </si>
  <si>
    <t>(게임콘텐츠제작) 게임콘텐츠 개발자 양성 (게임기획&amp;게임프로그래밍)</t>
    <phoneticPr fontId="6" type="noConversion"/>
  </si>
  <si>
    <t>[계]자바기반 백엔드 개발자 양성 과정A</t>
    <phoneticPr fontId="6" type="noConversion"/>
  </si>
  <si>
    <t>자바기반 백엔드 개발자 양성과정A</t>
    <phoneticPr fontId="6" type="noConversion"/>
  </si>
  <si>
    <t xml:space="preserve">[스마트혼합] 실내건축설계 실무자 양성과정 (캐드, 맥스) </t>
    <phoneticPr fontId="6" type="noConversion"/>
  </si>
  <si>
    <t>자바 백엔드 개발자 양성과정A</t>
    <phoneticPr fontId="6" type="noConversion"/>
  </si>
  <si>
    <t>회차</t>
    <phoneticPr fontId="6" type="noConversion"/>
  </si>
  <si>
    <t>직종</t>
    <phoneticPr fontId="6" type="noConversion"/>
  </si>
  <si>
    <t>국내여행안내(12030103)</t>
    <phoneticPr fontId="6" type="noConversion"/>
  </si>
  <si>
    <t>강남</t>
    <phoneticPr fontId="6" type="noConversion"/>
  </si>
  <si>
    <t>계</t>
    <phoneticPr fontId="6" type="noConversion"/>
  </si>
  <si>
    <t>강남</t>
    <phoneticPr fontId="6" type="noConversion"/>
  </si>
  <si>
    <t>계</t>
    <phoneticPr fontId="6" type="noConversion"/>
  </si>
  <si>
    <t>항공사CRS(예약발권)/DCS(탑승수속)과정</t>
    <phoneticPr fontId="6" type="noConversion"/>
  </si>
  <si>
    <t>항공여객운송서비스(09040205)</t>
    <phoneticPr fontId="6" type="noConversion"/>
  </si>
  <si>
    <t>응용SW엔지니어링(20010202)</t>
    <phoneticPr fontId="6" type="noConversion"/>
  </si>
  <si>
    <t xml:space="preserve"> 인공지능플랫폼구축(20010701)</t>
    <phoneticPr fontId="6" type="noConversion"/>
  </si>
  <si>
    <t>과평(국)</t>
    <phoneticPr fontId="6" type="noConversion"/>
  </si>
  <si>
    <t xml:space="preserve"> 정보보호관리·운영(20010601)</t>
    <phoneticPr fontId="6" type="noConversion"/>
  </si>
  <si>
    <t xml:space="preserve"> 게임콘텐츠제작(08030205)</t>
    <phoneticPr fontId="6" type="noConversion"/>
  </si>
  <si>
    <t xml:space="preserve"> UI/UX엔지니어링(20010207)</t>
    <phoneticPr fontId="6" type="noConversion"/>
  </si>
  <si>
    <t>피부미용(12010102)</t>
    <phoneticPr fontId="6" type="noConversion"/>
  </si>
  <si>
    <t>(과정평가형자격) 실내건축산업기사 취득과정_A</t>
    <phoneticPr fontId="6" type="noConversion"/>
  </si>
  <si>
    <t>광고콘텐츠제작(08030204)</t>
    <phoneticPr fontId="6" type="noConversion"/>
  </si>
  <si>
    <t xml:space="preserve"> 디지털디자인(08020104)</t>
    <phoneticPr fontId="6" type="noConversion"/>
  </si>
  <si>
    <t>실내디자인(08020107)</t>
    <phoneticPr fontId="6" type="noConversion"/>
  </si>
  <si>
    <t xml:space="preserve"> 실내건축설계(14030104)</t>
    <phoneticPr fontId="6" type="noConversion"/>
  </si>
  <si>
    <t>[K-DIGITAL]AI기반 챗봇 및 OCR 개발 전문가 과정 (3회차)</t>
    <phoneticPr fontId="6" type="noConversion"/>
  </si>
  <si>
    <t>자바기반 웹개발자 양성과정</t>
    <phoneticPr fontId="6" type="noConversion"/>
  </si>
  <si>
    <t>(게임콘텐츠제작) 게임프로그래머양성과정</t>
    <phoneticPr fontId="6" type="noConversion"/>
  </si>
  <si>
    <t xml:space="preserve">게임프로그래머 유니티 양성과정 </t>
    <phoneticPr fontId="6" type="noConversion"/>
  </si>
  <si>
    <t xml:space="preserve">스마트 웹 콘텐츠개발 UIUX&amp;웹퍼블리셔(프론트엔드) </t>
    <phoneticPr fontId="6" type="noConversion"/>
  </si>
  <si>
    <t xml:space="preserve">UIUX기반 웹디자인&amp;웹퍼블리셔 양성과정 </t>
    <phoneticPr fontId="6" type="noConversion"/>
  </si>
  <si>
    <t>계좌제</t>
    <phoneticPr fontId="6" type="noConversion"/>
  </si>
  <si>
    <t>과정평가형</t>
    <phoneticPr fontId="6" type="noConversion"/>
  </si>
  <si>
    <t>IT</t>
  </si>
  <si>
    <t>개수 : 훈련과정명</t>
  </si>
  <si>
    <t>게임콘텐츠제작(08030205)</t>
    <phoneticPr fontId="6" type="noConversion"/>
  </si>
  <si>
    <t>IT</t>
    <phoneticPr fontId="6" type="noConversion"/>
  </si>
  <si>
    <t>컴퓨터</t>
    <phoneticPr fontId="6" type="noConversion"/>
  </si>
  <si>
    <t>안산</t>
    <phoneticPr fontId="6" type="noConversion"/>
  </si>
  <si>
    <t xml:space="preserve"> 광고콘텐츠제작(08030204)</t>
    <phoneticPr fontId="6" type="noConversion"/>
  </si>
  <si>
    <t>모션그래픽 광고콘텐츠(영상제작,편집,CG) 제작과정</t>
    <phoneticPr fontId="6" type="noConversion"/>
  </si>
  <si>
    <t xml:space="preserve"> 디지털디자인(08020104)</t>
    <phoneticPr fontId="6" type="noConversion"/>
  </si>
  <si>
    <t>부산</t>
    <phoneticPr fontId="6" type="noConversion"/>
  </si>
  <si>
    <t>게임</t>
    <phoneticPr fontId="6" type="noConversion"/>
  </si>
  <si>
    <t>분당</t>
    <phoneticPr fontId="6" type="noConversion"/>
  </si>
  <si>
    <t>게임콘텐츠제작(08030205)</t>
    <phoneticPr fontId="6" type="noConversion"/>
  </si>
  <si>
    <t>IT</t>
    <phoneticPr fontId="6" type="noConversion"/>
  </si>
  <si>
    <t>인천</t>
    <phoneticPr fontId="6" type="noConversion"/>
  </si>
  <si>
    <t>UI/UX엔지니어링(20010207)</t>
    <phoneticPr fontId="6" type="noConversion"/>
  </si>
  <si>
    <t>대구</t>
    <phoneticPr fontId="6" type="noConversion"/>
  </si>
  <si>
    <t>국</t>
    <phoneticPr fontId="6" type="noConversion"/>
  </si>
  <si>
    <t xml:space="preserve"> 응용SW엔지니어링(20010202)</t>
    <phoneticPr fontId="6" type="noConversion"/>
  </si>
  <si>
    <t>컴퓨터</t>
    <phoneticPr fontId="6" type="noConversion"/>
  </si>
  <si>
    <t>홍대</t>
    <phoneticPr fontId="6" type="noConversion"/>
  </si>
  <si>
    <t>계</t>
    <phoneticPr fontId="6" type="noConversion"/>
  </si>
  <si>
    <t>유니티(Unity)게임 프로그래머 양성과정</t>
    <phoneticPr fontId="6" type="noConversion"/>
  </si>
  <si>
    <t>과평(국)</t>
    <phoneticPr fontId="6" type="noConversion"/>
  </si>
  <si>
    <t>수원</t>
    <phoneticPr fontId="6" type="noConversion"/>
  </si>
  <si>
    <t xml:space="preserve"> 디지털디자인(08020104)</t>
    <phoneticPr fontId="6" type="noConversion"/>
  </si>
  <si>
    <t>4월</t>
    <phoneticPr fontId="6" type="noConversion"/>
  </si>
  <si>
    <t>4월</t>
    <phoneticPr fontId="6" type="noConversion"/>
  </si>
  <si>
    <t>UI/UX기반 프론트엔드 개발자 양성 과정A</t>
    <phoneticPr fontId="6" type="noConversion"/>
  </si>
  <si>
    <t xml:space="preserve">[UIUX] 반응형웹디자인&amp;웹퍼블리셔(프론트엔드) 양성 과정 </t>
    <phoneticPr fontId="6" type="noConversion"/>
  </si>
  <si>
    <t>게임프로그래머 양성과정(유니티) A</t>
    <phoneticPr fontId="6" type="noConversion"/>
  </si>
  <si>
    <t xml:space="preserve">게임프로그래머 양성과정(유니티) </t>
    <phoneticPr fontId="6" type="noConversion"/>
  </si>
  <si>
    <t>(디지털컨버전스) 임베디드 소프트웨어 융합 풀스택 개발자 양성 과정B</t>
    <phoneticPr fontId="6" type="noConversion"/>
  </si>
  <si>
    <t>승무원</t>
    <phoneticPr fontId="6" type="noConversion"/>
  </si>
  <si>
    <t>승무원</t>
    <phoneticPr fontId="6" type="noConversion"/>
  </si>
  <si>
    <t>승무원</t>
    <phoneticPr fontId="6" type="noConversion"/>
  </si>
  <si>
    <t>부산</t>
    <phoneticPr fontId="6" type="noConversion"/>
  </si>
  <si>
    <t>계</t>
    <phoneticPr fontId="6" type="noConversion"/>
  </si>
  <si>
    <t xml:space="preserve"> 항공여객운송서비스(09040205)</t>
    <phoneticPr fontId="6" type="noConversion"/>
  </si>
  <si>
    <t>3월</t>
    <phoneticPr fontId="6" type="noConversion"/>
  </si>
  <si>
    <t>3월</t>
    <phoneticPr fontId="6" type="noConversion"/>
  </si>
  <si>
    <t>승무원</t>
    <phoneticPr fontId="6" type="noConversion"/>
  </si>
  <si>
    <t>강남</t>
    <phoneticPr fontId="6" type="noConversion"/>
  </si>
  <si>
    <t>계</t>
    <phoneticPr fontId="6" type="noConversion"/>
  </si>
  <si>
    <t>여행상품상담(12030102)</t>
    <phoneticPr fontId="6" type="noConversion"/>
  </si>
  <si>
    <t>국내여행안내(12030103)</t>
    <phoneticPr fontId="6" type="noConversion"/>
  </si>
  <si>
    <r>
      <t xml:space="preserve">2022년도 모집현황 </t>
    </r>
    <r>
      <rPr>
        <b/>
        <sz val="12"/>
        <color rgb="FF0070C0"/>
        <rFont val="맑은 고딕"/>
        <family val="3"/>
        <charset val="129"/>
        <scheme val="minor"/>
      </rPr>
      <t>(승무원 포함)</t>
    </r>
    <phoneticPr fontId="14" type="noConversion"/>
  </si>
  <si>
    <r>
      <t>2022년도 모집현황</t>
    </r>
    <r>
      <rPr>
        <b/>
        <sz val="12"/>
        <color rgb="FF00B0F0"/>
        <rFont val="맑은 고딕"/>
        <family val="3"/>
        <charset val="129"/>
        <scheme val="minor"/>
      </rPr>
      <t xml:space="preserve"> </t>
    </r>
    <r>
      <rPr>
        <b/>
        <sz val="12"/>
        <color rgb="FFFF0000"/>
        <rFont val="맑은 고딕"/>
        <family val="3"/>
        <charset val="129"/>
        <scheme val="minor"/>
      </rPr>
      <t>(승무원 미포함)</t>
    </r>
    <phoneticPr fontId="14" type="noConversion"/>
  </si>
  <si>
    <t>응용SW엔지니어링(20010202)</t>
    <phoneticPr fontId="6" type="noConversion"/>
  </si>
  <si>
    <t>[과정평가형 자격] 정보처리산업기사 취득과정A</t>
    <phoneticPr fontId="6" type="noConversion"/>
  </si>
  <si>
    <t>(스마트혼합)[디지털디자인]스마트UIUX 반응형 웹디자인(웹퍼블리셔)_A</t>
    <phoneticPr fontId="6" type="noConversion"/>
  </si>
  <si>
    <t>편집디자인(포토샵,일러스트,인디자인)실무자 양성과정</t>
    <phoneticPr fontId="6" type="noConversion"/>
  </si>
  <si>
    <t>편집디자인(22010102)</t>
    <phoneticPr fontId="6" type="noConversion"/>
  </si>
  <si>
    <t>(디지털컨버전스) 임베디드 소프트웨어 융합 풀스택 개발자 양성과정 A</t>
    <phoneticPr fontId="6" type="noConversion"/>
  </si>
  <si>
    <t xml:space="preserve">관광통역안내사/국내여행안내사(필기)자격증과정 </t>
    <phoneticPr fontId="6" type="noConversion"/>
  </si>
  <si>
    <t>[과정평가형] 정보보안산업기사 취득과정A</t>
    <phoneticPr fontId="6" type="noConversion"/>
  </si>
  <si>
    <t>게임콘텐츠제작(08030205)</t>
    <phoneticPr fontId="6" type="noConversion"/>
  </si>
  <si>
    <t>게임기획 전문 실무자 양성과정</t>
    <phoneticPr fontId="6" type="noConversion"/>
  </si>
  <si>
    <t>모션그래픽 광고콘텐츠(영상제작,편집,CG) 제작 과정</t>
    <phoneticPr fontId="6" type="noConversion"/>
  </si>
  <si>
    <t xml:space="preserve">프론트엔드(UIUX) 개발자 양성과정 </t>
    <phoneticPr fontId="6" type="noConversion"/>
  </si>
  <si>
    <t>실내건축설계(14030104)</t>
    <phoneticPr fontId="6" type="noConversion"/>
  </si>
  <si>
    <t xml:space="preserve">실내건축 인테리어 설계(AutoCAD)와 디자인(3ds MAX) </t>
    <phoneticPr fontId="6" type="noConversion"/>
  </si>
  <si>
    <t>편집디자인(포토샵, 일러스트, 인디자인) 실무자 양성과정</t>
    <phoneticPr fontId="6" type="noConversion"/>
  </si>
  <si>
    <t> 실내건축설계(14030104)</t>
    <phoneticPr fontId="6" type="noConversion"/>
  </si>
  <si>
    <t xml:space="preserve">(BIM) BIM건축설계&amp;실내건축설계 실무 양성과정 A </t>
    <phoneticPr fontId="6" type="noConversion"/>
  </si>
  <si>
    <t xml:space="preserve">디지털디자인 UI/UX 웹디자인&amp;웹퍼블리셔 </t>
    <phoneticPr fontId="6" type="noConversion"/>
  </si>
  <si>
    <t xml:space="preserve">미용사(피부)국가자격증 취득과정 </t>
    <phoneticPr fontId="6" type="noConversion"/>
  </si>
  <si>
    <t>게임엔진 및 게임 네트워크 프로그래밍(Unity 활용) 개발자 양성</t>
    <phoneticPr fontId="6" type="noConversion"/>
  </si>
  <si>
    <t>(BIM)건축설계&amp;실내건축설계양성과정(CAD,MAX)A</t>
    <phoneticPr fontId="6" type="noConversion"/>
  </si>
  <si>
    <t xml:space="preserve">항공사지상직/CRS예약발권 </t>
    <phoneticPr fontId="6" type="noConversion"/>
  </si>
  <si>
    <t>편집(포토샵, 일러스트, 인디자인) 디자이너 양성과정</t>
    <phoneticPr fontId="6" type="noConversion"/>
  </si>
  <si>
    <t>편집디자인(22010102)</t>
    <phoneticPr fontId="6" type="noConversion"/>
  </si>
  <si>
    <t xml:space="preserve">[과정평가형]정보처리산업기사 취득과정A </t>
    <phoneticPr fontId="6" type="noConversion"/>
  </si>
  <si>
    <t xml:space="preserve"> 응용SW엔지니어링(20010202)</t>
    <phoneticPr fontId="6" type="noConversion"/>
  </si>
  <si>
    <t xml:space="preserve">자바기반 백엔드 개발자 양성과정B </t>
    <phoneticPr fontId="6" type="noConversion"/>
  </si>
  <si>
    <t>웹디자인&amp;퍼블리싱 실무자 양성과정</t>
    <phoneticPr fontId="6" type="noConversion"/>
  </si>
  <si>
    <t xml:space="preserve">관광통역안내사/국내여행안내사(필기)자격증과정 </t>
    <phoneticPr fontId="6" type="noConversion"/>
  </si>
  <si>
    <t>계</t>
    <phoneticPr fontId="6" type="noConversion"/>
  </si>
  <si>
    <t>IT</t>
    <phoneticPr fontId="6" type="noConversion"/>
  </si>
  <si>
    <t xml:space="preserve">[KDT] (핀테크) Spring 및 Ai 기반 핀테크 프로젝트 구축 </t>
    <phoneticPr fontId="6" type="noConversion"/>
  </si>
  <si>
    <t>컴퓨터</t>
    <phoneticPr fontId="6" type="noConversion"/>
  </si>
  <si>
    <t xml:space="preserve"> 광고콘텐츠제작(08030204)</t>
    <phoneticPr fontId="6" type="noConversion"/>
  </si>
  <si>
    <t>모션그래픽(영상편집 디자인) 실무자 양성과정 1회차</t>
    <phoneticPr fontId="6" type="noConversion"/>
  </si>
  <si>
    <t>IT</t>
    <phoneticPr fontId="6" type="noConversion"/>
  </si>
  <si>
    <t>KDT</t>
    <phoneticPr fontId="6" type="noConversion"/>
  </si>
  <si>
    <t>(KDT)스마트팩토리 MES 구축 전문가 양성과정</t>
    <phoneticPr fontId="6" type="noConversion"/>
  </si>
  <si>
    <t>강남</t>
    <phoneticPr fontId="6" type="noConversion"/>
  </si>
  <si>
    <t xml:space="preserve">광고콘텐츠 3D모션그래픽제작(에프터이펙트, 프리미어, C4D)과정 </t>
    <phoneticPr fontId="6" type="noConversion"/>
  </si>
  <si>
    <t>게임콘텐츠제작(08030205)</t>
    <phoneticPr fontId="6" type="noConversion"/>
  </si>
  <si>
    <t xml:space="preserve">자바 백엔드 개발자 양성과정A </t>
    <phoneticPr fontId="6" type="noConversion"/>
  </si>
  <si>
    <t>과평(국)</t>
    <phoneticPr fontId="6" type="noConversion"/>
  </si>
  <si>
    <t>신촌</t>
    <phoneticPr fontId="6" type="noConversion"/>
  </si>
  <si>
    <t>계</t>
    <phoneticPr fontId="6" type="noConversion"/>
  </si>
  <si>
    <t>게임콘텐츠제작(08030205)</t>
    <phoneticPr fontId="6" type="noConversion"/>
  </si>
  <si>
    <t xml:space="preserve">게임 3D그래픽 디자이너 양성과정(모델링,애니메이션) </t>
    <phoneticPr fontId="6" type="noConversion"/>
  </si>
  <si>
    <t>핀테크엔지니어링(20010210)</t>
    <phoneticPr fontId="6" type="noConversion"/>
  </si>
  <si>
    <t>홍대</t>
    <phoneticPr fontId="6" type="noConversion"/>
  </si>
  <si>
    <t>응용SW엔지니어링(20010202)</t>
    <phoneticPr fontId="6" type="noConversion"/>
  </si>
  <si>
    <t>게임기획 실무자 양성과정A</t>
    <phoneticPr fontId="6" type="noConversion"/>
  </si>
  <si>
    <t>대전</t>
    <phoneticPr fontId="6" type="noConversion"/>
  </si>
  <si>
    <t>계</t>
    <phoneticPr fontId="6" type="noConversion"/>
  </si>
  <si>
    <t>강남</t>
    <phoneticPr fontId="6" type="noConversion"/>
  </si>
  <si>
    <t>정보보호관리·운영(20010601)</t>
    <phoneticPr fontId="6" type="noConversion"/>
  </si>
  <si>
    <t>[과정평가형]정보보안산업기사 취득과정A</t>
    <phoneticPr fontId="6" type="noConversion"/>
  </si>
  <si>
    <t>국</t>
    <phoneticPr fontId="6" type="noConversion"/>
  </si>
  <si>
    <t>보안엔지니어링(20010206)</t>
    <phoneticPr fontId="6" type="noConversion"/>
  </si>
  <si>
    <t>(정보시스템 구축) 정보시스템 보안운영 및 보안사고 분석A</t>
    <phoneticPr fontId="6" type="noConversion"/>
  </si>
  <si>
    <t>인천</t>
    <phoneticPr fontId="6" type="noConversion"/>
  </si>
  <si>
    <t xml:space="preserve">자바(JAVA)기반 스프링 응용SW개발자 양성과정B </t>
    <phoneticPr fontId="6" type="noConversion"/>
  </si>
  <si>
    <t>5월</t>
    <phoneticPr fontId="6" type="noConversion"/>
  </si>
  <si>
    <t>5월</t>
    <phoneticPr fontId="6" type="noConversion"/>
  </si>
  <si>
    <t>광고콘텐츠제작(08030204)</t>
    <phoneticPr fontId="6" type="noConversion"/>
  </si>
  <si>
    <t>컴퓨터</t>
    <phoneticPr fontId="6" type="noConversion"/>
  </si>
  <si>
    <t>대전</t>
    <phoneticPr fontId="6" type="noConversion"/>
  </si>
  <si>
    <t>국</t>
    <phoneticPr fontId="6" type="noConversion"/>
  </si>
  <si>
    <t>응용SW엔지니어링(20010202)</t>
    <phoneticPr fontId="6" type="noConversion"/>
  </si>
  <si>
    <t>컴퓨터</t>
    <phoneticPr fontId="6" type="noConversion"/>
  </si>
  <si>
    <t>종로</t>
    <phoneticPr fontId="6" type="noConversion"/>
  </si>
  <si>
    <t>계</t>
    <phoneticPr fontId="6" type="noConversion"/>
  </si>
  <si>
    <t>UI/UX엔지니어링(20010207)</t>
    <phoneticPr fontId="6" type="noConversion"/>
  </si>
  <si>
    <t>IT</t>
    <phoneticPr fontId="6" type="noConversion"/>
  </si>
  <si>
    <t>노원</t>
    <phoneticPr fontId="6" type="noConversion"/>
  </si>
  <si>
    <t>계</t>
    <phoneticPr fontId="6" type="noConversion"/>
  </si>
  <si>
    <t>응용SW엔지니어링(20010202)</t>
    <phoneticPr fontId="6" type="noConversion"/>
  </si>
  <si>
    <t>IT</t>
    <phoneticPr fontId="6" type="noConversion"/>
  </si>
  <si>
    <t>신촌</t>
    <phoneticPr fontId="6" type="noConversion"/>
  </si>
  <si>
    <t>국</t>
    <phoneticPr fontId="6" type="noConversion"/>
  </si>
  <si>
    <t>컴퓨터</t>
    <phoneticPr fontId="6" type="noConversion"/>
  </si>
  <si>
    <t>대구</t>
    <phoneticPr fontId="6" type="noConversion"/>
  </si>
  <si>
    <t>디지털디자인(08020104)</t>
    <phoneticPr fontId="6" type="noConversion"/>
  </si>
  <si>
    <t>부평</t>
    <phoneticPr fontId="6" type="noConversion"/>
  </si>
  <si>
    <t>부산</t>
    <phoneticPr fontId="6" type="noConversion"/>
  </si>
  <si>
    <t>산대특</t>
    <phoneticPr fontId="6" type="noConversion"/>
  </si>
  <si>
    <t xml:space="preserve"> 정보기술개발(200102)</t>
    <phoneticPr fontId="6" type="noConversion"/>
  </si>
  <si>
    <t>강남</t>
    <phoneticPr fontId="6" type="noConversion"/>
  </si>
  <si>
    <t>KDT</t>
    <phoneticPr fontId="6" type="noConversion"/>
  </si>
  <si>
    <t>인공지능플랫폼구축(20010701)</t>
    <phoneticPr fontId="6" type="noConversion"/>
  </si>
  <si>
    <t>UI/UX기반 프론트엔드 개발자 양성과정B</t>
    <phoneticPr fontId="6" type="noConversion"/>
  </si>
  <si>
    <t xml:space="preserve">(AI 활용 소프트웨어 개발 및 응용) 자바 파이썬 기반 AI개발 및 응용 </t>
    <phoneticPr fontId="6" type="noConversion"/>
  </si>
  <si>
    <t>웹디자이너 양성과정</t>
    <phoneticPr fontId="6" type="noConversion"/>
  </si>
  <si>
    <t>AWS(클라우드) 기반 공공ㆍ빅데이터 활용 웹서비스 개발자 양성</t>
    <phoneticPr fontId="6" type="noConversion"/>
  </si>
  <si>
    <t>(스마트웹콘텐츠개발) 스마트웹 응용 프로그래밍 개발자 양성 과정A</t>
    <phoneticPr fontId="6" type="noConversion"/>
  </si>
  <si>
    <t xml:space="preserve">(디지털컨버전스) 임베디드 소프트웨어 융합 풀스택 개발자 양성과정 B </t>
    <phoneticPr fontId="6" type="noConversion"/>
  </si>
  <si>
    <t>UIUX 웹퍼블리셔 양성과정</t>
    <phoneticPr fontId="6" type="noConversion"/>
  </si>
  <si>
    <t>(스마트혼합)[디지털디자인]스마트UIUX 반응형 웹디자인(웹퍼블리셔)_B</t>
    <phoneticPr fontId="6" type="noConversion"/>
  </si>
  <si>
    <t>[KDT] AI기반 챗봇 및 OCR 개발 전문가 과정</t>
    <phoneticPr fontId="6" type="noConversion"/>
  </si>
  <si>
    <t>6월</t>
    <phoneticPr fontId="6" type="noConversion"/>
  </si>
  <si>
    <t>6월</t>
    <phoneticPr fontId="6" type="noConversion"/>
  </si>
  <si>
    <t>승무원</t>
    <phoneticPr fontId="6" type="noConversion"/>
  </si>
  <si>
    <t>강남</t>
    <phoneticPr fontId="6" type="noConversion"/>
  </si>
  <si>
    <t>계</t>
    <phoneticPr fontId="6" type="noConversion"/>
  </si>
  <si>
    <t>국내여행안내(12030103)</t>
    <phoneticPr fontId="6" type="noConversion"/>
  </si>
  <si>
    <t>5월</t>
    <phoneticPr fontId="6" type="noConversion"/>
  </si>
  <si>
    <t xml:space="preserve"> 여행상품상담(12030102)</t>
    <phoneticPr fontId="6" type="noConversion"/>
  </si>
  <si>
    <t>6월</t>
    <phoneticPr fontId="6" type="noConversion"/>
  </si>
  <si>
    <t>항공여객운송서비스(09040205)</t>
    <phoneticPr fontId="6" type="noConversion"/>
  </si>
  <si>
    <t>IT</t>
    <phoneticPr fontId="6" type="noConversion"/>
  </si>
  <si>
    <t>부산</t>
    <phoneticPr fontId="6" type="noConversion"/>
  </si>
  <si>
    <t>과평(계)</t>
    <phoneticPr fontId="6" type="noConversion"/>
  </si>
  <si>
    <t>(과정평가형 자격) 정보처리기능사 취득과정A</t>
    <phoneticPr fontId="6" type="noConversion"/>
  </si>
  <si>
    <t>응용SW엔지니어링(20010202)</t>
    <phoneticPr fontId="6" type="noConversion"/>
  </si>
  <si>
    <t>부평</t>
    <phoneticPr fontId="6" type="noConversion"/>
  </si>
  <si>
    <t>대전</t>
    <phoneticPr fontId="6" type="noConversion"/>
  </si>
  <si>
    <t>웹(퍼블리셔) 프론트엔드(Javascript,React) 양성과정</t>
    <phoneticPr fontId="6" type="noConversion"/>
  </si>
  <si>
    <t>게임콘텐츠제작(08030205)</t>
    <phoneticPr fontId="6" type="noConversion"/>
  </si>
  <si>
    <t>게임 2D/3D그래픽 디자이너 과정</t>
    <phoneticPr fontId="6" type="noConversion"/>
  </si>
  <si>
    <t>게임</t>
    <phoneticPr fontId="6" type="noConversion"/>
  </si>
  <si>
    <t>부평</t>
    <phoneticPr fontId="6" type="noConversion"/>
  </si>
  <si>
    <t>IT</t>
    <phoneticPr fontId="6" type="noConversion"/>
  </si>
  <si>
    <t>KDT</t>
    <phoneticPr fontId="6" type="noConversion"/>
  </si>
  <si>
    <t>보안엔지니어링(20010206)</t>
    <phoneticPr fontId="6" type="noConversion"/>
  </si>
  <si>
    <t>노원</t>
    <phoneticPr fontId="6" type="noConversion"/>
  </si>
  <si>
    <t>강남</t>
    <phoneticPr fontId="6" type="noConversion"/>
  </si>
  <si>
    <t>컴퓨터</t>
    <phoneticPr fontId="6" type="noConversion"/>
  </si>
  <si>
    <t>광고콘텐츠제작(08030204)</t>
    <phoneticPr fontId="6" type="noConversion"/>
  </si>
  <si>
    <t>구월</t>
    <phoneticPr fontId="6" type="noConversion"/>
  </si>
  <si>
    <t>계</t>
    <phoneticPr fontId="6" type="noConversion"/>
  </si>
  <si>
    <t xml:space="preserve"> 디지털디자인(08020104)</t>
    <phoneticPr fontId="6" type="noConversion"/>
  </si>
  <si>
    <t>계</t>
    <phoneticPr fontId="6" type="noConversion"/>
  </si>
  <si>
    <t>신촌</t>
    <phoneticPr fontId="6" type="noConversion"/>
  </si>
  <si>
    <t>국</t>
    <phoneticPr fontId="6" type="noConversion"/>
  </si>
  <si>
    <t>안산</t>
    <phoneticPr fontId="6" type="noConversion"/>
  </si>
  <si>
    <t>웹디자이너 실무자 양성과정</t>
    <phoneticPr fontId="6" type="noConversion"/>
  </si>
  <si>
    <t>(게임콘텐츠제작)유니티프로그래밍전문가양성과정</t>
    <phoneticPr fontId="6" type="noConversion"/>
  </si>
  <si>
    <t>자바기반 백엔드 개발자 양성과정C</t>
    <phoneticPr fontId="6" type="noConversion"/>
  </si>
  <si>
    <t>(게임콘텐츠제작)유니티게임프로그레머양성과정</t>
    <phoneticPr fontId="6" type="noConversion"/>
  </si>
  <si>
    <t xml:space="preserve">[스마트혼합훈련] 2D모션그래픽(영상디자인) 양성과정 </t>
    <phoneticPr fontId="6" type="noConversion"/>
  </si>
  <si>
    <t>7월</t>
    <phoneticPr fontId="6" type="noConversion"/>
  </si>
  <si>
    <t>게임콘텐츠제작(08030205)</t>
    <phoneticPr fontId="6" type="noConversion"/>
  </si>
  <si>
    <t>컴퓨터</t>
    <phoneticPr fontId="6" type="noConversion"/>
  </si>
  <si>
    <t>노원</t>
    <phoneticPr fontId="6" type="noConversion"/>
  </si>
  <si>
    <t>계</t>
    <phoneticPr fontId="6" type="noConversion"/>
  </si>
  <si>
    <t>광고콘텐츠제작(08030204)</t>
    <phoneticPr fontId="6" type="noConversion"/>
  </si>
  <si>
    <t>IT</t>
    <phoneticPr fontId="6" type="noConversion"/>
  </si>
  <si>
    <t>인천</t>
    <phoneticPr fontId="6" type="noConversion"/>
  </si>
  <si>
    <t>응용SW엔지니어링(20010202)</t>
    <phoneticPr fontId="6" type="noConversion"/>
  </si>
  <si>
    <t>뷰티</t>
    <phoneticPr fontId="6" type="noConversion"/>
  </si>
  <si>
    <t>부산</t>
    <phoneticPr fontId="6" type="noConversion"/>
  </si>
  <si>
    <t>계</t>
    <phoneticPr fontId="6" type="noConversion"/>
  </si>
  <si>
    <t>강남</t>
    <phoneticPr fontId="6" type="noConversion"/>
  </si>
  <si>
    <t>KDT</t>
    <phoneticPr fontId="6" type="noConversion"/>
  </si>
  <si>
    <t>핀테크엔지니어링(20010210)</t>
    <phoneticPr fontId="6" type="noConversion"/>
  </si>
  <si>
    <t>대구</t>
    <phoneticPr fontId="6" type="noConversion"/>
  </si>
  <si>
    <t>국</t>
    <phoneticPr fontId="6" type="noConversion"/>
  </si>
  <si>
    <t>정보보호관리·운영(20010601)</t>
    <phoneticPr fontId="6" type="noConversion"/>
  </si>
  <si>
    <t>신촌</t>
    <phoneticPr fontId="6" type="noConversion"/>
  </si>
  <si>
    <t>과평(국)</t>
    <phoneticPr fontId="6" type="noConversion"/>
  </si>
  <si>
    <t>IT</t>
    <phoneticPr fontId="6" type="noConversion"/>
  </si>
  <si>
    <t>인공지능플랫폼구축(20010701)</t>
    <phoneticPr fontId="6" type="noConversion"/>
  </si>
  <si>
    <t>산대특</t>
    <phoneticPr fontId="6" type="noConversion"/>
  </si>
  <si>
    <t xml:space="preserve">모션그래픽&amp;영상편집 전문가(영상제작자 과정) </t>
    <phoneticPr fontId="6" type="noConversion"/>
  </si>
  <si>
    <t>자바(JAVA)기반 스프링 응용SW개발자 양성과정B</t>
    <phoneticPr fontId="6" type="noConversion"/>
  </si>
  <si>
    <t xml:space="preserve">미용사(네일)국가자격증 취득과정 </t>
    <phoneticPr fontId="6" type="noConversion"/>
  </si>
  <si>
    <t>(핀테크) Spring 및 Ai 기반 핀테크 프로젝트 구축</t>
    <phoneticPr fontId="6" type="noConversion"/>
  </si>
  <si>
    <t xml:space="preserve">[과정평가형]정보보안산업기사 취득과정B </t>
    <phoneticPr fontId="6" type="noConversion"/>
  </si>
  <si>
    <t xml:space="preserve">[과정평가형 자격] 정보처리산업기사 취득과정B </t>
    <phoneticPr fontId="6" type="noConversion"/>
  </si>
  <si>
    <t>[KDT] AI기반 챗봇 및 OCR 개발 전문가 과정</t>
    <phoneticPr fontId="6" type="noConversion"/>
  </si>
  <si>
    <t>데이터사이언스(AI)를 활용한 웹서비스 융합 개발자 양성 과정</t>
    <phoneticPr fontId="6" type="noConversion"/>
  </si>
  <si>
    <t>8월</t>
    <phoneticPr fontId="6" type="noConversion"/>
  </si>
  <si>
    <t>8월</t>
    <phoneticPr fontId="6" type="noConversion"/>
  </si>
  <si>
    <t>8월</t>
    <phoneticPr fontId="6" type="noConversion"/>
  </si>
  <si>
    <t>승무원</t>
    <phoneticPr fontId="6" type="noConversion"/>
  </si>
  <si>
    <t>부산</t>
    <phoneticPr fontId="6" type="noConversion"/>
  </si>
  <si>
    <t>계</t>
    <phoneticPr fontId="6" type="noConversion"/>
  </si>
  <si>
    <t>강남</t>
    <phoneticPr fontId="6" type="noConversion"/>
  </si>
  <si>
    <t>핀테크엔지니어링(20010210)</t>
    <phoneticPr fontId="6" type="noConversion"/>
  </si>
  <si>
    <t>IT</t>
    <phoneticPr fontId="6" type="noConversion"/>
  </si>
  <si>
    <t>노원</t>
    <phoneticPr fontId="6" type="noConversion"/>
  </si>
  <si>
    <t>UI/UX기반 프론트엔드 개발자 양성 과정A</t>
    <phoneticPr fontId="6" type="noConversion"/>
  </si>
  <si>
    <t xml:space="preserve"> 응용SW엔지니어링(20010202)</t>
    <phoneticPr fontId="6" type="noConversion"/>
  </si>
  <si>
    <t>(스마트웹콘텐츠개발) 스마트웹 응용 프로그래밍 개발자 양성 과정A_2회차</t>
    <phoneticPr fontId="6" type="noConversion"/>
  </si>
  <si>
    <t>IT</t>
    <phoneticPr fontId="6" type="noConversion"/>
  </si>
  <si>
    <t>과평(국)</t>
    <phoneticPr fontId="6" type="noConversion"/>
  </si>
  <si>
    <t xml:space="preserve"> 응용SW엔지니어링(20010202)</t>
    <phoneticPr fontId="6" type="noConversion"/>
  </si>
  <si>
    <t xml:space="preserve">(과정평가형 자격) 정보처리기능사 취득과정B </t>
    <phoneticPr fontId="6" type="noConversion"/>
  </si>
  <si>
    <t>인천</t>
    <phoneticPr fontId="6" type="noConversion"/>
  </si>
  <si>
    <t>UI/UX엔지니어링(20010207)</t>
    <phoneticPr fontId="6" type="noConversion"/>
  </si>
  <si>
    <t>UIUX 웹퍼블리셔 양성과정</t>
    <phoneticPr fontId="6" type="noConversion"/>
  </si>
  <si>
    <t>게임</t>
    <phoneticPr fontId="6" type="noConversion"/>
  </si>
  <si>
    <t>국</t>
    <phoneticPr fontId="6" type="noConversion"/>
  </si>
  <si>
    <t xml:space="preserve"> 게임콘텐츠제작(08030205)</t>
    <phoneticPr fontId="6" type="noConversion"/>
  </si>
  <si>
    <t>(게임콘텐츠제작) 유니티 게임 프로그래머 개발자 양성과정</t>
    <phoneticPr fontId="6" type="noConversion"/>
  </si>
  <si>
    <t>뷰티</t>
    <phoneticPr fontId="6" type="noConversion"/>
  </si>
  <si>
    <t>부산</t>
    <phoneticPr fontId="6" type="noConversion"/>
  </si>
  <si>
    <t>계</t>
    <phoneticPr fontId="6" type="noConversion"/>
  </si>
  <si>
    <t>수원</t>
    <phoneticPr fontId="6" type="noConversion"/>
  </si>
  <si>
    <t>계</t>
    <phoneticPr fontId="6" type="noConversion"/>
  </si>
  <si>
    <t xml:space="preserve"> 네일미용(12010104)</t>
    <phoneticPr fontId="6" type="noConversion"/>
  </si>
  <si>
    <t>컴퓨터</t>
    <phoneticPr fontId="6" type="noConversion"/>
  </si>
  <si>
    <t>광주</t>
    <phoneticPr fontId="6" type="noConversion"/>
  </si>
  <si>
    <t>디지털디자인(08020104)</t>
    <phoneticPr fontId="6" type="noConversion"/>
  </si>
  <si>
    <t>웹디자이너 양성과정_2회차</t>
    <phoneticPr fontId="6" type="noConversion"/>
  </si>
  <si>
    <t>구월</t>
    <phoneticPr fontId="6" type="noConversion"/>
  </si>
  <si>
    <t>편집디자인(22010102)</t>
    <phoneticPr fontId="6" type="noConversion"/>
  </si>
  <si>
    <t xml:space="preserve">편집디자인(포토샵, 일러스트, 인디자인) 실무자 양성과정 </t>
    <phoneticPr fontId="6" type="noConversion"/>
  </si>
  <si>
    <t xml:space="preserve"> 실내디자인(08020107)</t>
    <phoneticPr fontId="6" type="noConversion"/>
  </si>
  <si>
    <t>(과정평가형 자격) 실내건축산업기사 취득과정_B</t>
    <phoneticPr fontId="6" type="noConversion"/>
  </si>
  <si>
    <t>영상편집&amp;모션그래픽제작(프리미어,에프터이펙트)실무자 양성 과정</t>
    <phoneticPr fontId="6" type="noConversion"/>
  </si>
  <si>
    <t>대전</t>
    <phoneticPr fontId="6" type="noConversion"/>
  </si>
  <si>
    <t>국</t>
    <phoneticPr fontId="6" type="noConversion"/>
  </si>
  <si>
    <t>응용SW엔지니어링(20010202)</t>
    <phoneticPr fontId="6" type="noConversion"/>
  </si>
  <si>
    <t>(디지털컨버전스) 임베디드 소프트웨어 융합 풀스택 개발자 양성과정 C</t>
    <phoneticPr fontId="6" type="noConversion"/>
  </si>
  <si>
    <t>컴퓨터</t>
    <phoneticPr fontId="6" type="noConversion"/>
  </si>
  <si>
    <t>부산</t>
    <phoneticPr fontId="6" type="noConversion"/>
  </si>
  <si>
    <t xml:space="preserve">(출판)디지털퍼블리싱 실무자양성과정A </t>
    <phoneticPr fontId="6" type="noConversion"/>
  </si>
  <si>
    <t>부평</t>
    <phoneticPr fontId="6" type="noConversion"/>
  </si>
  <si>
    <t>과평(계)</t>
    <phoneticPr fontId="6" type="noConversion"/>
  </si>
  <si>
    <t>건축설계(14030101)</t>
    <phoneticPr fontId="6" type="noConversion"/>
  </si>
  <si>
    <t xml:space="preserve">[과정평가형] 전산응용건축제도기능사 취득과정 </t>
    <phoneticPr fontId="6" type="noConversion"/>
  </si>
  <si>
    <t>분당</t>
    <phoneticPr fontId="6" type="noConversion"/>
  </si>
  <si>
    <t>광고콘텐츠제작(08030204)</t>
    <phoneticPr fontId="6" type="noConversion"/>
  </si>
  <si>
    <t>모션그래픽&amp;영상편집 전문가(영상제작 과정)</t>
    <phoneticPr fontId="6" type="noConversion"/>
  </si>
  <si>
    <t>실내건축설계(14030104)</t>
    <phoneticPr fontId="6" type="noConversion"/>
  </si>
  <si>
    <t>실내건축 인테리어 설계(AutoCAD)와 디자인(3ds MAX)</t>
    <phoneticPr fontId="6" type="noConversion"/>
  </si>
  <si>
    <t>일산</t>
    <phoneticPr fontId="6" type="noConversion"/>
  </si>
  <si>
    <t>디지털디자인 UI/UX 웹디자인&amp;웹퍼블리셔</t>
    <phoneticPr fontId="6" type="noConversion"/>
  </si>
  <si>
    <t>홍대</t>
    <phoneticPr fontId="6" type="noConversion"/>
  </si>
  <si>
    <t>모션그래픽(영상편집 디자인) 실무자 양성과정 2회차</t>
    <phoneticPr fontId="6" type="noConversion"/>
  </si>
  <si>
    <t>편집(포토샵, 일러스트, 인디자인) 디자이너 양성과정 2회차</t>
    <phoneticPr fontId="6" type="noConversion"/>
  </si>
  <si>
    <t>미용사(네일)국가자격증 취득과정</t>
    <phoneticPr fontId="6" type="noConversion"/>
  </si>
  <si>
    <t>네일미용(12010104)</t>
    <phoneticPr fontId="6" type="noConversion"/>
  </si>
  <si>
    <t>피부미용(12010102)</t>
    <phoneticPr fontId="6" type="noConversion"/>
  </si>
  <si>
    <t xml:space="preserve">미용사(피부)국가자격증 취득과정 </t>
    <phoneticPr fontId="6" type="noConversion"/>
  </si>
  <si>
    <t xml:space="preserve"> 항공여객운송서비스(09040205)</t>
    <phoneticPr fontId="6" type="noConversion"/>
  </si>
  <si>
    <t>8월</t>
    <phoneticPr fontId="6" type="noConversion"/>
  </si>
  <si>
    <t>8월</t>
    <phoneticPr fontId="6" type="noConversion"/>
  </si>
  <si>
    <t>승무원</t>
    <phoneticPr fontId="6" type="noConversion"/>
  </si>
  <si>
    <t>강남</t>
    <phoneticPr fontId="6" type="noConversion"/>
  </si>
  <si>
    <t>강남</t>
    <phoneticPr fontId="6" type="noConversion"/>
  </si>
  <si>
    <t>계</t>
    <phoneticPr fontId="6" type="noConversion"/>
  </si>
  <si>
    <t>항공사CRS(예약발권)/DCS(탑승수속)과정</t>
    <phoneticPr fontId="6" type="noConversion"/>
  </si>
  <si>
    <t>항공여객운송서비스(09040205)</t>
    <phoneticPr fontId="6" type="noConversion"/>
  </si>
  <si>
    <t xml:space="preserve">여행사예약발권(CRS)/오퍼레이터(OP)과정 </t>
    <phoneticPr fontId="6" type="noConversion"/>
  </si>
  <si>
    <t>여행상품상담(12030102)</t>
    <phoneticPr fontId="6" type="noConversion"/>
  </si>
  <si>
    <t xml:space="preserve">항공사CRS(예약발권)/DCS(탑승수속)과정 </t>
    <phoneticPr fontId="6" type="noConversion"/>
  </si>
  <si>
    <t xml:space="preserve">관광통역안내사/국내여행안내사(필기)자격증과정 </t>
    <phoneticPr fontId="6" type="noConversion"/>
  </si>
  <si>
    <t xml:space="preserve">여행사예약발권(CRS)/오퍼레이터(OP)과정 </t>
    <phoneticPr fontId="6" type="noConversion"/>
  </si>
  <si>
    <t xml:space="preserve">항공사지상직/CRS예약발권 </t>
    <phoneticPr fontId="6" type="noConversion"/>
  </si>
  <si>
    <t>과평(국)</t>
    <phoneticPr fontId="6" type="noConversion"/>
  </si>
  <si>
    <t>[과정평가형 자격] 정보처리기능사 취득과정A</t>
    <phoneticPr fontId="6" type="noConversion"/>
  </si>
  <si>
    <t>과평(국)</t>
    <phoneticPr fontId="6" type="noConversion"/>
  </si>
  <si>
    <t>실내디자인(08020107)</t>
    <phoneticPr fontId="6" type="noConversion"/>
  </si>
  <si>
    <t>[과정평가형]실내건축산업기사 취득과정A</t>
    <phoneticPr fontId="6" type="noConversion"/>
  </si>
  <si>
    <t>편집디자인(22010102)</t>
    <phoneticPr fontId="6" type="noConversion"/>
  </si>
  <si>
    <t>편집디자인(포토샵,일러스트,인디자인)실무자 양성과정</t>
    <phoneticPr fontId="6" type="noConversion"/>
  </si>
  <si>
    <t>계</t>
    <phoneticPr fontId="6" type="noConversion"/>
  </si>
  <si>
    <t>실내건축설계(14030104)</t>
    <phoneticPr fontId="6" type="noConversion"/>
  </si>
  <si>
    <t xml:space="preserve">실내건축설계(Auto CAD, 3DsMax)양성과정 </t>
    <phoneticPr fontId="6" type="noConversion"/>
  </si>
  <si>
    <t>게임</t>
    <phoneticPr fontId="6" type="noConversion"/>
  </si>
  <si>
    <t>분당</t>
    <phoneticPr fontId="6" type="noConversion"/>
  </si>
  <si>
    <t>게임콘텐츠제작(08030205)</t>
    <phoneticPr fontId="6" type="noConversion"/>
  </si>
  <si>
    <t>게임기획 실무자양성과정</t>
    <phoneticPr fontId="6" type="noConversion"/>
  </si>
  <si>
    <t>게임</t>
    <phoneticPr fontId="6" type="noConversion"/>
  </si>
  <si>
    <t>게임콘텐츠제작(08030205)</t>
    <phoneticPr fontId="6" type="noConversion"/>
  </si>
  <si>
    <t>게임프로그래머 양성과정(유니티)</t>
    <phoneticPr fontId="6" type="noConversion"/>
  </si>
  <si>
    <t>컴퓨터</t>
    <phoneticPr fontId="6" type="noConversion"/>
  </si>
  <si>
    <t>구월</t>
    <phoneticPr fontId="6" type="noConversion"/>
  </si>
  <si>
    <t>UI/UX엔지니어링(20010207)</t>
    <phoneticPr fontId="6" type="noConversion"/>
  </si>
  <si>
    <t>프론트엔드(UIUX) 개발자 양성과정</t>
    <phoneticPr fontId="6" type="noConversion"/>
  </si>
  <si>
    <t>컴퓨터</t>
    <phoneticPr fontId="6" type="noConversion"/>
  </si>
  <si>
    <t>대구</t>
    <phoneticPr fontId="6" type="noConversion"/>
  </si>
  <si>
    <t>국</t>
    <phoneticPr fontId="6" type="noConversion"/>
  </si>
  <si>
    <t>디지털디자인(08020104)</t>
    <phoneticPr fontId="6" type="noConversion"/>
  </si>
  <si>
    <t>(스마트혼합)[디지털디자인]스마트UIUX 반응형 웹디자인(웹퍼블리셔)_C</t>
    <phoneticPr fontId="6" type="noConversion"/>
  </si>
  <si>
    <t>울산</t>
    <phoneticPr fontId="6" type="noConversion"/>
  </si>
  <si>
    <t>UI/UX엔지니어링(20010207)</t>
    <phoneticPr fontId="6" type="noConversion"/>
  </si>
  <si>
    <t xml:space="preserve">[계좌제]UIUX 웹퍼블리셔 양성과정 </t>
    <phoneticPr fontId="6" type="noConversion"/>
  </si>
  <si>
    <t>강남</t>
    <phoneticPr fontId="6" type="noConversion"/>
  </si>
  <si>
    <t>KDT</t>
    <phoneticPr fontId="6" type="noConversion"/>
  </si>
  <si>
    <t xml:space="preserve"> 인공지능플랫폼구축(20010701)</t>
    <phoneticPr fontId="6" type="noConversion"/>
  </si>
  <si>
    <t>AI기반 챗봇 및 OCR 개발 전문가 과정</t>
    <phoneticPr fontId="6" type="noConversion"/>
  </si>
  <si>
    <t>IT</t>
    <phoneticPr fontId="6" type="noConversion"/>
  </si>
  <si>
    <t>보안엔지니어링(20010206)</t>
    <phoneticPr fontId="6" type="noConversion"/>
  </si>
  <si>
    <t>(정보시스템 구축) 정보시스템 보안운영 및 보안사고 분석B</t>
    <phoneticPr fontId="6" type="noConversion"/>
  </si>
  <si>
    <t xml:space="preserve"> 게임콘텐츠제작(08030205)</t>
    <phoneticPr fontId="6" type="noConversion"/>
  </si>
  <si>
    <t>게임 프로그래밍(Unity 활용) 개발자 양성</t>
    <phoneticPr fontId="6" type="noConversion"/>
  </si>
  <si>
    <t>10월</t>
    <phoneticPr fontId="6" type="noConversion"/>
  </si>
  <si>
    <t>10월</t>
    <phoneticPr fontId="6" type="noConversion"/>
  </si>
  <si>
    <t>강남</t>
    <phoneticPr fontId="6" type="noConversion"/>
  </si>
  <si>
    <t>계</t>
    <phoneticPr fontId="6" type="noConversion"/>
  </si>
  <si>
    <t>항공여객운송서비스(09040205)</t>
    <phoneticPr fontId="6" type="noConversion"/>
  </si>
  <si>
    <t>항공사CRS(예약발권)/DCS(탑승수속)과정</t>
    <phoneticPr fontId="6" type="noConversion"/>
  </si>
  <si>
    <t>승무원</t>
    <phoneticPr fontId="6" type="noConversion"/>
  </si>
  <si>
    <t>여행상품상담(12030102)</t>
    <phoneticPr fontId="6" type="noConversion"/>
  </si>
  <si>
    <t>10월</t>
    <phoneticPr fontId="6" type="noConversion"/>
  </si>
  <si>
    <t>10월</t>
    <phoneticPr fontId="6" type="noConversion"/>
  </si>
  <si>
    <t>여행사예약발권(CRS)/오퍼레이터(OP)과정</t>
    <phoneticPr fontId="6" type="noConversion"/>
  </si>
  <si>
    <t>게임기획 실무자 양성과정</t>
    <phoneticPr fontId="6" type="noConversion"/>
  </si>
  <si>
    <t xml:space="preserve"> 핀테크엔지니어링(20010210)</t>
    <phoneticPr fontId="6" type="noConversion"/>
  </si>
  <si>
    <t>(핀테크) Spring 기반 핀테크 개발자 양성과정</t>
    <phoneticPr fontId="6" type="noConversion"/>
  </si>
  <si>
    <t>[과정평가형] 정보보안산업기사 취득과정B</t>
    <phoneticPr fontId="6" type="noConversion"/>
  </si>
  <si>
    <t>게임 디자인 2D그래픽 디자이너 양성(포토샵과 일러스트 활용)</t>
    <phoneticPr fontId="6" type="noConversion"/>
  </si>
  <si>
    <t>게임 프로그래머 개발자 양성 (유니티)</t>
    <phoneticPr fontId="6" type="noConversion"/>
  </si>
  <si>
    <t>게임 콘텐츠 기획 실무자 양성</t>
    <phoneticPr fontId="6" type="noConversion"/>
  </si>
  <si>
    <t>게임프로그래머 양성과정(유니티) B</t>
    <phoneticPr fontId="6" type="noConversion"/>
  </si>
  <si>
    <t>게임프로그래머 유니티 양성과정</t>
    <phoneticPr fontId="6" type="noConversion"/>
  </si>
  <si>
    <t>(디지털컨버전스) 임베디드 소프트웨어 융합 풀스택 개발자 양성과정 D</t>
    <phoneticPr fontId="6" type="noConversion"/>
  </si>
  <si>
    <t xml:space="preserve">(디지털컨버전스) 임베디드 소프트웨어 융합 풀스택 개발자 양성 과정A </t>
    <phoneticPr fontId="6" type="noConversion"/>
  </si>
  <si>
    <t>게임프로그래밍 개발자 양성과정B</t>
    <phoneticPr fontId="6" type="noConversion"/>
  </si>
  <si>
    <t>프롬프트AI &amp; Open API &amp; 공공데이터를 활용한 웹/앱 개발자 양성 과정</t>
    <phoneticPr fontId="6" type="noConversion"/>
  </si>
  <si>
    <t>(BIM) BIM건축설계&amp;실내건축설계 실무 양성과정 B</t>
    <phoneticPr fontId="6" type="noConversion"/>
  </si>
  <si>
    <t>[산대특] 데이터 사이언스(AI)를 활용한 웹서비스 융합개발자 양성 과정</t>
    <phoneticPr fontId="6" type="noConversion"/>
  </si>
  <si>
    <t>(산대특)_빅데이터를 활용한 AI챗봇&amp;광학기술 개발자 과정_육성</t>
    <phoneticPr fontId="6" type="noConversion"/>
  </si>
  <si>
    <t>게임 프로그래밍(Unity) 개발자 양성과정</t>
    <phoneticPr fontId="6" type="noConversion"/>
  </si>
  <si>
    <t>모션그래픽(영상편집 디자인) 실무자 양성과정</t>
    <phoneticPr fontId="6" type="noConversion"/>
  </si>
  <si>
    <t>(정보보안)웹서버 개발 및 웹보안 솔루션 구축 융합</t>
    <phoneticPr fontId="6" type="noConversion"/>
  </si>
  <si>
    <t xml:space="preserve"> 게임콘텐츠제작(08030205</t>
    <phoneticPr fontId="6" type="noConversion"/>
  </si>
  <si>
    <t>게임 프로그래밍 개발자 양성과정_유니티(Unity)</t>
    <phoneticPr fontId="6" type="noConversion"/>
  </si>
  <si>
    <t>(산대특) Node.js와 React.js를 활용한 풀스택 개발자 양성과정_육성</t>
    <phoneticPr fontId="6" type="noConversion"/>
  </si>
  <si>
    <t xml:space="preserve">(스마트혼합)(BIM)BIM실내건축설계과정_A </t>
    <phoneticPr fontId="6" type="noConversion"/>
  </si>
  <si>
    <t>여행사예약발권(CRS)/오퍼레이터(OP)과정</t>
    <phoneticPr fontId="6" type="noConversion"/>
  </si>
  <si>
    <t>승무원</t>
    <phoneticPr fontId="6" type="noConversion"/>
  </si>
  <si>
    <t>강남</t>
    <phoneticPr fontId="6" type="noConversion"/>
  </si>
  <si>
    <t>계</t>
    <phoneticPr fontId="6" type="noConversion"/>
  </si>
  <si>
    <t xml:space="preserve"> 여행상품상담(12030102)</t>
    <phoneticPr fontId="6" type="noConversion"/>
  </si>
  <si>
    <t>항공사CRS(예약발권)/DCS(탑승수속)과정</t>
    <phoneticPr fontId="6" type="noConversion"/>
  </si>
  <si>
    <t>승무원</t>
    <phoneticPr fontId="6" type="noConversion"/>
  </si>
  <si>
    <t>강남</t>
    <phoneticPr fontId="6" type="noConversion"/>
  </si>
  <si>
    <t>계</t>
    <phoneticPr fontId="6" type="noConversion"/>
  </si>
  <si>
    <t>항공여객운송서비스(09040205)</t>
    <phoneticPr fontId="6" type="noConversion"/>
  </si>
  <si>
    <t>천안</t>
    <phoneticPr fontId="6" type="noConversion"/>
  </si>
  <si>
    <t>정보기술개발(200102)</t>
    <phoneticPr fontId="6" type="noConversion"/>
  </si>
  <si>
    <t>KDT</t>
    <phoneticPr fontId="6" type="noConversion"/>
  </si>
  <si>
    <t>산대특</t>
    <phoneticPr fontId="6" type="noConversion"/>
  </si>
  <si>
    <t>일반고</t>
    <phoneticPr fontId="6" type="noConversion"/>
  </si>
  <si>
    <t>지점명</t>
  </si>
  <si>
    <t>계</t>
  </si>
  <si>
    <t>평균 : 모집률</t>
  </si>
  <si>
    <t>지점</t>
  </si>
  <si>
    <t>국</t>
  </si>
  <si>
    <t>일반고</t>
  </si>
  <si>
    <t>KDT</t>
  </si>
  <si>
    <t>과평(국)</t>
  </si>
  <si>
    <t>(승무원 미포함) 계</t>
    <phoneticPr fontId="6" type="noConversion"/>
  </si>
  <si>
    <t>(승무원 포함) 계</t>
    <phoneticPr fontId="6" type="noConversion"/>
  </si>
  <si>
    <t>■ 2023년 개강현황 (승무원 포함)</t>
    <phoneticPr fontId="6" type="noConversion"/>
  </si>
  <si>
    <t>계(혼)</t>
  </si>
  <si>
    <t>과평(계)</t>
  </si>
  <si>
    <t>국(혼)</t>
  </si>
  <si>
    <t>산대특</t>
  </si>
  <si>
    <t>합계 : 신청인원</t>
  </si>
  <si>
    <t>■ 2024년 개강현황</t>
    <phoneticPr fontId="6" type="noConversion"/>
  </si>
  <si>
    <t>시각디자인(08020101)</t>
    <phoneticPr fontId="6" type="noConversion"/>
  </si>
  <si>
    <t>안양</t>
    <phoneticPr fontId="6" type="noConversion"/>
  </si>
  <si>
    <t>편집디자인 (포토샵, 일러스트, 인디자인) 양성과정</t>
    <phoneticPr fontId="6" type="noConversion"/>
  </si>
  <si>
    <t xml:space="preserve">(디지털컨버전스)SQF기반 데이터융합 풀스택(Spring,React) 개발자 양성 과정 </t>
    <phoneticPr fontId="6" type="noConversion"/>
  </si>
  <si>
    <t>(산대특) 클라우드 기반 가상화 솔루션 보안전문가 양성_육성</t>
    <phoneticPr fontId="6" type="noConversion"/>
  </si>
  <si>
    <t>관광통역안내사/국내여행안내사 필기 자격증과정</t>
    <phoneticPr fontId="6" type="noConversion"/>
  </si>
  <si>
    <t>(게임콘텐츠제작) 게임프로그래머 개발자 전문 양성과정</t>
    <phoneticPr fontId="6" type="noConversion"/>
  </si>
  <si>
    <t>영상편집&amp;모션그래픽제작(프리미어,에프터이펙트)실무자 양성과정</t>
    <phoneticPr fontId="6" type="noConversion"/>
  </si>
  <si>
    <t>자바 백엔드 개발자 양성과정</t>
    <phoneticPr fontId="6" type="noConversion"/>
  </si>
  <si>
    <t>[디지털디자인] UIUX 반응형 웹디자인/퍼블리셔 실무양성과정</t>
    <phoneticPr fontId="6" type="noConversion"/>
  </si>
  <si>
    <t xml:space="preserve">실내건축설계(CAD, 스케치업) 인테리어디자이너 양성과정 </t>
    <phoneticPr fontId="6" type="noConversion"/>
  </si>
  <si>
    <t xml:space="preserve">유니티게임프로그램개발자양성과정 </t>
    <phoneticPr fontId="6" type="noConversion"/>
  </si>
  <si>
    <t>(BIM) BIM건축설계&amp;실내건축설계 실무 양성과정 A</t>
    <phoneticPr fontId="6" type="noConversion"/>
  </si>
  <si>
    <t>국가연구데이터셋 &amp; Kaggle 등을 활용한 데이터 분석 및 시각화 플랫폼 개발 과정</t>
    <phoneticPr fontId="6" type="noConversion"/>
  </si>
  <si>
    <t xml:space="preserve">(디지털컨버전스)임베디드 소프트웨어 융합 풀스택 개발자 양성 과정A </t>
    <phoneticPr fontId="6" type="noConversion"/>
  </si>
  <si>
    <t>자바기반 백엔드 개발자 양성과정B</t>
    <phoneticPr fontId="6" type="noConversion"/>
  </si>
  <si>
    <t>게임 3D그래픽 디자이너 양성과정(모델링,애니메이션)</t>
    <phoneticPr fontId="6" type="noConversion"/>
  </si>
  <si>
    <t>(게임콘텐츠제작) 게임 콘텐츠 전문가 양성과정(게임기획&amp;디자인)</t>
    <phoneticPr fontId="6" type="noConversion"/>
  </si>
  <si>
    <t>(디지털컨버전스)공공데이터를 융합한 자바기반 Spring 웹개발자 양성 과정B</t>
    <phoneticPr fontId="6" type="noConversion"/>
  </si>
  <si>
    <t xml:space="preserve">(스마트웹&amp;콘텐츠개발) 프론트엔드(UIUX)개발자 양성과정 </t>
    <phoneticPr fontId="6" type="noConversion"/>
  </si>
  <si>
    <t>[일반고] 시각디자이너 양성 과정</t>
    <phoneticPr fontId="6" type="noConversion"/>
  </si>
  <si>
    <t>자바기반 웹,앱개발자 양성</t>
    <phoneticPr fontId="6" type="noConversion"/>
  </si>
  <si>
    <t xml:space="preserve">[출판] 디지털편집디자인(일러스트,포토샵,인디자인) 실무양성과정A </t>
    <phoneticPr fontId="6" type="noConversion"/>
  </si>
  <si>
    <t>[과정평가형] 전산응용건축제도기능사 취득과정</t>
    <phoneticPr fontId="6" type="noConversion"/>
  </si>
  <si>
    <t>모션그래픽 실무자 양성과정(프리미어,에펙,포토샵,일러스트)</t>
    <phoneticPr fontId="6" type="noConversion"/>
  </si>
  <si>
    <t xml:space="preserve">네일 국가자격증 취득과정 </t>
    <phoneticPr fontId="6" type="noConversion"/>
  </si>
  <si>
    <t>실내건축 인테리어 과정</t>
    <phoneticPr fontId="6" type="noConversion"/>
  </si>
  <si>
    <t xml:space="preserve">(디지털컨버전스)공공데이터를 융합한 자바기반 Spring 웹개발자 양성 과정C </t>
    <phoneticPr fontId="6" type="noConversion"/>
  </si>
  <si>
    <t>[디지털디자인]스마트UIUX 반응형 웹퍼블리셔 양성과정</t>
    <phoneticPr fontId="6" type="noConversion"/>
  </si>
  <si>
    <t>(출판) 디지털퍼블리싱 실무자양성과정A</t>
    <phoneticPr fontId="6" type="noConversion"/>
  </si>
  <si>
    <t>(스마트웹&amp;콘텐츠개발) UI/UX 스마트콘텐츠 융합 응용SW개발자 양성과정A</t>
    <phoneticPr fontId="6" type="noConversion"/>
  </si>
  <si>
    <t>(게임콘텐츠제작) 게임 3D그래픽 디자이너 양성과정(MAX)</t>
    <phoneticPr fontId="6" type="noConversion"/>
  </si>
  <si>
    <t>[과정평가형] 정보처리산업기사 취득과정A</t>
    <phoneticPr fontId="6" type="noConversion"/>
  </si>
  <si>
    <t xml:space="preserve">(산대특) Node.js와 React.js를 활용한 풀스택 개발자 양성과정_육성 </t>
    <phoneticPr fontId="6" type="noConversion"/>
  </si>
  <si>
    <t xml:space="preserve">(게임콘텐츠제작)게임 개발자 양성 (유니티엔진 활용) </t>
    <phoneticPr fontId="6" type="noConversion"/>
  </si>
  <si>
    <t>(디지털컨버전스) 스프링 기반 웹솔루션 풀스택 개발자 양성과정 A</t>
    <phoneticPr fontId="6" type="noConversion"/>
  </si>
  <si>
    <t xml:space="preserve">[멀티미디어] 멀티미디어콘텐츠제작(에펙, 프리미어, 시네마4D) </t>
    <phoneticPr fontId="6" type="noConversion"/>
  </si>
  <si>
    <t xml:space="preserve">(디지털디자인) 스마트기기 UXUI 웹디자이너 양성과정 </t>
    <phoneticPr fontId="6" type="noConversion"/>
  </si>
  <si>
    <t xml:space="preserve">자바기반 백엔드 개발자 양성과정A </t>
    <phoneticPr fontId="6" type="noConversion"/>
  </si>
  <si>
    <t>(2023)AWS(클라우드) 기반 공공ㆍ빅데이터 활용 웹서비스 개발자 양성</t>
    <phoneticPr fontId="6" type="noConversion"/>
  </si>
  <si>
    <t>자바(JAVA)기반 스프링 응용SW개발자 양성과정</t>
    <phoneticPr fontId="6" type="noConversion"/>
  </si>
  <si>
    <t>(정보시스템구축 개발,운영) 정보시스템 보안운영 및 보안사고 분석A</t>
    <phoneticPr fontId="6" type="noConversion"/>
  </si>
  <si>
    <t xml:space="preserve">(BIM) 실내건축설계 인테리어(캐드,맥스,레빗,스케치업)과정 A </t>
    <phoneticPr fontId="6" type="noConversion"/>
  </si>
  <si>
    <t>12월</t>
    <phoneticPr fontId="6" type="noConversion"/>
  </si>
  <si>
    <t>IT</t>
    <phoneticPr fontId="6" type="noConversion"/>
  </si>
  <si>
    <t>부산</t>
    <phoneticPr fontId="6" type="noConversion"/>
  </si>
  <si>
    <t>산대특</t>
    <phoneticPr fontId="6" type="noConversion"/>
  </si>
  <si>
    <t>빅데이터·AI 기반 시니어 디지털 헬스케어 웰니스 플랫폼 개발</t>
    <phoneticPr fontId="6" type="noConversion"/>
  </si>
  <si>
    <t>응용SW엔지니어링(20010202)</t>
    <phoneticPr fontId="6" type="noConversion"/>
  </si>
  <si>
    <t>총계</t>
    <phoneticPr fontId="6" type="noConversion"/>
  </si>
  <si>
    <t>1월 모집 현황</t>
    <phoneticPr fontId="7" type="noConversion"/>
  </si>
  <si>
    <t>구분</t>
    <phoneticPr fontId="6" type="noConversion"/>
  </si>
  <si>
    <t>계열</t>
    <phoneticPr fontId="6" type="noConversion"/>
  </si>
  <si>
    <t>훈련일</t>
    <phoneticPr fontId="7" type="noConversion"/>
  </si>
  <si>
    <t>훈련시간</t>
    <phoneticPr fontId="7" type="noConversion"/>
  </si>
  <si>
    <t>훈련기간</t>
    <phoneticPr fontId="6" type="noConversion"/>
  </si>
  <si>
    <t>직종단가</t>
    <phoneticPr fontId="6" type="noConversion"/>
  </si>
  <si>
    <t>강의장</t>
    <phoneticPr fontId="6" type="noConversion"/>
  </si>
  <si>
    <t>시간</t>
    <phoneticPr fontId="6" type="noConversion"/>
  </si>
  <si>
    <t>확정인원</t>
    <phoneticPr fontId="6" type="noConversion"/>
  </si>
  <si>
    <t>신청률</t>
    <phoneticPr fontId="7" type="noConversion"/>
  </si>
  <si>
    <t>수료90%</t>
    <phoneticPr fontId="6" type="noConversion"/>
  </si>
  <si>
    <t>훈련비</t>
    <phoneticPr fontId="6" type="noConversion"/>
  </si>
  <si>
    <t>훈련시작</t>
    <phoneticPr fontId="6" type="noConversion"/>
  </si>
  <si>
    <t>훈련종료</t>
    <phoneticPr fontId="6" type="noConversion"/>
  </si>
  <si>
    <t>1월</t>
    <phoneticPr fontId="6" type="noConversion"/>
  </si>
  <si>
    <t>강남지점</t>
  </si>
  <si>
    <t>스마트웹앱 융합 인재 양성</t>
  </si>
  <si>
    <t>ICT 보안 구축 및 보안 운영자 양성</t>
  </si>
  <si>
    <t>IT</t>
    <phoneticPr fontId="6" type="noConversion"/>
  </si>
  <si>
    <t>신촌지점</t>
    <phoneticPr fontId="6" type="noConversion"/>
  </si>
  <si>
    <t>실</t>
    <phoneticPr fontId="6" type="noConversion"/>
  </si>
  <si>
    <t>응용소프트웨어를 활용한 빅데이터 분석</t>
    <phoneticPr fontId="6" type="noConversion"/>
  </si>
  <si>
    <t>총 계</t>
    <phoneticPr fontId="6" type="noConversion"/>
  </si>
  <si>
    <t>총 3과정(국 2과정, 실 1과정)</t>
    <phoneticPr fontId="6" type="noConversion"/>
  </si>
  <si>
    <t>※ '19년 1월 모집 : 60%(총정원 30명, 모집 18명)</t>
    <phoneticPr fontId="6" type="noConversion"/>
  </si>
  <si>
    <t>2월 모집 현황</t>
    <phoneticPr fontId="7" type="noConversion"/>
  </si>
  <si>
    <t>지점명</t>
    <phoneticPr fontId="7" type="noConversion"/>
  </si>
  <si>
    <t>훈련비</t>
    <phoneticPr fontId="7" type="noConversion"/>
  </si>
  <si>
    <t>신청인원</t>
    <phoneticPr fontId="7" type="noConversion"/>
  </si>
  <si>
    <t>모집률</t>
    <phoneticPr fontId="7" type="noConversion"/>
  </si>
  <si>
    <t>2월</t>
    <phoneticPr fontId="6" type="noConversion"/>
  </si>
  <si>
    <t>컴퓨터</t>
    <phoneticPr fontId="6" type="noConversion"/>
  </si>
  <si>
    <t>수원지점</t>
    <phoneticPr fontId="6" type="noConversion"/>
  </si>
  <si>
    <t>실내건축설계(인테리어 2D CAD, 3D MAX) 양성과정</t>
    <phoneticPr fontId="6" type="noConversion"/>
  </si>
  <si>
    <t>국</t>
    <phoneticPr fontId="6" type="noConversion"/>
  </si>
  <si>
    <t>스마트기기 UXUI디자인 전문가 양성과정</t>
    <phoneticPr fontId="6" type="noConversion"/>
  </si>
  <si>
    <t>게임</t>
    <phoneticPr fontId="6" type="noConversion"/>
  </si>
  <si>
    <t>강남지점</t>
    <phoneticPr fontId="6" type="noConversion"/>
  </si>
  <si>
    <t>스타트업&amp;인디게임콘텐츠제작자양성과정</t>
    <phoneticPr fontId="6" type="noConversion"/>
  </si>
  <si>
    <t>모의해킹 및 진단을 활용한 보안 엔지니어링 양성</t>
  </si>
  <si>
    <t>JAVA를 활용한 풀스택 개발자 양성</t>
    <phoneticPr fontId="6" type="noConversion"/>
  </si>
  <si>
    <t>대구지점</t>
  </si>
  <si>
    <t>실</t>
    <phoneticPr fontId="6" type="noConversion"/>
  </si>
  <si>
    <t>정보보안 엔지니어 양성과정</t>
    <phoneticPr fontId="6" type="noConversion"/>
  </si>
  <si>
    <t>굿잡</t>
    <phoneticPr fontId="6" type="noConversion"/>
  </si>
  <si>
    <t>디지털퍼블리싱(출판편집)실무자 양성과정</t>
    <phoneticPr fontId="6" type="noConversion"/>
  </si>
  <si>
    <t>총 계</t>
    <phoneticPr fontId="6" type="noConversion"/>
  </si>
  <si>
    <t>총 7과정(국 5과정, 실 2과정)</t>
    <phoneticPr fontId="6" type="noConversion"/>
  </si>
  <si>
    <t>※ '19년 2월 모집 : 64%(총정원 50명, 모집 32명)</t>
    <phoneticPr fontId="6" type="noConversion"/>
  </si>
  <si>
    <t>3월 모집 현황</t>
    <phoneticPr fontId="7" type="noConversion"/>
  </si>
  <si>
    <t>모집률</t>
    <phoneticPr fontId="7" type="noConversion"/>
  </si>
  <si>
    <t>3월</t>
    <phoneticPr fontId="6" type="noConversion"/>
  </si>
  <si>
    <t>부산지점</t>
    <phoneticPr fontId="6" type="noConversion"/>
  </si>
  <si>
    <t>[국기]BIM실내건축설계양성</t>
    <phoneticPr fontId="6" type="noConversion"/>
  </si>
  <si>
    <t>부산지점</t>
    <phoneticPr fontId="6" type="noConversion"/>
  </si>
  <si>
    <t>출판편집디자인 실무자양성</t>
    <phoneticPr fontId="6" type="noConversion"/>
  </si>
  <si>
    <t>컴퓨터</t>
    <phoneticPr fontId="6" type="noConversion"/>
  </si>
  <si>
    <t>스마트기기 UXUI디자인 양성과정</t>
    <phoneticPr fontId="6" type="noConversion"/>
  </si>
  <si>
    <t>광주지점</t>
    <phoneticPr fontId="6" type="noConversion"/>
  </si>
  <si>
    <t>국</t>
    <phoneticPr fontId="6" type="noConversion"/>
  </si>
  <si>
    <t>게임 프로그래밍 개발자 양성과정</t>
    <phoneticPr fontId="6" type="noConversion"/>
  </si>
  <si>
    <t>대전지점</t>
    <phoneticPr fontId="6" type="noConversion"/>
  </si>
  <si>
    <t>실</t>
    <phoneticPr fontId="6" type="noConversion"/>
  </si>
  <si>
    <t>게임 3D 그래픽 전문가 양성과정</t>
    <phoneticPr fontId="6" type="noConversion"/>
  </si>
  <si>
    <t>IT</t>
    <phoneticPr fontId="6" type="noConversion"/>
  </si>
  <si>
    <t>강남지점</t>
    <phoneticPr fontId="6" type="noConversion"/>
  </si>
  <si>
    <t>JAVA프레임웍기반 풀스텍 양성</t>
    <phoneticPr fontId="6" type="noConversion"/>
  </si>
  <si>
    <t>국</t>
    <phoneticPr fontId="6" type="noConversion"/>
  </si>
  <si>
    <t>자바(JAVA)기반 크로스 플랫폼 개발자 양성과정 A</t>
    <phoneticPr fontId="6" type="noConversion"/>
  </si>
  <si>
    <t>IT</t>
    <phoneticPr fontId="6" type="noConversion"/>
  </si>
  <si>
    <t>정보시스템 보안 운영 및 보안사고분석 과정C</t>
    <phoneticPr fontId="6" type="noConversion"/>
  </si>
  <si>
    <t>굿잡</t>
  </si>
  <si>
    <t>스마트기기 UXUI디자인 양성과정</t>
  </si>
  <si>
    <t>총 10과정(국 9과정, 실 1과정)</t>
    <phoneticPr fontId="6" type="noConversion"/>
  </si>
  <si>
    <t>※ '19년 3월 모집 : 66%(총정원 195명, 모집 129명)</t>
    <phoneticPr fontId="6" type="noConversion"/>
  </si>
  <si>
    <t>4월 모집 현황</t>
    <phoneticPr fontId="7" type="noConversion"/>
  </si>
  <si>
    <t>훈련비</t>
    <phoneticPr fontId="7" type="noConversion"/>
  </si>
  <si>
    <t>훈련시작</t>
    <phoneticPr fontId="6" type="noConversion"/>
  </si>
  <si>
    <t>훈련종료</t>
    <phoneticPr fontId="6" type="noConversion"/>
  </si>
  <si>
    <t>4월</t>
    <phoneticPr fontId="6" type="noConversion"/>
  </si>
  <si>
    <t>컴퓨터</t>
    <phoneticPr fontId="6" type="noConversion"/>
  </si>
  <si>
    <t>홍대지점</t>
    <phoneticPr fontId="6" type="noConversion"/>
  </si>
  <si>
    <t xml:space="preserve">[국기] 스마트기기 UXUI 디자이너 양성과정 </t>
    <phoneticPr fontId="6" type="noConversion"/>
  </si>
  <si>
    <t>B</t>
    <phoneticPr fontId="6" type="noConversion"/>
  </si>
  <si>
    <t>1400 - 1800</t>
    <phoneticPr fontId="6" type="noConversion"/>
  </si>
  <si>
    <t xml:space="preserve">[계좌제] 실내건축 인테리어디자이너 양성 </t>
    <phoneticPr fontId="6" type="noConversion"/>
  </si>
  <si>
    <t>L</t>
    <phoneticPr fontId="6" type="noConversion"/>
  </si>
  <si>
    <t>스마트기기 UXUI디자인 양성과정</t>
    <phoneticPr fontId="6" type="noConversion"/>
  </si>
  <si>
    <t>I</t>
    <phoneticPr fontId="6" type="noConversion"/>
  </si>
  <si>
    <t>1400 - 1900</t>
    <phoneticPr fontId="6" type="noConversion"/>
  </si>
  <si>
    <t>대전지점</t>
    <phoneticPr fontId="6" type="noConversion"/>
  </si>
  <si>
    <t>풀스택 웹 개발자 양성과정(프론트엔드, 백엔드)</t>
    <phoneticPr fontId="6" type="noConversion"/>
  </si>
  <si>
    <t>A</t>
    <phoneticPr fontId="6" type="noConversion"/>
  </si>
  <si>
    <t>0900 - 1400</t>
    <phoneticPr fontId="6" type="noConversion"/>
  </si>
  <si>
    <t>BIM 실내건축설계실무 양성과정(MAX,CAD,REVIT)</t>
    <phoneticPr fontId="6" type="noConversion"/>
  </si>
  <si>
    <t>A</t>
    <phoneticPr fontId="6" type="noConversion"/>
  </si>
  <si>
    <t>게임원화 전문가 양성과정</t>
    <phoneticPr fontId="6" type="noConversion"/>
  </si>
  <si>
    <t>F</t>
    <phoneticPr fontId="6" type="noConversion"/>
  </si>
  <si>
    <t>1000 - 1400</t>
    <phoneticPr fontId="6" type="noConversion"/>
  </si>
  <si>
    <t>JAVA프레임웍기반 풀스텍 양성A</t>
    <phoneticPr fontId="6" type="noConversion"/>
  </si>
  <si>
    <t>I(별관)</t>
    <phoneticPr fontId="6" type="noConversion"/>
  </si>
  <si>
    <t>0900 - 1530</t>
    <phoneticPr fontId="6" type="noConversion"/>
  </si>
  <si>
    <t>JAVA프레임웍기반 풀스텍 양성B</t>
    <phoneticPr fontId="6" type="noConversion"/>
  </si>
  <si>
    <t>I(별관)</t>
    <phoneticPr fontId="6" type="noConversion"/>
  </si>
  <si>
    <t>1530 - 2200</t>
    <phoneticPr fontId="6" type="noConversion"/>
  </si>
  <si>
    <t>대구지점</t>
    <phoneticPr fontId="6" type="noConversion"/>
  </si>
  <si>
    <t>자바 백엔드 개발자 양성 과정</t>
    <phoneticPr fontId="6" type="noConversion"/>
  </si>
  <si>
    <t>1300 - 1800</t>
    <phoneticPr fontId="6" type="noConversion"/>
  </si>
  <si>
    <t>굿잡</t>
    <phoneticPr fontId="6" type="noConversion"/>
  </si>
  <si>
    <t>모션그래픽 영상제작 실무자 양성과정</t>
    <phoneticPr fontId="6" type="noConversion"/>
  </si>
  <si>
    <t>1300 - 1900</t>
    <phoneticPr fontId="6" type="noConversion"/>
  </si>
  <si>
    <t>총 10과정(국 6과정, 실 4과정)</t>
    <phoneticPr fontId="6" type="noConversion"/>
  </si>
  <si>
    <t>5월 모집 현황</t>
    <phoneticPr fontId="7" type="noConversion"/>
  </si>
  <si>
    <t>훈련일</t>
    <phoneticPr fontId="7" type="noConversion"/>
  </si>
  <si>
    <t>훈련시간</t>
    <phoneticPr fontId="7" type="noConversion"/>
  </si>
  <si>
    <t>훈련기간</t>
    <phoneticPr fontId="6" type="noConversion"/>
  </si>
  <si>
    <t>훈련비</t>
    <phoneticPr fontId="7" type="noConversion"/>
  </si>
  <si>
    <t>직종단가</t>
    <phoneticPr fontId="6" type="noConversion"/>
  </si>
  <si>
    <t>강의장</t>
    <phoneticPr fontId="6" type="noConversion"/>
  </si>
  <si>
    <t>확정인원</t>
    <phoneticPr fontId="6" type="noConversion"/>
  </si>
  <si>
    <t>신청인원</t>
    <phoneticPr fontId="7" type="noConversion"/>
  </si>
  <si>
    <t>신청률</t>
    <phoneticPr fontId="7" type="noConversion"/>
  </si>
  <si>
    <t>훈련시작</t>
    <phoneticPr fontId="6" type="noConversion"/>
  </si>
  <si>
    <t>5월</t>
    <phoneticPr fontId="6" type="noConversion"/>
  </si>
  <si>
    <t>전산회계와 전산세무(전산회계1급, 전산세무2급, TAT2급) 취득과정</t>
    <phoneticPr fontId="6" type="noConversion"/>
  </si>
  <si>
    <t>N</t>
    <phoneticPr fontId="6" type="noConversion"/>
  </si>
  <si>
    <t>0900 - 1300</t>
    <phoneticPr fontId="6" type="noConversion"/>
  </si>
  <si>
    <t>[계좌제] 스마트기기 UXUI 웹퍼블리셔 양성 과정</t>
    <phoneticPr fontId="6" type="noConversion"/>
  </si>
  <si>
    <t>N</t>
    <phoneticPr fontId="6" type="noConversion"/>
  </si>
  <si>
    <t>1300 - 1700</t>
    <phoneticPr fontId="6" type="noConversion"/>
  </si>
  <si>
    <t>인천지점</t>
    <phoneticPr fontId="6" type="noConversion"/>
  </si>
  <si>
    <t>실내건축인테리어양성과정</t>
    <phoneticPr fontId="6" type="noConversion"/>
  </si>
  <si>
    <t>K</t>
    <phoneticPr fontId="6" type="noConversion"/>
  </si>
  <si>
    <t>1200 - 1530</t>
    <phoneticPr fontId="6" type="noConversion"/>
  </si>
  <si>
    <t>게임</t>
  </si>
  <si>
    <t>유니티 게임 프로그래밍 전문가 양성과정</t>
  </si>
  <si>
    <t>C</t>
  </si>
  <si>
    <t>1200 - 1800</t>
  </si>
  <si>
    <t>신촌지점</t>
    <phoneticPr fontId="6" type="noConversion"/>
  </si>
  <si>
    <t>게임원화 전문가 양성과정(2D그래픽)</t>
    <phoneticPr fontId="6" type="noConversion"/>
  </si>
  <si>
    <t>0900 - 1300</t>
    <phoneticPr fontId="6" type="noConversion"/>
  </si>
  <si>
    <t>융합서비스 애플리케이션 개발자 양성과정B</t>
    <phoneticPr fontId="6" type="noConversion"/>
  </si>
  <si>
    <t>J(별관)</t>
    <phoneticPr fontId="6" type="noConversion"/>
  </si>
  <si>
    <t>0900 - 1530</t>
    <phoneticPr fontId="6" type="noConversion"/>
  </si>
  <si>
    <t>정보시스템 보안 구축 및 침해사고대응 과정A</t>
    <phoneticPr fontId="6" type="noConversion"/>
  </si>
  <si>
    <t>K(별관)</t>
    <phoneticPr fontId="6" type="noConversion"/>
  </si>
  <si>
    <t>1530 - 2200</t>
    <phoneticPr fontId="6" type="noConversion"/>
  </si>
  <si>
    <t>JAVA를 활용한 웹 개발자 양성</t>
    <phoneticPr fontId="6" type="noConversion"/>
  </si>
  <si>
    <t>E</t>
    <phoneticPr fontId="6" type="noConversion"/>
  </si>
  <si>
    <t>1800 - 2200</t>
    <phoneticPr fontId="6" type="noConversion"/>
  </si>
  <si>
    <t>모션그래픽 영상제작 실무자 양성과정</t>
    <phoneticPr fontId="6" type="noConversion"/>
  </si>
  <si>
    <t>F</t>
    <phoneticPr fontId="6" type="noConversion"/>
  </si>
  <si>
    <t>총 9과정(국 3과정, 실 6과정)</t>
    <phoneticPr fontId="6" type="noConversion"/>
  </si>
  <si>
    <t>6월 모집 현황</t>
    <phoneticPr fontId="7" type="noConversion"/>
  </si>
  <si>
    <t>구분</t>
    <phoneticPr fontId="6" type="noConversion"/>
  </si>
  <si>
    <t>계열</t>
    <phoneticPr fontId="6" type="noConversion"/>
  </si>
  <si>
    <t>지점명</t>
    <phoneticPr fontId="7" type="noConversion"/>
  </si>
  <si>
    <t>훈련일</t>
    <phoneticPr fontId="7" type="noConversion"/>
  </si>
  <si>
    <t>훈련시간</t>
    <phoneticPr fontId="7" type="noConversion"/>
  </si>
  <si>
    <t>훈련기간</t>
    <phoneticPr fontId="6" type="noConversion"/>
  </si>
  <si>
    <t>강의장</t>
    <phoneticPr fontId="6" type="noConversion"/>
  </si>
  <si>
    <t>시간</t>
    <phoneticPr fontId="6" type="noConversion"/>
  </si>
  <si>
    <t>확정인원</t>
    <phoneticPr fontId="6" type="noConversion"/>
  </si>
  <si>
    <t>신청인원</t>
    <phoneticPr fontId="7" type="noConversion"/>
  </si>
  <si>
    <t>신청률</t>
    <phoneticPr fontId="7" type="noConversion"/>
  </si>
  <si>
    <t>훈련종료</t>
    <phoneticPr fontId="6" type="noConversion"/>
  </si>
  <si>
    <t>6월</t>
    <phoneticPr fontId="6" type="noConversion"/>
  </si>
  <si>
    <t>대구지점</t>
    <phoneticPr fontId="6" type="noConversion"/>
  </si>
  <si>
    <t>스마트기기 UXUI 웹디자이너양성과정</t>
    <phoneticPr fontId="6" type="noConversion"/>
  </si>
  <si>
    <t>1300 - 1800</t>
    <phoneticPr fontId="6" type="noConversion"/>
  </si>
  <si>
    <t xml:space="preserve">정보시스템 보안 운영 및 보안사고분석 과정A </t>
  </si>
  <si>
    <t>F</t>
  </si>
  <si>
    <t>0930 - 1800</t>
  </si>
  <si>
    <t>강남지점</t>
    <phoneticPr fontId="6" type="noConversion"/>
  </si>
  <si>
    <t>융합서비스 애플리케이션 개발자 양성과정A</t>
    <phoneticPr fontId="6" type="noConversion"/>
  </si>
  <si>
    <t>C</t>
    <phoneticPr fontId="6" type="noConversion"/>
  </si>
  <si>
    <t>0900 - 1800</t>
    <phoneticPr fontId="6" type="noConversion"/>
  </si>
  <si>
    <t>자바 스프링 백엔드 개발자 양성 과정</t>
    <phoneticPr fontId="6" type="noConversion"/>
  </si>
  <si>
    <t>B</t>
    <phoneticPr fontId="6" type="noConversion"/>
  </si>
  <si>
    <t>실</t>
  </si>
  <si>
    <t>반응형 웹퍼블리셔(html+css3, javaScript+jQuery)양성 과정</t>
    <phoneticPr fontId="6" type="noConversion"/>
  </si>
  <si>
    <t>E</t>
  </si>
  <si>
    <t>0900 - 1300</t>
  </si>
  <si>
    <t>정보시스템 보안 구축 엔지니어 양성 과정</t>
    <phoneticPr fontId="6" type="noConversion"/>
  </si>
  <si>
    <t>D</t>
    <phoneticPr fontId="6" type="noConversion"/>
  </si>
  <si>
    <t>1100 - 1800</t>
    <phoneticPr fontId="6" type="noConversion"/>
  </si>
  <si>
    <t>총 계</t>
    <phoneticPr fontId="6" type="noConversion"/>
  </si>
  <si>
    <t>총 6과정(국 5과정, 실 1과정)</t>
    <phoneticPr fontId="6" type="noConversion"/>
  </si>
  <si>
    <t>7월 모집 현황</t>
    <phoneticPr fontId="7" type="noConversion"/>
  </si>
  <si>
    <t>7월</t>
    <phoneticPr fontId="6" type="noConversion"/>
  </si>
  <si>
    <t>게임그래픽(3DMAX) 전문가 양성과정</t>
    <phoneticPr fontId="6" type="noConversion"/>
  </si>
  <si>
    <t>F</t>
    <phoneticPr fontId="6" type="noConversion"/>
  </si>
  <si>
    <t>1000 - 1400</t>
    <phoneticPr fontId="6" type="noConversion"/>
  </si>
  <si>
    <t>Java 프레임웍기반 풀스택 양성C</t>
    <phoneticPr fontId="6" type="noConversion"/>
  </si>
  <si>
    <t>G</t>
  </si>
  <si>
    <t>0900 - 1800</t>
  </si>
  <si>
    <t>굿잡</t>
    <phoneticPr fontId="6" type="noConversion"/>
  </si>
  <si>
    <t>디지털디자인(반응형웹) 실무자 양성과정</t>
    <phoneticPr fontId="6" type="noConversion"/>
  </si>
  <si>
    <t>멀티미디어콘텐츠(에프터이펙트,프리미어,시네마4D)실무자 양성과정</t>
    <phoneticPr fontId="6" type="noConversion"/>
  </si>
  <si>
    <t>A</t>
    <phoneticPr fontId="6" type="noConversion"/>
  </si>
  <si>
    <t>0900 - 1800</t>
    <phoneticPr fontId="6" type="noConversion"/>
  </si>
  <si>
    <t>총 4과정(국 2과정, 실 2과정)</t>
    <phoneticPr fontId="6" type="noConversion"/>
  </si>
  <si>
    <t>8월 모집 현황</t>
    <phoneticPr fontId="7" type="noConversion"/>
  </si>
  <si>
    <t>계열</t>
    <phoneticPr fontId="6" type="noConversion"/>
  </si>
  <si>
    <t>시간</t>
    <phoneticPr fontId="6" type="noConversion"/>
  </si>
  <si>
    <t>8월</t>
    <phoneticPr fontId="6" type="noConversion"/>
  </si>
  <si>
    <t>융합서비스 애플리케이션 개발자 양성과정C</t>
    <phoneticPr fontId="6" type="noConversion"/>
  </si>
  <si>
    <t>H</t>
  </si>
  <si>
    <t>신촌지점</t>
    <phoneticPr fontId="6" type="noConversion"/>
  </si>
  <si>
    <t>스마트기기 웹디자인/UIUX실무자양성과정</t>
    <phoneticPr fontId="6" type="noConversion"/>
  </si>
  <si>
    <t>1200 - 1900</t>
    <phoneticPr fontId="6" type="noConversion"/>
  </si>
  <si>
    <t>총 2과정(국 2과정)</t>
    <phoneticPr fontId="6" type="noConversion"/>
  </si>
  <si>
    <t>9월 모집 현황</t>
    <phoneticPr fontId="7" type="noConversion"/>
  </si>
  <si>
    <t>9월</t>
    <phoneticPr fontId="6" type="noConversion"/>
  </si>
  <si>
    <t>[계좌제]편집디자인(포토샵,일러스트,인디자인)실무자양성과정</t>
    <phoneticPr fontId="6" type="noConversion"/>
  </si>
  <si>
    <r>
      <t>BIM실내건축설계(캐드,맥스,레빗)인테리어양성_</t>
    </r>
    <r>
      <rPr>
        <sz val="10"/>
        <color rgb="FFFF0000"/>
        <rFont val="맑은 고딕"/>
        <family val="3"/>
        <charset val="129"/>
        <scheme val="major"/>
      </rPr>
      <t>(원격보조)</t>
    </r>
    <phoneticPr fontId="6" type="noConversion"/>
  </si>
  <si>
    <t>광주지점</t>
    <phoneticPr fontId="6" type="noConversion"/>
  </si>
  <si>
    <t>웹디자인 양성과정</t>
    <phoneticPr fontId="6" type="noConversion"/>
  </si>
  <si>
    <t>E</t>
    <phoneticPr fontId="6" type="noConversion"/>
  </si>
  <si>
    <t>1400 - 1800</t>
    <phoneticPr fontId="6" type="noConversion"/>
  </si>
  <si>
    <t>수원지점</t>
    <phoneticPr fontId="6" type="noConversion"/>
  </si>
  <si>
    <t>인테리어 (캐드, 3D맥스) 디자이너 양성과정</t>
    <phoneticPr fontId="6" type="noConversion"/>
  </si>
  <si>
    <t>1300 - 1700</t>
    <phoneticPr fontId="6" type="noConversion"/>
  </si>
  <si>
    <t>게임 기획자 양성</t>
    <phoneticPr fontId="6" type="noConversion"/>
  </si>
  <si>
    <t>D</t>
    <phoneticPr fontId="6" type="noConversion"/>
  </si>
  <si>
    <t>1000 - 1500</t>
    <phoneticPr fontId="6" type="noConversion"/>
  </si>
  <si>
    <t>정보시스템 보안 구축 및 침해사고대응 과정C</t>
    <phoneticPr fontId="6" type="noConversion"/>
  </si>
  <si>
    <t>B</t>
    <phoneticPr fontId="6" type="noConversion"/>
  </si>
  <si>
    <t>(디지털컨버전스)스프링 프레임워크 기반 풀스택 개발자 양성과정</t>
    <phoneticPr fontId="6" type="noConversion"/>
  </si>
  <si>
    <t>1000 - 1900</t>
    <phoneticPr fontId="6" type="noConversion"/>
  </si>
  <si>
    <t>총 8과정(국 3과정, 실 5과정)</t>
    <phoneticPr fontId="6" type="noConversion"/>
  </si>
  <si>
    <t>10월 모집 현황</t>
    <phoneticPr fontId="7" type="noConversion"/>
  </si>
  <si>
    <t>10월</t>
    <phoneticPr fontId="6" type="noConversion"/>
  </si>
  <si>
    <t>홍대지점</t>
    <phoneticPr fontId="6" type="noConversion"/>
  </si>
  <si>
    <t>[계좌제] 편집디자이너 양성과정</t>
    <phoneticPr fontId="6" type="noConversion"/>
  </si>
  <si>
    <t>부산지점</t>
    <phoneticPr fontId="6" type="noConversion"/>
  </si>
  <si>
    <t>[국기] BIM실내건축설계양성</t>
    <phoneticPr fontId="6" type="noConversion"/>
  </si>
  <si>
    <r>
      <t>[국기] 디지털퍼블리싱(출판편집)실무자양성과정</t>
    </r>
    <r>
      <rPr>
        <sz val="10"/>
        <color rgb="FFFF0000"/>
        <rFont val="맑은 고딕"/>
        <family val="3"/>
        <charset val="129"/>
        <scheme val="major"/>
      </rPr>
      <t>_(원격보조)</t>
    </r>
    <phoneticPr fontId="6" type="noConversion"/>
  </si>
  <si>
    <t>[국기] 스마트기기 UXUI디자인양성과정</t>
    <phoneticPr fontId="6" type="noConversion"/>
  </si>
  <si>
    <t>J</t>
    <phoneticPr fontId="6" type="noConversion"/>
  </si>
  <si>
    <t>1800 - 2200</t>
    <phoneticPr fontId="6" type="noConversion"/>
  </si>
  <si>
    <t>대전지점</t>
    <phoneticPr fontId="6" type="noConversion"/>
  </si>
  <si>
    <t xml:space="preserve">스마트기기 UX/UI디자인 양성과정 </t>
    <phoneticPr fontId="6" type="noConversion"/>
  </si>
  <si>
    <t>BIM 실내건축 &amp; 건축설계 실무 양성 과정</t>
    <phoneticPr fontId="6" type="noConversion"/>
  </si>
  <si>
    <t>풀스택 웹&amp;앱 개발자 양성과정</t>
    <phoneticPr fontId="6" type="noConversion"/>
  </si>
  <si>
    <t>게임</t>
    <phoneticPr fontId="6" type="noConversion"/>
  </si>
  <si>
    <t>게임원화 전문가 양성과정</t>
    <phoneticPr fontId="6" type="noConversion"/>
  </si>
  <si>
    <t>1000 - 1600</t>
    <phoneticPr fontId="6" type="noConversion"/>
  </si>
  <si>
    <t>자바(JAVA) 기반 크로스 플랫폼 개발자 양성과정B</t>
    <phoneticPr fontId="6" type="noConversion"/>
  </si>
  <si>
    <t>0900 - 1500</t>
    <phoneticPr fontId="6" type="noConversion"/>
  </si>
  <si>
    <t>JAVA를 활용한 풀스택 개발자 양성과정_(원격보조)</t>
    <phoneticPr fontId="4" type="noConversion"/>
  </si>
  <si>
    <r>
      <t>[출판]출판편집디자인(포토샵,일러스트,인디자인)과정A-</t>
    </r>
    <r>
      <rPr>
        <sz val="10"/>
        <color rgb="FFFF0000"/>
        <rFont val="맑은 고딕"/>
        <family val="3"/>
        <charset val="129"/>
        <scheme val="major"/>
      </rPr>
      <t>원격보조훈련</t>
    </r>
    <phoneticPr fontId="6" type="noConversion"/>
  </si>
  <si>
    <t>G</t>
    <phoneticPr fontId="6" type="noConversion"/>
  </si>
  <si>
    <t>[디지털디자인]스마트기기UXUI웹디자인&amp;웹퍼블리셔 과정</t>
    <phoneticPr fontId="6" type="noConversion"/>
  </si>
  <si>
    <t>1000 - 1800</t>
    <phoneticPr fontId="6" type="noConversion"/>
  </si>
  <si>
    <t>출판편집디자인(포토샵,일러스트,드로잉,인디자인) 실무자 양성과정</t>
    <phoneticPr fontId="6" type="noConversion"/>
  </si>
  <si>
    <t>G</t>
    <phoneticPr fontId="6" type="noConversion"/>
  </si>
  <si>
    <t>총 13과정(국 10과정, 실 3과정)</t>
    <phoneticPr fontId="6" type="noConversion"/>
  </si>
  <si>
    <t>11월 모집 현황</t>
    <phoneticPr fontId="7" type="noConversion"/>
  </si>
  <si>
    <t>구분</t>
    <phoneticPr fontId="6" type="noConversion"/>
  </si>
  <si>
    <t>직종단가</t>
    <phoneticPr fontId="6" type="noConversion"/>
  </si>
  <si>
    <t>모집률</t>
    <phoneticPr fontId="7" type="noConversion"/>
  </si>
  <si>
    <t>11월</t>
    <phoneticPr fontId="6" type="noConversion"/>
  </si>
  <si>
    <t>웹퍼블리셔 양성(UI/UX디자인)</t>
    <phoneticPr fontId="6" type="noConversion"/>
  </si>
  <si>
    <t>0900 - 1300</t>
    <phoneticPr fontId="6" type="noConversion"/>
  </si>
  <si>
    <t>자바기반 웹 개발자 양성 과정</t>
  </si>
  <si>
    <t>[BIM]BIM실내건축인테리어(캐드,맥스,스케치업,레빗)과정A</t>
    <phoneticPr fontId="6" type="noConversion"/>
  </si>
  <si>
    <t>J</t>
    <phoneticPr fontId="6" type="noConversion"/>
  </si>
  <si>
    <t>1000 - 1800</t>
    <phoneticPr fontId="6" type="noConversion"/>
  </si>
  <si>
    <t>총 3과정(국 1과정, 실 2과정)</t>
    <phoneticPr fontId="6" type="noConversion"/>
  </si>
  <si>
    <t>12월 모집 현황</t>
    <phoneticPr fontId="7" type="noConversion"/>
  </si>
  <si>
    <t>12월</t>
    <phoneticPr fontId="6" type="noConversion"/>
  </si>
  <si>
    <t>인천지점</t>
    <phoneticPr fontId="6" type="noConversion"/>
  </si>
  <si>
    <t>BIM실내건축설계양성</t>
    <phoneticPr fontId="6" type="noConversion"/>
  </si>
  <si>
    <t>1400 - 1900</t>
    <phoneticPr fontId="6" type="noConversion"/>
  </si>
  <si>
    <t>전산세무회계(전산회계1급, 전산세무2급)자격증 취득과정</t>
    <phoneticPr fontId="6" type="noConversion"/>
  </si>
  <si>
    <t>게임</t>
    <phoneticPr fontId="6" type="noConversion"/>
  </si>
  <si>
    <t>게임그래픽(3D MAX) 전문가 양성과정</t>
    <phoneticPr fontId="6" type="noConversion"/>
  </si>
  <si>
    <t xml:space="preserve">게임원화 전문가 양성과정(2D 그래픽)  </t>
    <phoneticPr fontId="6" type="noConversion"/>
  </si>
  <si>
    <t>게임 캐릭터 디자이너 양성 과정(2D그래픽, 원화)</t>
    <phoneticPr fontId="6" type="noConversion"/>
  </si>
  <si>
    <t>1300 - 1600</t>
    <phoneticPr fontId="6" type="noConversion"/>
  </si>
  <si>
    <t>게임 2D그래픽 디자이너 양성과정</t>
    <phoneticPr fontId="6" type="noConversion"/>
  </si>
  <si>
    <t>C</t>
    <phoneticPr fontId="6" type="noConversion"/>
  </si>
  <si>
    <t>1500 - 1800</t>
    <phoneticPr fontId="6" type="noConversion"/>
  </si>
  <si>
    <t>빅데이터 UI 전문가 양성</t>
    <phoneticPr fontId="6" type="noConversion"/>
  </si>
  <si>
    <t>정보시스템 보안 구축 및 침해사고대응 과정B</t>
    <phoneticPr fontId="6" type="noConversion"/>
  </si>
  <si>
    <t>1300 - 2200</t>
    <phoneticPr fontId="6" type="noConversion"/>
  </si>
  <si>
    <t>정보시스템 보안 운영 및 보안사고분석 과정B</t>
    <phoneticPr fontId="6" type="noConversion"/>
  </si>
  <si>
    <t>0930 - 1800</t>
    <phoneticPr fontId="6" type="noConversion"/>
  </si>
  <si>
    <t>융합서비스 애플리케이션 개발자 양성과정A(2회차)</t>
    <phoneticPr fontId="6" type="noConversion"/>
  </si>
  <si>
    <t>(디지털컨버전스)JAVA를 활용한 풀스택 개발자 양성과정B_혼합훈련</t>
    <phoneticPr fontId="6" type="noConversion"/>
  </si>
  <si>
    <t>모의해킹 및 악성코드 분석을 통한 정보보안 전문가 양성 과정</t>
    <phoneticPr fontId="6" type="noConversion"/>
  </si>
  <si>
    <t>모션그래픽 방송콘텐츠(영상제작,편집,CG) 제작 과정</t>
    <phoneticPr fontId="6" type="noConversion"/>
  </si>
  <si>
    <t>총 14과정(국 6과정, 실 8과정)</t>
    <phoneticPr fontId="6" type="noConversion"/>
  </si>
  <si>
    <t>(비어 있음)</t>
  </si>
  <si>
    <t>2월</t>
    <phoneticPr fontId="6" type="noConversion"/>
  </si>
  <si>
    <t>4월</t>
    <phoneticPr fontId="6" type="noConversion"/>
  </si>
  <si>
    <t>정원</t>
    <phoneticPr fontId="6" type="noConversion"/>
  </si>
  <si>
    <t>모집률</t>
    <phoneticPr fontId="6" type="noConversion"/>
  </si>
  <si>
    <t>신청률</t>
    <phoneticPr fontId="6" type="noConversion"/>
  </si>
  <si>
    <t>모집순위</t>
    <phoneticPr fontId="6" type="noConversion"/>
  </si>
  <si>
    <t>구분</t>
    <phoneticPr fontId="6" type="noConversion"/>
  </si>
  <si>
    <t>계</t>
    <phoneticPr fontId="14" type="noConversion"/>
  </si>
  <si>
    <t>3월</t>
    <phoneticPr fontId="6" type="noConversion"/>
  </si>
  <si>
    <t>정원</t>
    <phoneticPr fontId="6" type="noConversion"/>
  </si>
  <si>
    <t>정원</t>
    <phoneticPr fontId="6" type="noConversion"/>
  </si>
  <si>
    <t>신청인원</t>
    <phoneticPr fontId="6" type="noConversion"/>
  </si>
  <si>
    <t>신청인원</t>
    <phoneticPr fontId="6" type="noConversion"/>
  </si>
  <si>
    <t>모집률</t>
    <phoneticPr fontId="6" type="noConversion"/>
  </si>
  <si>
    <t>모집순위</t>
    <phoneticPr fontId="6" type="noConversion"/>
  </si>
  <si>
    <r>
      <t>2023년도 모집현황</t>
    </r>
    <r>
      <rPr>
        <b/>
        <sz val="12"/>
        <color rgb="FF00B0F0"/>
        <rFont val="맑은 고딕"/>
        <family val="3"/>
        <charset val="129"/>
        <scheme val="minor"/>
      </rPr>
      <t xml:space="preserve"> </t>
    </r>
    <r>
      <rPr>
        <b/>
        <sz val="12"/>
        <color rgb="FFFF0000"/>
        <rFont val="맑은 고딕"/>
        <family val="3"/>
        <charset val="129"/>
        <scheme val="minor"/>
      </rPr>
      <t>(승무원 미포함)</t>
    </r>
    <phoneticPr fontId="14" type="noConversion"/>
  </si>
  <si>
    <r>
      <t xml:space="preserve">2023년도 모집현황 </t>
    </r>
    <r>
      <rPr>
        <b/>
        <sz val="12"/>
        <color rgb="FF0070C0"/>
        <rFont val="맑은 고딕"/>
        <family val="3"/>
        <charset val="129"/>
        <scheme val="minor"/>
      </rPr>
      <t>(승무원 포함)</t>
    </r>
    <phoneticPr fontId="14" type="noConversion"/>
  </si>
  <si>
    <t>계</t>
    <phoneticPr fontId="14" type="noConversion"/>
  </si>
  <si>
    <t>1월</t>
    <phoneticPr fontId="6" type="noConversion"/>
  </si>
  <si>
    <t>2월</t>
    <phoneticPr fontId="6" type="noConversion"/>
  </si>
  <si>
    <t>3월</t>
    <phoneticPr fontId="6" type="noConversion"/>
  </si>
  <si>
    <t>4월</t>
    <phoneticPr fontId="6" type="noConversion"/>
  </si>
  <si>
    <t>1월</t>
    <phoneticPr fontId="6" type="noConversion"/>
  </si>
  <si>
    <t>3월</t>
    <phoneticPr fontId="6" type="noConversion"/>
  </si>
  <si>
    <t>과정수</t>
    <phoneticPr fontId="6" type="noConversion"/>
  </si>
  <si>
    <t>정원</t>
    <phoneticPr fontId="6" type="noConversion"/>
  </si>
  <si>
    <t>신청인원</t>
    <phoneticPr fontId="6" type="noConversion"/>
  </si>
  <si>
    <t>모집률</t>
    <phoneticPr fontId="6" type="noConversion"/>
  </si>
  <si>
    <t>신청률</t>
    <phoneticPr fontId="6" type="noConversion"/>
  </si>
  <si>
    <r>
      <t>2024년도 모집현황</t>
    </r>
    <r>
      <rPr>
        <b/>
        <sz val="12"/>
        <color rgb="FF00B0F0"/>
        <rFont val="맑은 고딕"/>
        <family val="3"/>
        <charset val="129"/>
        <scheme val="minor"/>
      </rPr>
      <t xml:space="preserve"> </t>
    </r>
    <r>
      <rPr>
        <b/>
        <sz val="12"/>
        <color rgb="FFFF0000"/>
        <rFont val="맑은 고딕"/>
        <family val="3"/>
        <charset val="129"/>
        <scheme val="minor"/>
      </rPr>
      <t>(승무원 미포함)</t>
    </r>
    <phoneticPr fontId="14" type="noConversion"/>
  </si>
  <si>
    <t xml:space="preserve">실내건축 인테리어과정(2D캐드, 3D스케치업) </t>
    <phoneticPr fontId="6" type="noConversion"/>
  </si>
  <si>
    <t>게임그래픽 디자이너 양성과정(게임UI)</t>
    <phoneticPr fontId="6" type="noConversion"/>
  </si>
  <si>
    <t>(디지털컨버전스)공공데이터를 융합한 자바기반 Spring 웹개발자 양성 과정A</t>
    <phoneticPr fontId="6" type="noConversion"/>
  </si>
  <si>
    <t>UI/UX 웹디자인&amp;웹퍼블리셔 중급과정</t>
    <phoneticPr fontId="6" type="noConversion"/>
  </si>
  <si>
    <t>(BIM)건축설계&amp;실내건축설계양성과정(CAD,MAX)B</t>
    <phoneticPr fontId="6" type="noConversion"/>
  </si>
  <si>
    <t xml:space="preserve">웹퍼블리셔(UIUX) 양성 과정 </t>
    <phoneticPr fontId="6" type="noConversion"/>
  </si>
  <si>
    <t>(디지털컨버전스)임베디드 소프트웨어 융합 풀스택 개발자 양성 과정B</t>
    <phoneticPr fontId="6" type="noConversion"/>
  </si>
  <si>
    <t xml:space="preserve">UIUX웹퍼블리싱&amp;프론트엔드실무자양성과정A </t>
    <phoneticPr fontId="6" type="noConversion"/>
  </si>
  <si>
    <t>(디지털디자인) 반응형 UXUI 웹디자이너 양성과정</t>
    <phoneticPr fontId="6" type="noConversion"/>
  </si>
  <si>
    <t>(디지털컨버전스)임베디드 소프트웨어 융합 풀스택 개발자 양성 과정C</t>
    <phoneticPr fontId="6" type="noConversion"/>
  </si>
  <si>
    <t xml:space="preserve">빅데이터 활용 클라우드 SaaS기반 시니어케어 ERP 개발 </t>
    <phoneticPr fontId="6" type="noConversion"/>
  </si>
  <si>
    <t>인공지능플랫폼(20010701)</t>
    <phoneticPr fontId="6" type="noConversion"/>
  </si>
  <si>
    <t>(산대특)_LLM을 활용한 클라우드 기반 AI서비스 개발자 과정_육성</t>
    <phoneticPr fontId="6" type="noConversion"/>
  </si>
  <si>
    <t>[디지털디자인]스마트UIUX반응형 웹퍼블리셔 양성과정 B</t>
    <phoneticPr fontId="6" type="noConversion"/>
  </si>
  <si>
    <t xml:space="preserve">(게임콘텐츠제작)게임 개발자(Unity 활용) 양성 </t>
    <phoneticPr fontId="6" type="noConversion"/>
  </si>
  <si>
    <t>(디지털컨버전스)공공데이터를 융합한 자바기반 Spring 웹개발자 양성 과정D</t>
    <phoneticPr fontId="6" type="noConversion"/>
  </si>
  <si>
    <t>(산대특)_사물인터넷(IoT) 기반 웹솔루션개발자_양성_지원</t>
    <phoneticPr fontId="6" type="noConversion"/>
  </si>
  <si>
    <t xml:space="preserve">(디지털컨버전스) 스프링 기반 웹솔루션 풀스택 개발자 양성과정 </t>
    <phoneticPr fontId="6" type="noConversion"/>
  </si>
  <si>
    <t>(디지털컨버전스)공공데이터를 융합한 자바기반 Spring 웹개발자 양성 과정E</t>
    <phoneticPr fontId="6" type="noConversion"/>
  </si>
  <si>
    <t>[과정평가형 자격] 전산응용건축제도기능사 취득과정</t>
    <phoneticPr fontId="6" type="noConversion"/>
  </si>
  <si>
    <t xml:space="preserve">(산대특) 공공데이터 융합 AWS클라우드 활용 풀스택 개발자 양성과정_육성 </t>
    <phoneticPr fontId="6" type="noConversion"/>
  </si>
  <si>
    <t>(디지털디자인) React 활용 스마트 UIUX 반응형 웹퍼블리셔 양성 과정C</t>
    <phoneticPr fontId="6" type="noConversion"/>
  </si>
  <si>
    <t>[산대특]클라우드기반 빅데이터를 활용한 정보시스템 보안과정_육성</t>
    <phoneticPr fontId="6" type="noConversion"/>
  </si>
  <si>
    <t>2D(포토샵, 일러스트, 에펙, 프리미어)영상편집자 양성과정</t>
    <phoneticPr fontId="6" type="noConversion"/>
  </si>
  <si>
    <t>(산대특) DevSecOps를 활용한 클라우드 보안 전문가 양성과정</t>
    <phoneticPr fontId="6" type="noConversion"/>
  </si>
  <si>
    <t>정보시스템 취약점 분석 전문가 양성과정</t>
    <phoneticPr fontId="6" type="noConversion"/>
  </si>
  <si>
    <t>정보보안산업기사 취득과정B</t>
    <phoneticPr fontId="6" type="noConversion"/>
  </si>
  <si>
    <t>응용SW엔지니어링(20010202)</t>
  </si>
  <si>
    <t>(디지털컨버전스)임베디드 소프트웨어 융합 풀스택 개발자 양성 과정D</t>
    <phoneticPr fontId="6" type="noConversion"/>
  </si>
  <si>
    <t>(산대특) AI(인공지능)활용 핀테크서비스 개발자 양성과정_육성</t>
    <phoneticPr fontId="6" type="noConversion"/>
  </si>
  <si>
    <t>2D 모션그래픽 영상전문가로 취업하기</t>
    <phoneticPr fontId="6" type="noConversion"/>
  </si>
  <si>
    <t>(게임콘텐츠제작) 유니티 게임 프로그래머 양성과정</t>
    <phoneticPr fontId="6" type="noConversion"/>
  </si>
  <si>
    <t>(출판) 디지털퍼블리싱 실무자양성과정B</t>
    <phoneticPr fontId="6" type="noConversion"/>
  </si>
  <si>
    <t xml:space="preserve">자바 기반 웹개발자 양성과정 </t>
    <phoneticPr fontId="6" type="noConversion"/>
  </si>
  <si>
    <t>(산대특) AI&amp;React 활용 스마트시티웨더 구축_리퍼블리셔 양성</t>
    <phoneticPr fontId="6" type="noConversion"/>
  </si>
  <si>
    <t>컴퓨터</t>
  </si>
  <si>
    <t>노원</t>
  </si>
  <si>
    <t>디지털디자인(08020104)</t>
  </si>
  <si>
    <t>편집디자인(22010102)</t>
  </si>
  <si>
    <t>유니티게임프로그램개발자양성과정</t>
    <phoneticPr fontId="6" type="noConversion"/>
  </si>
  <si>
    <t>게임콘텐츠제작(08030205)</t>
  </si>
  <si>
    <t>게임기획 전문 실무자 양성과정</t>
  </si>
  <si>
    <t>(디지털컨버전스)임베디드 소프트웨어 융합 풀스택 개발자 양성 과정K-SQF</t>
    <phoneticPr fontId="6" type="noConversion"/>
  </si>
  <si>
    <t>인천</t>
  </si>
  <si>
    <t>UI/UX엔지니어링(20010207)</t>
  </si>
  <si>
    <t>[디지털디자인]스마트UIUX 반응형 웹퍼블리셔 양성과정 C</t>
    <phoneticPr fontId="6" type="noConversion"/>
  </si>
  <si>
    <t>BIM 실내건축&amp;건축설계 실무양성과정 A</t>
    <phoneticPr fontId="6" type="noConversion"/>
  </si>
  <si>
    <t>스마트웹콘텐츠개발(20010207)</t>
    <phoneticPr fontId="6" type="noConversion"/>
  </si>
  <si>
    <t>(스마트웹&amp;콘텐츠개발) UI/UX 스마트콘텐츠 융합 응용SW개발자 양성과정 B</t>
    <phoneticPr fontId="6" type="noConversion"/>
  </si>
  <si>
    <t>(디지털컨버전스)공공데이터를 융합한 자바기반 Spring 웹개발자 양성 과정K-SQF</t>
    <phoneticPr fontId="6" type="noConversion"/>
  </si>
  <si>
    <t>생성형 AI(챗GPT API) 활용 실버케어 PHR(Personal Health Reacord) 솔루션 개발</t>
    <phoneticPr fontId="6" type="noConversion"/>
  </si>
  <si>
    <t>(정보시스템구축 개발,운영) 정보시스템 보안운영 및 보안사고 분석B</t>
    <phoneticPr fontId="6" type="noConversion"/>
  </si>
  <si>
    <t>(BIM)실내건축설계 인테리어(캐드,맥스,레빗,스케치업) B</t>
    <phoneticPr fontId="6" type="noConversion"/>
  </si>
  <si>
    <t>게임 디자인 2D그래픽 디자이너 양성(디지털드로잉, 컨셉아트, UI그래픽)</t>
    <phoneticPr fontId="6" type="noConversion"/>
  </si>
  <si>
    <t>(디지털컨버전스)임베디드 소프트웨어 융합 풀스택 개발자 양성 과정I</t>
    <phoneticPr fontId="6" type="noConversion"/>
  </si>
  <si>
    <t>게임프로그래머 실무자 양성과정(유니티)(1회차)</t>
    <phoneticPr fontId="6" type="noConversion"/>
  </si>
  <si>
    <t>(정보시스템구축(개발,운영)) 정보시스템 보안 구축 엔지니어 양성 과정</t>
    <phoneticPr fontId="6" type="noConversion"/>
  </si>
  <si>
    <t>(디지털컨버전스)임베디드 소프트웨어 융합 풀스택 개발자 양성 과정G</t>
    <phoneticPr fontId="6" type="noConversion"/>
  </si>
  <si>
    <t>빅데이터 활용 실버케어테크 인지치료소프트웨어 개발</t>
    <phoneticPr fontId="6" type="noConversion"/>
  </si>
  <si>
    <t>(디지털컨버전스)임베디드 소프트웨어 융합 풀스택 개발자 양성 과정J</t>
    <phoneticPr fontId="6" type="noConversion"/>
  </si>
  <si>
    <t>빅데이터기획(20010107)</t>
    <phoneticPr fontId="6" type="noConversion"/>
  </si>
  <si>
    <t>(빅데이터 분석 및 UI 전문가) 파이썬을 활용한 빅데이터 UI 전문가 양성과정</t>
    <phoneticPr fontId="6" type="noConversion"/>
  </si>
  <si>
    <t>Node.js와 React.js를 활용한 풀스택 개발자 양성과정_육성</t>
    <phoneticPr fontId="6" type="noConversion"/>
  </si>
  <si>
    <t>멀티미디어콘텐츠제작(에펙, 프리미어, 시네마4D)</t>
    <phoneticPr fontId="6" type="noConversion"/>
  </si>
  <si>
    <t>1월</t>
    <phoneticPr fontId="14" type="noConversion"/>
  </si>
  <si>
    <t>[KDT] 클라우드를 활용한 보안 전문가 양성과정</t>
    <phoneticPr fontId="6" type="noConversion"/>
  </si>
  <si>
    <t>2월</t>
    <phoneticPr fontId="14" type="noConversion"/>
  </si>
  <si>
    <t>(산대특)AI 빅데이터 시스템 보안 전문가 양성과정</t>
    <phoneticPr fontId="6" type="noConversion"/>
  </si>
  <si>
    <t xml:space="preserve">(산대특) 프롬프트AI &amp; Open API &amp; 공공데이터를 활용한 웹/앱 개발자 양성 과정 </t>
    <phoneticPr fontId="6" type="noConversion"/>
  </si>
  <si>
    <t>3월</t>
    <phoneticPr fontId="14" type="noConversion"/>
  </si>
  <si>
    <t>국내여행안내(12030103))</t>
    <phoneticPr fontId="6" type="noConversion"/>
  </si>
  <si>
    <t>4월</t>
    <phoneticPr fontId="14" type="noConversion"/>
  </si>
  <si>
    <t>세무(02030202)</t>
    <phoneticPr fontId="6" type="noConversion"/>
  </si>
  <si>
    <t>5월</t>
    <phoneticPr fontId="14" type="noConversion"/>
  </si>
  <si>
    <t>[산대특] 프롬프트AI &amp; Open API &amp; 공공데이터를 활용한 웹/앱 개발자 양성 과정</t>
    <phoneticPr fontId="6" type="noConversion"/>
  </si>
  <si>
    <t>6월</t>
    <phoneticPr fontId="14" type="noConversion"/>
  </si>
  <si>
    <t>7월</t>
    <phoneticPr fontId="14" type="noConversion"/>
  </si>
  <si>
    <t>[과정평가형] 정보처리산업기사 취득과정B</t>
    <phoneticPr fontId="6" type="noConversion"/>
  </si>
  <si>
    <t>8월</t>
    <phoneticPr fontId="14" type="noConversion"/>
  </si>
  <si>
    <t>실내건축인테리어 과정</t>
    <phoneticPr fontId="6" type="noConversion"/>
  </si>
  <si>
    <t>AWS와 데브옵스를 활용한 바이오헬스 서비스 개발 과정</t>
    <phoneticPr fontId="6" type="noConversion"/>
  </si>
  <si>
    <t xml:space="preserve">(디지털 컨버전스) 임베디드 소프트웨어 융합 풀스택 개발자 양성과정 </t>
    <phoneticPr fontId="6" type="noConversion"/>
  </si>
  <si>
    <t>9월</t>
    <phoneticPr fontId="14" type="noConversion"/>
  </si>
  <si>
    <t>모션그래픽&amp;영상편집 전문가(영상제작자 과정)</t>
    <phoneticPr fontId="6" type="noConversion"/>
  </si>
  <si>
    <t>10월</t>
    <phoneticPr fontId="14" type="noConversion"/>
  </si>
  <si>
    <t>[UIUX] 반응형웹디자인&amp;웹퍼블리셔(프론트엔드) 양성 과정</t>
    <phoneticPr fontId="6" type="noConversion"/>
  </si>
  <si>
    <t>[출판] 디지털편집디자인(일러스트,포토샵,인디자인) 실무양성과정B</t>
    <phoneticPr fontId="6" type="noConversion"/>
  </si>
  <si>
    <t>11월</t>
    <phoneticPr fontId="14" type="noConversion"/>
  </si>
  <si>
    <t>(정보보안)웹서버개발 및 웹보안 솔루션 구축 융합과정</t>
    <phoneticPr fontId="6" type="noConversion"/>
  </si>
  <si>
    <t>(게임콘텐츠제작)게임 3D그래픽 디자이너 양성과정(MAX)</t>
    <phoneticPr fontId="6" type="noConversion"/>
  </si>
  <si>
    <t>(산대특)클라우드 기반 가상화 솔루션 보안전문가 양성_육성</t>
    <phoneticPr fontId="6" type="noConversion"/>
  </si>
  <si>
    <t>12월</t>
    <phoneticPr fontId="14" type="noConversion"/>
  </si>
  <si>
    <t>(스마트웹&amp;콘텐츠개발) 프론트엔드(UIUX)개발자 양성과정</t>
    <phoneticPr fontId="6" type="noConversion"/>
  </si>
  <si>
    <t>(BIM)건축설계&amp;실내건축설계양성과정(CAD,MAX)C</t>
    <phoneticPr fontId="6" type="noConversion"/>
  </si>
  <si>
    <t>(산대특)_2D 모션그래픽 영상편집 실무 양성 과정(챗GPT, 생성형 AI, 프리미어, 에프터 이펙트)</t>
    <phoneticPr fontId="6" type="noConversion"/>
  </si>
  <si>
    <t>(산대특)_친환경 3D프린팅 기술에 활용 가능한 2D(CAD), 3D(Inventor, Rhino) 기계부품 설계과정 (전기자동차)</t>
    <phoneticPr fontId="6" type="noConversion"/>
  </si>
  <si>
    <t>(출판) 디지털퍼블리싱 실무자양성과정C</t>
    <phoneticPr fontId="6" type="noConversion"/>
  </si>
  <si>
    <t xml:space="preserve">게임프로그래머개발자양성(유니티) </t>
    <phoneticPr fontId="6" type="noConversion"/>
  </si>
  <si>
    <t>1월</t>
    <phoneticPr fontId="6" type="noConversion"/>
  </si>
  <si>
    <t>승무원</t>
    <phoneticPr fontId="6" type="noConversion"/>
  </si>
  <si>
    <t>관광통역안내사/국내여행안내사 필기 자격증과정</t>
    <phoneticPr fontId="6" type="noConversion"/>
  </si>
  <si>
    <t>강남</t>
    <phoneticPr fontId="6" type="noConversion"/>
  </si>
  <si>
    <t>계</t>
    <phoneticPr fontId="6" type="noConversion"/>
  </si>
  <si>
    <t>항공사지상직CRS(예약발권)/DCS(탑승수속)과정</t>
    <phoneticPr fontId="6" type="noConversion"/>
  </si>
  <si>
    <t>항공여객운송서비스(09040205)</t>
    <phoneticPr fontId="6" type="noConversion"/>
  </si>
  <si>
    <t>여행사CRS(예약발권)/OP(오퍼레이터)과정</t>
    <phoneticPr fontId="6" type="noConversion"/>
  </si>
  <si>
    <t>여행상품상담(12030102)</t>
    <phoneticPr fontId="6" type="noConversion"/>
  </si>
  <si>
    <t>4월</t>
    <phoneticPr fontId="6" type="noConversion"/>
  </si>
  <si>
    <t>국내여행안내(12030103)</t>
    <phoneticPr fontId="6" type="noConversion"/>
  </si>
  <si>
    <t>7월</t>
    <phoneticPr fontId="6" type="noConversion"/>
  </si>
  <si>
    <t>8월</t>
    <phoneticPr fontId="6" type="noConversion"/>
  </si>
  <si>
    <t>여행사예약발권(CRS)/오퍼레이터(OP)과정</t>
    <phoneticPr fontId="6" type="noConversion"/>
  </si>
  <si>
    <t>11월</t>
    <phoneticPr fontId="6" type="noConversion"/>
  </si>
  <si>
    <t>5월</t>
    <phoneticPr fontId="6" type="noConversion"/>
  </si>
  <si>
    <t>6월</t>
    <phoneticPr fontId="6" type="noConversion"/>
  </si>
  <si>
    <t>2월</t>
    <phoneticPr fontId="6" type="noConversion"/>
  </si>
  <si>
    <t>국</t>
    <phoneticPr fontId="6" type="noConversion"/>
  </si>
  <si>
    <r>
      <t xml:space="preserve">2024년도 모집현황 </t>
    </r>
    <r>
      <rPr>
        <b/>
        <sz val="12"/>
        <color rgb="FF0070C0"/>
        <rFont val="맑은 고딕"/>
        <family val="3"/>
        <charset val="129"/>
        <scheme val="minor"/>
      </rPr>
      <t>(승무원 포함)</t>
    </r>
    <phoneticPr fontId="14" type="noConversion"/>
  </si>
  <si>
    <t>12월</t>
    <phoneticPr fontId="6" type="noConversion"/>
  </si>
  <si>
    <t>게임</t>
    <phoneticPr fontId="6" type="noConversion"/>
  </si>
  <si>
    <t>수원</t>
    <phoneticPr fontId="6" type="noConversion"/>
  </si>
  <si>
    <t>게임프로그래밍 개발자 양성과정 A</t>
    <phoneticPr fontId="6" type="noConversion"/>
  </si>
  <si>
    <t>계</t>
    <phoneticPr fontId="6" type="noConversion"/>
  </si>
  <si>
    <t>11월</t>
    <phoneticPr fontId="6" type="noConversion"/>
  </si>
  <si>
    <t>컴퓨터</t>
    <phoneticPr fontId="6" type="noConversion"/>
  </si>
  <si>
    <t>안산</t>
    <phoneticPr fontId="6" type="noConversion"/>
  </si>
  <si>
    <t>계</t>
    <phoneticPr fontId="6" type="noConversion"/>
  </si>
  <si>
    <t>실내건축설계 양성과정</t>
    <phoneticPr fontId="6" type="noConversion"/>
  </si>
  <si>
    <t>지점명</t>
    <phoneticPr fontId="14" type="noConversion"/>
  </si>
  <si>
    <t>훈련종류</t>
    <phoneticPr fontId="6" type="noConversion"/>
  </si>
  <si>
    <t>훈련과정명</t>
    <phoneticPr fontId="6" type="noConversion"/>
  </si>
  <si>
    <t>훈련시작일</t>
    <phoneticPr fontId="6" type="noConversion"/>
  </si>
  <si>
    <t>훈련종료일</t>
    <phoneticPr fontId="14" type="noConversion"/>
  </si>
  <si>
    <t>강남</t>
    <phoneticPr fontId="14" type="noConversion"/>
  </si>
  <si>
    <t>항공여객운송서비스 (09040205)</t>
    <phoneticPr fontId="6" type="noConversion"/>
  </si>
  <si>
    <t>항공사지상직CRS(예약발권)/DCS(공항수속)과정</t>
    <phoneticPr fontId="6" type="noConversion"/>
  </si>
  <si>
    <t>분당</t>
    <phoneticPr fontId="14" type="noConversion"/>
  </si>
  <si>
    <t>여행상품상담 (12030102)</t>
    <phoneticPr fontId="6" type="noConversion"/>
  </si>
  <si>
    <t>국내여행안내 (12030103)</t>
    <phoneticPr fontId="6" type="noConversion"/>
  </si>
  <si>
    <t xml:space="preserve"> (계좌제)게임기획 실무자 양성과정</t>
    <phoneticPr fontId="6" type="noConversion"/>
  </si>
  <si>
    <t>신촌</t>
    <phoneticPr fontId="14" type="noConversion"/>
  </si>
  <si>
    <t>(게임콘텐츠제작) 게임개발자 양성과정 (유니티엔진 활용 프로그래밍, 기획)</t>
    <phoneticPr fontId="6" type="noConversion"/>
  </si>
  <si>
    <t>천안</t>
    <phoneticPr fontId="14" type="noConversion"/>
  </si>
  <si>
    <t>게임프로그래머 개발자 양성(유니티)</t>
  </si>
  <si>
    <t>부산</t>
    <phoneticPr fontId="14" type="noConversion"/>
  </si>
  <si>
    <t>생성형 AI 챗봇 활용 시니어 슬립테크 디지털 치료제 개발자 양성</t>
  </si>
  <si>
    <t>대전</t>
    <phoneticPr fontId="14" type="noConversion"/>
  </si>
  <si>
    <t>건축설계(14030101)</t>
  </si>
  <si>
    <t>[BIM] 건축설계&amp;실내건축설계 실무양성과정 (캐드,스케치업,레빗) A</t>
  </si>
  <si>
    <t>대구</t>
    <phoneticPr fontId="14" type="noConversion"/>
  </si>
  <si>
    <t>(스마트웹&amp;콘텐츠개발) 스마트웹 응용 프로그래밍 개발자 양성 과정B</t>
  </si>
  <si>
    <t>보안엔지니어링(20010206)</t>
  </si>
  <si>
    <t>(산대특)_클라우드기반 빅데이터를 활용한 정보시스템 보안과정_육성</t>
  </si>
  <si>
    <t>승무원</t>
  </si>
  <si>
    <t>항공여객운송서비스(09040205)</t>
  </si>
  <si>
    <t>항공사지상직CRS(예약발권)/DCS(공항수속)과정</t>
  </si>
  <si>
    <t>인천</t>
    <phoneticPr fontId="14" type="noConversion"/>
  </si>
  <si>
    <t>(스마트웹콘텐츠개발) AWS클라우드를 활용한 풀스택(React, SpringBoot) 개발</t>
  </si>
  <si>
    <t>여행상품상담(12030102)</t>
  </si>
  <si>
    <t>여행사예약발권(CRS)/오퍼레이터(OP)과정</t>
  </si>
  <si>
    <t>(디지털컨버전스) 공공데이터 융합 풀스택 개발자 양성과정E</t>
  </si>
  <si>
    <t>AI활용 소프트웨어 개발 및 응용과정A</t>
  </si>
  <si>
    <t>과평</t>
  </si>
  <si>
    <t>정보보호관리·운영(20010601)</t>
  </si>
  <si>
    <t>정보보안산업기사 취득과정A</t>
  </si>
  <si>
    <t>프롬프트AI &amp; Open API &amp; 공공데이터를 활용한 웹/앱 개발자 양성 과정_재인정특례</t>
  </si>
  <si>
    <t>[과정평가형] 정보처리산업기사 취득과정A</t>
  </si>
  <si>
    <t>광고콘텐츠제작(08030204)</t>
  </si>
  <si>
    <t>영상편집&amp;모션그래픽제작(프리미어,에프터이펙트)실무자 양성 과정</t>
  </si>
  <si>
    <t>[디지털디자인] 챗GPT &amp; AI를 활용한 UIUX 반응형 웹퍼블리셔 양성과정 A</t>
  </si>
  <si>
    <t>관광통역안내사/국내여행안내사 필기 자격증과정</t>
  </si>
  <si>
    <t>실내건축설계(14030104)</t>
  </si>
  <si>
    <t>(BIM) 실내건축설계 인테리어 양성과정</t>
    <phoneticPr fontId="14" type="noConversion"/>
  </si>
  <si>
    <t>수원</t>
    <phoneticPr fontId="14" type="noConversion"/>
  </si>
  <si>
    <t>게임기획 실무자 양성과정</t>
  </si>
  <si>
    <t>홍대</t>
    <phoneticPr fontId="14" type="noConversion"/>
  </si>
  <si>
    <t>AI를 활용한 스마트UIUX 반응형 웹디자인(웹퍼블리셔)A</t>
  </si>
  <si>
    <t>디지털 트윈 활용 독거노인 헬스케어 실시간 모니터링 솔루션</t>
    <phoneticPr fontId="14" type="noConversion"/>
  </si>
  <si>
    <t>(정보시스템구축(개발,운영)) 정보시스템 보안운영 및 보안사고 분석A</t>
  </si>
  <si>
    <t>부평</t>
    <phoneticPr fontId="14" type="noConversion"/>
  </si>
  <si>
    <t>(출판) 챗GPT, AI를 활용한 디지털편집디자인(포토샵,일러스트,인디자인)</t>
  </si>
  <si>
    <t xml:space="preserve"> [과정평가형] 멀티미디어콘텐츠제작전문가 취득(프리미어,에펙,C4D)A</t>
  </si>
  <si>
    <t>(게임콘텐츠제작) 게임 기획 실무자 양성과정(2025)</t>
    <phoneticPr fontId="14" type="noConversion"/>
  </si>
  <si>
    <t>정보처리산업기사 취득과정A</t>
  </si>
  <si>
    <t>디지털 편집디자이너(포토샵, 일러스트, 포트폴리오) 실무자 양성과정</t>
  </si>
  <si>
    <t>구월</t>
    <phoneticPr fontId="14" type="noConversion"/>
  </si>
  <si>
    <t>시각디자인(08020101)</t>
  </si>
  <si>
    <t xml:space="preserve"> [일반고]시각디자이너 양성과정</t>
  </si>
  <si>
    <t>안산</t>
    <phoneticPr fontId="14" type="noConversion"/>
  </si>
  <si>
    <t>모션그래픽 광고콘텐츠(영상제작,편집,CG) 제작과정</t>
  </si>
  <si>
    <t>편집디자인(포토샵, 일러스트, 인디자인) 실무자 양성과정</t>
  </si>
  <si>
    <t>노원</t>
    <phoneticPr fontId="14" type="noConversion"/>
  </si>
  <si>
    <t>[디지털디자인]스마트UIUX반응형웹디자인(웹퍼블리셔)</t>
  </si>
  <si>
    <t xml:space="preserve"> 응용SW엔지니어링(20010202)</t>
  </si>
  <si>
    <t>(디지털컨버전스) 공공데이터 융합 풀스택 개발자 양성과정A</t>
  </si>
  <si>
    <t>(디지털디자인)웹디자이너양성과정</t>
  </si>
  <si>
    <t>모션그래픽 영상제작 전문가 양성과정</t>
  </si>
  <si>
    <t>AI활용 소프트웨어 개발 및 응용과정B</t>
  </si>
  <si>
    <t>UI/UX 엔지니어링(20010207)</t>
  </si>
  <si>
    <t>(산대특) AI(인공지능)활용 핀테크서비스 개발자 양성과정_육성</t>
  </si>
  <si>
    <t>자바(JAVA) 기반 백엔드 개발자 양성과정</t>
  </si>
  <si>
    <t>게임 유니티 전문가 양성과정</t>
  </si>
  <si>
    <t>건축설계(14030104)</t>
  </si>
  <si>
    <t>[과정평가형] 전산응용건축제도기능사 취득과정</t>
  </si>
  <si>
    <t>실내건축설계(CAD, 스케치업) 인테리어디자이너 양성과정</t>
  </si>
  <si>
    <t>(국기)유니티 게임프로그램개발자 양성과정</t>
  </si>
  <si>
    <t>일산</t>
    <phoneticPr fontId="14" type="noConversion"/>
  </si>
  <si>
    <t>(게임콘텐츠제작)유니티(Unity) 프로그래밍 전문가 양성과정</t>
  </si>
  <si>
    <t>컴퓨터</t>
    <phoneticPr fontId="14" type="noConversion"/>
  </si>
  <si>
    <t>안양</t>
    <phoneticPr fontId="14" type="noConversion"/>
  </si>
  <si>
    <t>광고콘텐츠제작(08030204)</t>
    <phoneticPr fontId="14" type="noConversion"/>
  </si>
  <si>
    <t>모션그래픽 실무자 양성과정(프리미어,에펙,포토샵,일러스트)</t>
    <phoneticPr fontId="14" type="noConversion"/>
  </si>
  <si>
    <t>광주</t>
    <phoneticPr fontId="14" type="noConversion"/>
  </si>
  <si>
    <t>챗GPT를 활용한 스마트기기 웹디자이너 양성과정</t>
  </si>
  <si>
    <t>(게임콘텐츠제작) 유니티기반 게임기획자 및 게임프로그래머 양성</t>
  </si>
  <si>
    <t>산대특</t>
    <phoneticPr fontId="14" type="noConversion"/>
  </si>
  <si>
    <t>(2024)빅데이터·AI 기반 시니어 디지털 헬스케어 웰니스 플랫폼 개발</t>
  </si>
  <si>
    <t>국내여행안내(12030103)</t>
  </si>
  <si>
    <t xml:space="preserve"> 관광통역안내사/국내여행안내사 필기 자격증과정</t>
  </si>
  <si>
    <t>[디지털컨버전스]공공데이터 융합 풀스택 개발자 양성과정</t>
  </si>
  <si>
    <t>영상편집(프리미어, 에펙) 양성과정</t>
  </si>
  <si>
    <t>(디지털컨버전스) 공공데이터 융합 풀스택 개발자 양성과정N</t>
  </si>
  <si>
    <t>게임 디자인 2D그래픽 디자이너 양성(디지털드로잉, 컨셉아트, UI그래픽)</t>
  </si>
  <si>
    <t>유니티엔진을 활용한 게임개발자 양성과정(프로그래밍, 기획)</t>
  </si>
  <si>
    <t>광고콘텐츠제작 (08030204)</t>
  </si>
  <si>
    <t>(게임콘텐츠제작)유니티 프로그래머 전문가 양성과정</t>
  </si>
  <si>
    <t>분당</t>
  </si>
  <si>
    <t>(게임콘텐츠제작)게임개발자 양성과정</t>
  </si>
  <si>
    <t>[출판] AI를 활용한 디지털편집디자인(일러스트,포토샵,인디자인) 실무양성과정A</t>
  </si>
  <si>
    <t>영상편집 3D모션그래픽제작(프리미어, 애프터이펙트, 시네마4D)</t>
    <phoneticPr fontId="14" type="noConversion"/>
  </si>
  <si>
    <t>천안</t>
  </si>
  <si>
    <t>실내건축설계(AUTO CAD, Sketchup)인테리어디자이너 양성과정</t>
    <phoneticPr fontId="14" type="noConversion"/>
  </si>
  <si>
    <t>게임프로그래머 양성과정(유니티)</t>
  </si>
  <si>
    <t>[디지털디자인] 챗GPT &amp; AI를 활용한 UIUX 반응형 웹퍼블리셔 양성과정 B</t>
  </si>
  <si>
    <t>울산</t>
  </si>
  <si>
    <t>(산대특)_2D 모션그래픽 영상편집 실무 양성 과정(챗GPT, 생성형 AI, 프리미어, 에프터 이펙트)</t>
  </si>
  <si>
    <t>게임그래픽 디자이너 양성과정</t>
  </si>
  <si>
    <t>(스마트웹&amp;콘텐츠개발) 미래를 디자인하는 UI/UX 스마트콘텐츠 응용 개발 과정A</t>
  </si>
  <si>
    <t>종로</t>
  </si>
  <si>
    <t>세무(02030202)</t>
  </si>
  <si>
    <t>전산세무회계(전산회계1급,전산세무2급) 취득과정(1회차)</t>
  </si>
  <si>
    <t>편집디자인(포토샵, 일러스트) 실무자 양성과정</t>
  </si>
  <si>
    <t>여행사CRS(예약발권)/OP(오퍼레이터)과정</t>
    <phoneticPr fontId="14" type="noConversion"/>
  </si>
  <si>
    <t>(산대특) 클라우드 기반 가상화 솔루션 보안전문가 양성_육성</t>
  </si>
  <si>
    <t>KDT</t>
    <phoneticPr fontId="14" type="noConversion"/>
  </si>
  <si>
    <t>(정보보안)웹서버개발 및 웹보안 솔루션 구축 융합과정_3회차</t>
  </si>
  <si>
    <t>공공데이터 AWS 클라우드를 활용한 웹앱 풀스택 개발자 양성과정</t>
  </si>
  <si>
    <t>게임콘텐츠제작(08030205)</t>
    <phoneticPr fontId="14" type="noConversion"/>
  </si>
  <si>
    <t>게임프로그래밍 개발자 양성 과정(유니티)</t>
    <phoneticPr fontId="14" type="noConversion"/>
  </si>
  <si>
    <t>[디지털디자인]챗GPT를 활용한 스마트UIUX 반응형 웹디자인(웹퍼블리셔)_A</t>
  </si>
  <si>
    <t>[과정평가형]정보보안산업기사 취득과정A</t>
  </si>
  <si>
    <t>(디지털디자인) 챗GPT를 활용한 스마트UIUX 반응형 웹디자이너 양성과정</t>
  </si>
  <si>
    <t>[디지털컨버전스] 스프링 기반 풀스택 JAVA웹 개발자 양성과정</t>
    <phoneticPr fontId="14" type="noConversion"/>
  </si>
  <si>
    <t>네일미용(12010104)</t>
  </si>
  <si>
    <t>미용사(네일)국가자격증 취득과정</t>
  </si>
  <si>
    <t>[산대특] AWS와 데브옵스를 활용한 바이오헬스 서비스 개발 과정</t>
  </si>
  <si>
    <t>(국기) 언리얼엔진 게임개발자 양성과정</t>
  </si>
  <si>
    <t>(산대특) JAVA&amp;Python기반 빅데이터 분석 활용 AI플랫폼 개발자 양성과정</t>
  </si>
  <si>
    <t>[BIM] 건축설계&amp;실내건축설계 실무양성과정 (캐드,스케치업,레빗) B</t>
  </si>
  <si>
    <t>(출판)디지털퍼블리싱 실무자양성과정A</t>
  </si>
  <si>
    <t>빅데이터 분석 및 UI 전문가) 자바, 파이썬 기반 빅데이터 UI 전문가 양성과정</t>
  </si>
  <si>
    <t>(2025)(산대특)_사물인터넷(IoT) 기반 웹솔루션개발자_양성_지원</t>
  </si>
  <si>
    <t>(디지털컨버전스) 공공데이터 융합 풀스택 개발자 양성과정K</t>
  </si>
  <si>
    <t>유니티 게임프로그래머 양성과정</t>
  </si>
  <si>
    <t>(디지털컨버전스) 공공데이터 융합 풀스택 개발자 양성과정O</t>
  </si>
  <si>
    <t>웹디자이너&amp;퍼블리셔 양성과정</t>
  </si>
  <si>
    <t xml:space="preserve"> (정보시스템구축(개발·운영)) 프로젝트 기반 시스템 보안 전문가 양성과정</t>
  </si>
  <si>
    <t>실내건축설계 인테리어과정(캐드,스케치업)</t>
  </si>
  <si>
    <t xml:space="preserve">게임기획 실무자 양성과정 </t>
  </si>
  <si>
    <t>[멀티미디어] 멀티미디어콘텐츠제작(에펙, 프리미어, 시네마4D)_B</t>
  </si>
  <si>
    <t>빅데이터 활용 클라우드 SaaS기반 시니어케어 ERP 개발</t>
  </si>
  <si>
    <t>인공지능플랫폼구축(20010701)</t>
  </si>
  <si>
    <t>(AI 활용 소프트웨어 개발 및 응용) AI 활용 소프트웨어 개발 및 응용과정</t>
  </si>
  <si>
    <t>구월</t>
  </si>
  <si>
    <t>UIUX 웹 디자이너 양성과정</t>
  </si>
  <si>
    <t>시스템SW엔지니어링(20010208</t>
  </si>
  <si>
    <t>[산대특]생성형 AI를 활용한 UIUX웹개발자 양성과정</t>
  </si>
  <si>
    <t>(정보시스템구축(개발·운영)) 정보시스템 보안운영 및 보안사고 분석B</t>
  </si>
  <si>
    <t>[멀티미디어] 멀티미디어콘텐츠제작(에펙, 프리미어, 시네마4D)_A</t>
  </si>
  <si>
    <t>(디지털컨버전스) 공공데이터 융합 풀스택 개발자 양성과정I</t>
  </si>
  <si>
    <t>랭체인을 활용한 AI 영상객체탐지분석 플랫폼 구축과정 A</t>
  </si>
  <si>
    <t>정보처리산업기사 취득과정B</t>
  </si>
  <si>
    <t>[과정평가형] 정보보안산업기사 취득과정A</t>
  </si>
  <si>
    <t>(산대특) CI/CD 자동화를 위한 React&amp;Node.js 기반 풀스택 개발 과정</t>
  </si>
  <si>
    <t>(과정형가형) 정보처리산업기사 취득과정B</t>
  </si>
  <si>
    <t>(게임콘텐츠제작)유니티 게임프로그래밍&amp;기획 전문가 양성과정</t>
  </si>
  <si>
    <t>[BIM] 건축설계&amp;실내건축설계 실무양성과정 (캐드,스케치업,레빗) C</t>
  </si>
  <si>
    <t>실내건축 인테리어과정(캐드,스케치업,맥스)</t>
  </si>
  <si>
    <t>[산대특] 생성형AI 기반 게임 시스템 및 콘텐츠 융합 프로그래밍 개발자 양성과정</t>
  </si>
  <si>
    <t>일산</t>
  </si>
  <si>
    <t>실내건축 인테리어(캐드, 맥스) 과정</t>
  </si>
  <si>
    <t>(게임콘텐츠제작) 게임 3D그래픽 디자이너 양성과정(2025)</t>
  </si>
  <si>
    <t>(스마트웹&amp;콘텐츠개발) 스마트웹 응용 프로그래밍 개발자 양성 과정A</t>
  </si>
  <si>
    <t>(게임콘텐츠제작)게임프로그래밍 실무자 양성과정</t>
  </si>
  <si>
    <t>[디지털디자인] 챗GPT &amp; AI를 활용한 UIUX 반응형 웹퍼블리셔 양성과정 C</t>
  </si>
  <si>
    <t>편집디자인(22010102</t>
  </si>
  <si>
    <t>(출판)디지털퍼블리싱 실무자양성과정B</t>
  </si>
  <si>
    <t>글로벌문화관광 콘텐츠 영상제작과정</t>
  </si>
  <si>
    <t>(디지털컨버전스) 공공데이터 융합 풀스택 개발자 양성과정P</t>
  </si>
  <si>
    <t>검색증강생성(RAG) AI 기반 문화관광 스마트콘텐츠 플랫폼 개발자 양성</t>
  </si>
  <si>
    <t>여행사CRS(예약발권)/오퍼레이터(OP)과정</t>
  </si>
  <si>
    <t>모션그래픽(영상편집디자인) 실무자 양성과정</t>
  </si>
  <si>
    <t>애니메이션콘텐츠제작(08030206)</t>
  </si>
  <si>
    <t>[과정평가형] 멀티미디어콘텐츠제작전문가 취득(프리미어,에펙,C4D)B</t>
  </si>
  <si>
    <t>실내건축 인테리어 실무자 양성과정</t>
  </si>
  <si>
    <t>안산</t>
  </si>
  <si>
    <t>요리</t>
    <phoneticPr fontId="14" type="noConversion"/>
  </si>
  <si>
    <t>근</t>
    <phoneticPr fontId="14" type="noConversion"/>
  </si>
  <si>
    <t>제빵(21020102)</t>
    <phoneticPr fontId="14" type="noConversion"/>
  </si>
  <si>
    <t>제과제빵기능사자격증 취득과정(실기)</t>
    <phoneticPr fontId="14" type="noConversion"/>
  </si>
  <si>
    <t>실내디자인(08020107)</t>
  </si>
  <si>
    <t>(과정평가형) 실내건축기능사 취득과정A</t>
    <phoneticPr fontId="6" type="noConversion"/>
  </si>
  <si>
    <t>(과정평가형 자격)정보처리기능사 취득과정</t>
    <phoneticPr fontId="6" type="noConversion"/>
  </si>
  <si>
    <t>영상편집 3D모션그래픽제작(프리미어, 애프터이펙트, 시네마4D)</t>
    <phoneticPr fontId="6" type="noConversion"/>
  </si>
  <si>
    <t>랭체인을 활용한 AI 영상객체탐지분석 플랫폼 구축과정</t>
    <phoneticPr fontId="6" type="noConversion"/>
  </si>
  <si>
    <t>항공사지상직(CRS)/DCS(탑승수속)과정</t>
    <phoneticPr fontId="6" type="noConversion"/>
  </si>
  <si>
    <t>(산대특) JAVA&amp;Python기반 빅데이터 분석 활용 AI플랫폼 개발자 양성과정</t>
    <phoneticPr fontId="6" type="noConversion"/>
  </si>
  <si>
    <t>뷰티</t>
    <phoneticPr fontId="14" type="noConversion"/>
  </si>
  <si>
    <t>메이크업(12010103)</t>
    <phoneticPr fontId="14" type="noConversion"/>
  </si>
  <si>
    <t>속눈썹 연장 및 펌 실무과정</t>
    <phoneticPr fontId="14" type="noConversion"/>
  </si>
  <si>
    <t>그린에너지 스마트건축 설계 실무과정</t>
    <phoneticPr fontId="6" type="noConversion"/>
  </si>
  <si>
    <t xml:space="preserve"> (AI 활용 소프트웨어 개발 및 응용)AI 활용 소프트웨어 개발자 양성과정</t>
    <phoneticPr fontId="6" type="noConversion"/>
  </si>
  <si>
    <t>(디지털컨버전스) 공공데이터 융합 풀스택 개발자 양성과정</t>
    <phoneticPr fontId="6" type="noConversion"/>
  </si>
  <si>
    <t>편집디자인(포토샵, 일러스트, 인디자인) 양성과정</t>
    <phoneticPr fontId="6" type="noConversion"/>
  </si>
  <si>
    <t>[과정평가형]정보보안산업기사 취득과정B</t>
    <phoneticPr fontId="6" type="noConversion"/>
  </si>
  <si>
    <t>(디지털컨버전스) 공공데이터 융합 풀스택 개발자 양성과정Q</t>
    <phoneticPr fontId="6" type="noConversion"/>
  </si>
  <si>
    <t>(디지털디자인) 챗GPT를 활용한 스마트기기 UXUI 웹디자이너 양성과정</t>
    <phoneticPr fontId="6" type="noConversion"/>
  </si>
  <si>
    <t>(산대특) AWS클라우드 환경의 인프라구축을 통한 보안전문가 양성과정</t>
    <phoneticPr fontId="6" type="noConversion"/>
  </si>
  <si>
    <t>여행사CRS(예약발권)/오퍼레이터(OP)과정</t>
    <phoneticPr fontId="6" type="noConversion"/>
  </si>
  <si>
    <t>[UIUX]반응형웹디자인&amp;웹퍼블리셔(프론트엔드)양성과정</t>
    <phoneticPr fontId="6" type="noConversion"/>
  </si>
  <si>
    <t>[과정평가] 정보보안산업기사 취득과정B</t>
    <phoneticPr fontId="6" type="noConversion"/>
  </si>
  <si>
    <t>(AI 활용 소프트웨어 개발 및 응용)AI활용 소프트웨어 개발 및 응용과정C</t>
    <phoneticPr fontId="6" type="noConversion"/>
  </si>
  <si>
    <t>[이스트캠프]오르미 백엔드 개발(Java, Spring, JPA)</t>
    <phoneticPr fontId="6" type="noConversion"/>
  </si>
  <si>
    <t>[이스트캠프] 오르미 프론트엔드 개발(React, HTML/CSS/JavaScript)</t>
    <phoneticPr fontId="6" type="noConversion"/>
  </si>
  <si>
    <t>(게임콘텐츠제작) 게임그래픽 디자인 전문가양성(2D/3D)</t>
    <phoneticPr fontId="6" type="noConversion"/>
  </si>
  <si>
    <t>(게임콘텐츠제작) 유니티개발엔진 활용한 게임제작자 양성과정 (프로그래밍, 기획)</t>
    <phoneticPr fontId="6" type="noConversion"/>
  </si>
  <si>
    <t>[디지털디자인] AI를 활용한 스마트UIUX 반응형 웹디자인(웹퍼블리셔)B</t>
    <phoneticPr fontId="6" type="noConversion"/>
  </si>
  <si>
    <t>[디지털디자인] 챗GPT &amp; AI를 활용한 UIUX 반응형 웹퍼블리셔 양성과정 D</t>
    <phoneticPr fontId="6" type="noConversion"/>
  </si>
  <si>
    <t>(스마트웹&amp;콘텐츠개발) UIUX 웹디자인(웹퍼블리셔) 과정</t>
    <phoneticPr fontId="6" type="noConversion"/>
  </si>
  <si>
    <t>전산세무회계 자격증 취득과정(전산회계1급+전산세무2급)</t>
    <phoneticPr fontId="6" type="noConversion"/>
  </si>
  <si>
    <t>(게임콘텐츠제작)게임프로그래밍 전문가양성과정(유니티)</t>
    <phoneticPr fontId="6" type="noConversion"/>
  </si>
  <si>
    <t>(산대특)_AI 기반 모션·광고콘텐츠 제작자 (생성형AI, 프리미어, 에펙, C4D) 육성과정</t>
    <phoneticPr fontId="6" type="noConversion"/>
  </si>
  <si>
    <t>(출판)산업변화에 따른 영상제작 가능한 디지털 편집디자이너 양성과정</t>
    <phoneticPr fontId="6" type="noConversion"/>
  </si>
  <si>
    <t>게임기획 전문 실무자 양성과정(2회차)-계좌제</t>
    <phoneticPr fontId="6" type="noConversion"/>
  </si>
  <si>
    <t>(2025)빅데이터 활용 실버케어테크 인지치료소프트웨어 개발</t>
    <phoneticPr fontId="6" type="noConversion"/>
  </si>
  <si>
    <t>[출판] AI를 활용한 디지털편집디자인(일러스트,포토샵,인디자인) 실무양성과정B</t>
    <phoneticPr fontId="6" type="noConversion"/>
  </si>
  <si>
    <t>UIUX 반응형 웹디자인&amp;웹퍼블리셔 양성과정</t>
    <phoneticPr fontId="6" type="noConversion"/>
  </si>
  <si>
    <t>(게임콘텐츠제작) 유니티 게임 프로그래머 양성과정A(2025)</t>
    <phoneticPr fontId="6" type="noConversion"/>
  </si>
  <si>
    <t>(디지털컨버전스) 공공데이터 융합 풀스택 개발자 양성과정S</t>
    <phoneticPr fontId="6" type="noConversion"/>
  </si>
  <si>
    <t>(게임콘텐츠제작) 유니티게임프로그래머양성과정</t>
    <phoneticPr fontId="6" type="noConversion"/>
  </si>
  <si>
    <t>(게임콘텐츠제작)게임 프로그래머 양성과정</t>
    <phoneticPr fontId="6" type="noConversion"/>
  </si>
  <si>
    <t>[산대특] 바이브코딩을 활용한 AI 기반 웹풀스택 개발 과정</t>
    <phoneticPr fontId="6" type="noConversion"/>
  </si>
  <si>
    <t>승무원</t>
    <phoneticPr fontId="14" type="noConversion"/>
  </si>
  <si>
    <t>항공여객운송서비스(09040205)</t>
    <phoneticPr fontId="14" type="noConversion"/>
  </si>
  <si>
    <t>항공사지상직CRS(예약발권)/DCS(탑승수속)과정</t>
    <phoneticPr fontId="14" type="noConversion"/>
  </si>
  <si>
    <r>
      <t>2025년도 모집현황</t>
    </r>
    <r>
      <rPr>
        <b/>
        <sz val="12"/>
        <color rgb="FF0070C0"/>
        <rFont val="맑은 고딕"/>
        <family val="3"/>
        <charset val="129"/>
        <scheme val="minor"/>
      </rPr>
      <t xml:space="preserve"> (승무원 포함)</t>
    </r>
    <phoneticPr fontId="14" type="noConversion"/>
  </si>
  <si>
    <t>(산대특)_생성형 AI 활용 마케팅/편집디자인 실무자 육성과정</t>
    <phoneticPr fontId="6" type="noConversion"/>
  </si>
  <si>
    <t>(산대특) 클라우드 네이티브&amp;생성형 AI기반 SaaS플랫폼 구축 과정</t>
    <phoneticPr fontId="6" type="noConversion"/>
  </si>
  <si>
    <t>관광통역안내사/국내여행안내사 필기 자격증 과정</t>
    <phoneticPr fontId="6" type="noConversion"/>
  </si>
  <si>
    <t>영상편집(프리미어, 에펙) 양성과정</t>
    <phoneticPr fontId="6" type="noConversion"/>
  </si>
  <si>
    <r>
      <t>2026년도 모집현황</t>
    </r>
    <r>
      <rPr>
        <b/>
        <sz val="12"/>
        <color rgb="FF0070C0"/>
        <rFont val="맑은 고딕"/>
        <family val="3"/>
        <charset val="129"/>
        <scheme val="minor"/>
      </rPr>
      <t xml:space="preserve"> (승무원 포함)</t>
    </r>
    <phoneticPr fontId="14" type="noConversion"/>
  </si>
  <si>
    <t>(디지털디자인) 챗GPT를 활용한 스마트UIUX 반응형 웹디자이너 양성과정</t>
    <phoneticPr fontId="6" type="noConversion"/>
  </si>
  <si>
    <t>보안엔지니어링(20012006)</t>
    <phoneticPr fontId="6" type="noConversion"/>
  </si>
  <si>
    <t>[정보시스템구축(개발·운영)] 정보시스템 보안운영 및 보안사고 분석A</t>
    <phoneticPr fontId="6" type="noConversion"/>
  </si>
  <si>
    <t>(2025)생성형 AI 챗봇 활용 시니어 슬립테크 디지털 치료제 개발자 양성</t>
    <phoneticPr fontId="6" type="noConversion"/>
  </si>
  <si>
    <t>[디지털디자인] 챗GPT&amp;React 활용한 스마트UIUX 반응형 웹디자인(웹퍼블리셔)_A</t>
    <phoneticPr fontId="6" type="noConversion"/>
  </si>
  <si>
    <t>(디지털컨버전스) 공공데이터 융합 풀스택 개발자 양성과정E</t>
    <phoneticPr fontId="6" type="noConversion"/>
  </si>
  <si>
    <t>2월</t>
    <phoneticPr fontId="6" type="noConversion"/>
  </si>
  <si>
    <t>(BIM) 실내건축설계 인테리어 양성과정 (캐드,스케치업,맥스,레빗)_A</t>
    <phoneticPr fontId="6" type="noConversion"/>
  </si>
  <si>
    <t>실내건축 인테리어 과정(CAD, 스케치업)</t>
    <phoneticPr fontId="6" type="noConversion"/>
  </si>
  <si>
    <t>[일반고] 생성형 AI를 활용한 게임그래픽 디자이너 양성과정(게임그래픽전문가)</t>
    <phoneticPr fontId="6" type="noConversion"/>
  </si>
  <si>
    <t>(게임콘텐츠제작)유니티 기반 기획&amp;프로그래밍 게임 개발자 양성과정</t>
    <phoneticPr fontId="6" type="noConversion"/>
  </si>
  <si>
    <t>3월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</si>
</sst>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3" formatCode="_-* #,##0.00_-;\-* #,##0.00_-;_-* &quot;-&quot;??_-;_-@_-"/>
    <numFmt numFmtId="176" formatCode="_-* #,##0_-;\-* #,##0_-;_-* &quot;-&quot;??_-;_-@_-"/>
    <numFmt numFmtId="177" formatCode="0.0%"/>
    <numFmt numFmtId="178" formatCode="0_ "/>
    <numFmt numFmtId="179" formatCode="#,##0_ "/>
    <numFmt numFmtId="180" formatCode="yyyy\-mm\-dd"/>
  </numFmts>
  <fonts count="60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0"/>
      <color indexed="81"/>
      <name val="돋움"/>
      <family val="3"/>
      <charset val="129"/>
    </font>
    <font>
      <b/>
      <sz val="10"/>
      <color indexed="81"/>
      <name val="Tahoma"/>
      <family val="2"/>
    </font>
    <font>
      <sz val="9"/>
      <color indexed="81"/>
      <name val="Tahoma"/>
      <family val="2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b/>
      <sz val="9"/>
      <color indexed="81"/>
      <name val="맑은 고딕"/>
      <family val="3"/>
      <charset val="129"/>
      <scheme val="minor"/>
    </font>
    <font>
      <sz val="9"/>
      <color indexed="8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ajor"/>
    </font>
    <font>
      <sz val="9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10"/>
      <name val="맑은 고딕"/>
      <family val="3"/>
      <charset val="129"/>
      <scheme val="major"/>
    </font>
    <font>
      <sz val="9"/>
      <color indexed="81"/>
      <name val="돋움"/>
      <family val="3"/>
      <charset val="129"/>
    </font>
    <font>
      <sz val="10"/>
      <color rgb="FFFF0000"/>
      <name val="맑은 고딕"/>
      <family val="3"/>
      <charset val="129"/>
      <scheme val="major"/>
    </font>
    <font>
      <b/>
      <sz val="12"/>
      <color rgb="FFFF0000"/>
      <name val="맑은 고딕"/>
      <family val="3"/>
      <charset val="129"/>
      <scheme val="minor"/>
    </font>
    <font>
      <b/>
      <sz val="12"/>
      <color rgb="FF00B0F0"/>
      <name val="맑은 고딕"/>
      <family val="3"/>
      <charset val="129"/>
      <scheme val="minor"/>
    </font>
    <font>
      <b/>
      <sz val="12"/>
      <color rgb="FF0070C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ajor"/>
    </font>
    <font>
      <sz val="11"/>
      <color theme="4"/>
      <name val="맑은 고딕"/>
      <family val="3"/>
      <charset val="129"/>
      <scheme val="minor"/>
    </font>
    <font>
      <sz val="11"/>
      <color rgb="FF0070C0"/>
      <name val="맑은 고딕"/>
      <family val="3"/>
      <charset val="129"/>
      <scheme val="minor"/>
    </font>
    <font>
      <sz val="10"/>
      <color rgb="FF00B050"/>
      <name val="맑은 고딕"/>
      <family val="3"/>
      <charset val="129"/>
      <scheme val="minor"/>
    </font>
    <font>
      <sz val="11"/>
      <color rgb="FF00B05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ajor"/>
    </font>
    <font>
      <b/>
      <sz val="12"/>
      <color theme="1"/>
      <name val="맑은 고딕"/>
      <family val="3"/>
      <charset val="129"/>
      <scheme val="major"/>
    </font>
    <font>
      <sz val="1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</font>
    <font>
      <sz val="9"/>
      <color rgb="FF000000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  <font>
      <sz val="9"/>
      <color theme="1"/>
      <name val="Malgun Gothic"/>
      <family val="3"/>
      <charset val="129"/>
    </font>
    <font>
      <sz val="9"/>
      <color rgb="FFFF0000"/>
      <name val="맑은 고딕"/>
      <family val="3"/>
      <charset val="129"/>
      <scheme val="major"/>
    </font>
    <font>
      <b/>
      <sz val="9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inor"/>
    </font>
    <font>
      <sz val="9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1"/>
      <name val="맑은 고딕"/>
      <family val="2"/>
      <charset val="129"/>
      <scheme val="major"/>
    </font>
    <font>
      <i/>
      <sz val="10"/>
      <color theme="1"/>
      <name val="맑은 고딕"/>
      <family val="3"/>
      <charset val="129"/>
      <scheme val="minor"/>
    </font>
    <font>
      <sz val="10"/>
      <color theme="1"/>
      <name val="&quot;맑은 고딕&quot;"/>
      <family val="3"/>
      <charset val="129"/>
    </font>
    <font>
      <sz val="10"/>
      <color theme="1"/>
      <name val="맑은 고딕"/>
      <family val="2"/>
      <scheme val="minor"/>
    </font>
    <font>
      <sz val="10"/>
      <color rgb="FF000000"/>
      <name val="맑은 고딕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7"/>
        <bgColor rgb="FFFFFFFF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rgb="FFFFFFFF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rgb="FFFFFFFF"/>
      </patternFill>
    </fill>
    <fill>
      <patternFill patternType="solid">
        <fgColor theme="4" tint="0.59999389629810485"/>
        <bgColor rgb="FFFFFFFF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rgb="FFFFFFFF"/>
      </patternFill>
    </fill>
    <fill>
      <patternFill patternType="solid">
        <fgColor theme="7"/>
        <bgColor indexed="64"/>
      </patternFill>
    </fill>
  </fills>
  <borders count="94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9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8" fillId="6" borderId="13" applyNumberFormat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4" fillId="0" borderId="0">
      <alignment vertical="center"/>
    </xf>
  </cellStyleXfs>
  <cellXfs count="1311">
    <xf numFmtId="0" fontId="0" fillId="0" borderId="0" xfId="0">
      <alignment vertical="center"/>
    </xf>
    <xf numFmtId="0" fontId="5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7" fillId="0" borderId="0" xfId="0" applyFont="1">
      <alignment vertical="center"/>
    </xf>
    <xf numFmtId="0" fontId="15" fillId="3" borderId="4" xfId="0" applyFont="1" applyFill="1" applyBorder="1" applyAlignment="1">
      <alignment horizontal="center" vertical="center"/>
    </xf>
    <xf numFmtId="0" fontId="15" fillId="3" borderId="5" xfId="0" applyFont="1" applyFill="1" applyBorder="1" applyAlignment="1">
      <alignment horizontal="center" vertical="center"/>
    </xf>
    <xf numFmtId="0" fontId="15" fillId="3" borderId="7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4" borderId="8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77" fontId="0" fillId="0" borderId="7" xfId="2" applyNumberFormat="1" applyFont="1" applyBorder="1" applyAlignment="1">
      <alignment horizontal="center" vertical="center"/>
    </xf>
    <xf numFmtId="177" fontId="0" fillId="0" borderId="2" xfId="2" applyNumberFormat="1" applyFont="1" applyBorder="1" applyAlignment="1">
      <alignment horizontal="center" vertical="center"/>
    </xf>
    <xf numFmtId="0" fontId="15" fillId="4" borderId="10" xfId="0" applyFont="1" applyFill="1" applyBorder="1" applyAlignment="1">
      <alignment horizontal="center" vertical="center"/>
    </xf>
    <xf numFmtId="0" fontId="17" fillId="0" borderId="0" xfId="0" applyFont="1">
      <alignment vertical="center"/>
    </xf>
    <xf numFmtId="41" fontId="15" fillId="5" borderId="9" xfId="1" applyFont="1" applyFill="1" applyBorder="1" applyAlignment="1">
      <alignment horizontal="right" vertical="center"/>
    </xf>
    <xf numFmtId="177" fontId="15" fillId="5" borderId="9" xfId="2" applyNumberFormat="1" applyFont="1" applyFill="1" applyBorder="1" applyAlignment="1">
      <alignment horizontal="right" vertical="center"/>
    </xf>
    <xf numFmtId="177" fontId="15" fillId="5" borderId="1" xfId="2" applyNumberFormat="1" applyFont="1" applyFill="1" applyBorder="1" applyAlignment="1">
      <alignment horizontal="right" vertical="center"/>
    </xf>
    <xf numFmtId="0" fontId="0" fillId="0" borderId="0" xfId="0" pivotButton="1">
      <alignment vertic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vertical="center" shrinkToFit="1"/>
    </xf>
    <xf numFmtId="0" fontId="21" fillId="0" borderId="2" xfId="0" applyFont="1" applyBorder="1" applyAlignment="1">
      <alignment horizontal="center" vertical="center"/>
    </xf>
    <xf numFmtId="41" fontId="21" fillId="0" borderId="19" xfId="1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 shrinkToFit="1"/>
    </xf>
    <xf numFmtId="0" fontId="22" fillId="0" borderId="0" xfId="0" applyFont="1">
      <alignment vertical="center"/>
    </xf>
    <xf numFmtId="14" fontId="8" fillId="0" borderId="2" xfId="0" applyNumberFormat="1" applyFont="1" applyBorder="1" applyAlignment="1">
      <alignment horizontal="center" vertical="center"/>
    </xf>
    <xf numFmtId="41" fontId="21" fillId="0" borderId="2" xfId="1" applyFont="1" applyFill="1" applyBorder="1" applyAlignment="1">
      <alignment horizontal="center" vertical="center"/>
    </xf>
    <xf numFmtId="177" fontId="21" fillId="0" borderId="2" xfId="0" applyNumberFormat="1" applyFont="1" applyBorder="1">
      <alignment vertical="center"/>
    </xf>
    <xf numFmtId="9" fontId="21" fillId="0" borderId="9" xfId="0" applyNumberFormat="1" applyFont="1" applyBorder="1">
      <alignment vertical="center"/>
    </xf>
    <xf numFmtId="0" fontId="21" fillId="0" borderId="2" xfId="0" applyFont="1" applyBorder="1" applyAlignment="1">
      <alignment horizontal="left" vertical="center"/>
    </xf>
    <xf numFmtId="14" fontId="21" fillId="0" borderId="2" xfId="0" applyNumberFormat="1" applyFont="1" applyBorder="1" applyAlignment="1">
      <alignment horizontal="center" vertical="center"/>
    </xf>
    <xf numFmtId="0" fontId="24" fillId="0" borderId="2" xfId="0" applyFont="1" applyBorder="1" applyAlignment="1">
      <alignment horizontal="left" vertical="center" wrapText="1"/>
    </xf>
    <xf numFmtId="0" fontId="24" fillId="0" borderId="0" xfId="0" applyFont="1">
      <alignment vertical="center"/>
    </xf>
    <xf numFmtId="0" fontId="8" fillId="0" borderId="3" xfId="0" applyFont="1" applyBorder="1" applyAlignment="1">
      <alignment horizontal="left" vertical="center" shrinkToFit="1"/>
    </xf>
    <xf numFmtId="14" fontId="8" fillId="0" borderId="3" xfId="0" applyNumberFormat="1" applyFont="1" applyBorder="1" applyAlignment="1">
      <alignment horizontal="center" vertical="center"/>
    </xf>
    <xf numFmtId="41" fontId="21" fillId="0" borderId="3" xfId="1" applyFont="1" applyFill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9" fontId="21" fillId="0" borderId="3" xfId="0" applyNumberFormat="1" applyFont="1" applyBorder="1">
      <alignment vertical="center"/>
    </xf>
    <xf numFmtId="9" fontId="21" fillId="0" borderId="5" xfId="0" applyNumberFormat="1" applyFont="1" applyBorder="1" applyAlignment="1">
      <alignment horizontal="right" vertical="center"/>
    </xf>
    <xf numFmtId="0" fontId="21" fillId="0" borderId="0" xfId="0" applyFont="1" applyAlignment="1">
      <alignment horizontal="center" vertical="center"/>
    </xf>
    <xf numFmtId="0" fontId="8" fillId="0" borderId="11" xfId="0" applyFont="1" applyBorder="1" applyAlignment="1">
      <alignment horizontal="left" vertical="center" shrinkToFit="1"/>
    </xf>
    <xf numFmtId="14" fontId="8" fillId="0" borderId="11" xfId="0" applyNumberFormat="1" applyFont="1" applyBorder="1" applyAlignment="1">
      <alignment horizontal="center" vertical="center"/>
    </xf>
    <xf numFmtId="41" fontId="21" fillId="0" borderId="11" xfId="1" applyFont="1" applyFill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9" fontId="21" fillId="0" borderId="11" xfId="0" applyNumberFormat="1" applyFont="1" applyBorder="1">
      <alignment vertical="center"/>
    </xf>
    <xf numFmtId="9" fontId="21" fillId="0" borderId="1" xfId="0" applyNumberFormat="1" applyFont="1" applyBorder="1" applyAlignment="1">
      <alignment horizontal="right" vertical="center"/>
    </xf>
    <xf numFmtId="176" fontId="21" fillId="0" borderId="3" xfId="1" applyNumberFormat="1" applyFont="1" applyFill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9" fontId="21" fillId="0" borderId="2" xfId="0" applyNumberFormat="1" applyFont="1" applyBorder="1">
      <alignment vertical="center"/>
    </xf>
    <xf numFmtId="9" fontId="21" fillId="0" borderId="9" xfId="0" applyNumberFormat="1" applyFont="1" applyBorder="1" applyAlignment="1">
      <alignment horizontal="right" vertical="center"/>
    </xf>
    <xf numFmtId="41" fontId="21" fillId="0" borderId="2" xfId="1" applyFont="1" applyFill="1" applyBorder="1" applyAlignment="1">
      <alignment horizontal="right" vertical="center"/>
    </xf>
    <xf numFmtId="41" fontId="21" fillId="0" borderId="3" xfId="1" applyFont="1" applyFill="1" applyBorder="1" applyAlignment="1">
      <alignment horizontal="right" vertical="center"/>
    </xf>
    <xf numFmtId="176" fontId="21" fillId="0" borderId="2" xfId="1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 shrinkToFit="1"/>
    </xf>
    <xf numFmtId="0" fontId="8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left" vertical="center" shrinkToFit="1"/>
    </xf>
    <xf numFmtId="14" fontId="8" fillId="0" borderId="6" xfId="0" applyNumberFormat="1" applyFont="1" applyBorder="1" applyAlignment="1">
      <alignment horizontal="center" vertical="center"/>
    </xf>
    <xf numFmtId="41" fontId="21" fillId="0" borderId="6" xfId="1" applyFont="1" applyFill="1" applyBorder="1" applyAlignment="1">
      <alignment horizontal="center" vertical="center"/>
    </xf>
    <xf numFmtId="41" fontId="21" fillId="0" borderId="6" xfId="1" applyFont="1" applyFill="1" applyBorder="1" applyAlignment="1">
      <alignment horizontal="right" vertical="center"/>
    </xf>
    <xf numFmtId="9" fontId="21" fillId="0" borderId="6" xfId="0" applyNumberFormat="1" applyFont="1" applyBorder="1">
      <alignment vertical="center"/>
    </xf>
    <xf numFmtId="9" fontId="21" fillId="0" borderId="17" xfId="0" applyNumberFormat="1" applyFont="1" applyBorder="1" applyAlignment="1">
      <alignment horizontal="right" vertical="center"/>
    </xf>
    <xf numFmtId="0" fontId="8" fillId="0" borderId="12" xfId="0" applyFont="1" applyBorder="1" applyAlignment="1">
      <alignment horizontal="center" vertical="center"/>
    </xf>
    <xf numFmtId="0" fontId="8" fillId="0" borderId="12" xfId="0" applyFont="1" applyBorder="1" applyAlignment="1">
      <alignment horizontal="left" vertical="center" shrinkToFit="1"/>
    </xf>
    <xf numFmtId="14" fontId="8" fillId="0" borderId="12" xfId="0" applyNumberFormat="1" applyFont="1" applyBorder="1" applyAlignment="1">
      <alignment horizontal="center" vertical="center"/>
    </xf>
    <xf numFmtId="41" fontId="21" fillId="0" borderId="12" xfId="1" applyFont="1" applyFill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41" fontId="6" fillId="0" borderId="2" xfId="1" applyFont="1" applyFill="1" applyBorder="1" applyAlignment="1">
      <alignment horizontal="center" vertical="center"/>
    </xf>
    <xf numFmtId="9" fontId="21" fillId="0" borderId="5" xfId="0" applyNumberFormat="1" applyFont="1" applyBorder="1">
      <alignment vertical="center"/>
    </xf>
    <xf numFmtId="0" fontId="21" fillId="0" borderId="2" xfId="0" applyFont="1" applyBorder="1">
      <alignment vertical="center"/>
    </xf>
    <xf numFmtId="0" fontId="21" fillId="0" borderId="2" xfId="3" applyFont="1" applyFill="1" applyBorder="1" applyAlignment="1">
      <alignment horizontal="center" vertical="center"/>
    </xf>
    <xf numFmtId="14" fontId="21" fillId="0" borderId="2" xfId="3" applyNumberFormat="1" applyFont="1" applyFill="1" applyBorder="1" applyAlignment="1">
      <alignment horizontal="center" vertical="center"/>
    </xf>
    <xf numFmtId="0" fontId="23" fillId="0" borderId="2" xfId="0" applyFont="1" applyBorder="1" applyAlignment="1">
      <alignment vertical="center" wrapText="1" shrinkToFit="1"/>
    </xf>
    <xf numFmtId="0" fontId="8" fillId="0" borderId="3" xfId="0" applyFont="1" applyBorder="1" applyAlignment="1">
      <alignment vertical="center" shrinkToFit="1"/>
    </xf>
    <xf numFmtId="0" fontId="25" fillId="0" borderId="0" xfId="0" applyFont="1">
      <alignment vertical="center"/>
    </xf>
    <xf numFmtId="41" fontId="21" fillId="0" borderId="11" xfId="1" applyFont="1" applyFill="1" applyBorder="1" applyAlignment="1">
      <alignment horizontal="right" vertical="center"/>
    </xf>
    <xf numFmtId="41" fontId="8" fillId="0" borderId="3" xfId="1" applyFont="1" applyFill="1" applyBorder="1" applyAlignment="1">
      <alignment horizontal="center" vertical="center"/>
    </xf>
    <xf numFmtId="177" fontId="21" fillId="0" borderId="3" xfId="0" applyNumberFormat="1" applyFont="1" applyBorder="1">
      <alignment vertical="center"/>
    </xf>
    <xf numFmtId="0" fontId="21" fillId="0" borderId="2" xfId="0" applyFont="1" applyBorder="1" applyAlignment="1">
      <alignment horizontal="left" vertical="center" wrapText="1"/>
    </xf>
    <xf numFmtId="0" fontId="1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14" fontId="26" fillId="0" borderId="2" xfId="0" applyNumberFormat="1" applyFont="1" applyBorder="1" applyAlignment="1">
      <alignment horizontal="center" vertical="center"/>
    </xf>
    <xf numFmtId="41" fontId="5" fillId="0" borderId="2" xfId="1" applyFont="1" applyFill="1" applyBorder="1" applyAlignment="1">
      <alignment horizontal="center" vertical="center"/>
    </xf>
    <xf numFmtId="41" fontId="26" fillId="0" borderId="2" xfId="1" applyFont="1" applyFill="1" applyBorder="1" applyAlignment="1">
      <alignment horizontal="center" vertical="center"/>
    </xf>
    <xf numFmtId="0" fontId="26" fillId="0" borderId="2" xfId="0" applyFont="1" applyBorder="1" applyAlignment="1">
      <alignment horizontal="left" vertical="center" shrinkToFit="1"/>
    </xf>
    <xf numFmtId="0" fontId="5" fillId="0" borderId="2" xfId="0" applyFont="1" applyBorder="1" applyAlignment="1">
      <alignment horizontal="left" vertical="center"/>
    </xf>
    <xf numFmtId="0" fontId="26" fillId="0" borderId="2" xfId="0" applyFont="1" applyBorder="1" applyAlignment="1">
      <alignment horizontal="left" vertical="center" wrapText="1" shrinkToFit="1"/>
    </xf>
    <xf numFmtId="0" fontId="26" fillId="0" borderId="12" xfId="0" applyFont="1" applyBorder="1" applyAlignment="1">
      <alignment horizontal="center" vertical="center"/>
    </xf>
    <xf numFmtId="0" fontId="26" fillId="0" borderId="12" xfId="0" applyFont="1" applyBorder="1" applyAlignment="1">
      <alignment horizontal="left" vertical="center" shrinkToFit="1"/>
    </xf>
    <xf numFmtId="176" fontId="5" fillId="0" borderId="2" xfId="1" applyNumberFormat="1" applyFont="1" applyFill="1" applyBorder="1" applyAlignment="1">
      <alignment horizontal="center" vertical="center"/>
    </xf>
    <xf numFmtId="14" fontId="26" fillId="0" borderId="12" xfId="0" applyNumberFormat="1" applyFont="1" applyBorder="1" applyAlignment="1">
      <alignment horizontal="center" vertical="center"/>
    </xf>
    <xf numFmtId="41" fontId="5" fillId="0" borderId="2" xfId="1" applyFont="1" applyFill="1" applyBorder="1" applyAlignment="1">
      <alignment horizontal="right" vertical="center"/>
    </xf>
    <xf numFmtId="9" fontId="5" fillId="0" borderId="2" xfId="0" applyNumberFormat="1" applyFont="1" applyBorder="1">
      <alignment vertical="center"/>
    </xf>
    <xf numFmtId="0" fontId="26" fillId="0" borderId="6" xfId="0" applyFont="1" applyBorder="1" applyAlignment="1">
      <alignment horizontal="center" vertical="center"/>
    </xf>
    <xf numFmtId="14" fontId="26" fillId="0" borderId="6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shrinkToFit="1"/>
    </xf>
    <xf numFmtId="41" fontId="8" fillId="2" borderId="2" xfId="1" applyFont="1" applyFill="1" applyBorder="1" applyAlignment="1">
      <alignment horizontal="center" vertical="center"/>
    </xf>
    <xf numFmtId="9" fontId="21" fillId="0" borderId="12" xfId="0" applyNumberFormat="1" applyFont="1" applyBorder="1">
      <alignment vertical="center"/>
    </xf>
    <xf numFmtId="9" fontId="21" fillId="0" borderId="15" xfId="0" applyNumberFormat="1" applyFont="1" applyBorder="1" applyAlignment="1">
      <alignment horizontal="right" vertical="center"/>
    </xf>
    <xf numFmtId="0" fontId="21" fillId="7" borderId="2" xfId="0" applyFont="1" applyFill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26" fillId="0" borderId="26" xfId="0" applyFont="1" applyBorder="1" applyAlignment="1">
      <alignment horizontal="center" vertical="center"/>
    </xf>
    <xf numFmtId="9" fontId="21" fillId="0" borderId="1" xfId="0" applyNumberFormat="1" applyFont="1" applyBorder="1">
      <alignment vertical="center"/>
    </xf>
    <xf numFmtId="41" fontId="5" fillId="0" borderId="3" xfId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9" fontId="5" fillId="0" borderId="5" xfId="0" applyNumberFormat="1" applyFont="1" applyBorder="1">
      <alignment vertical="center"/>
    </xf>
    <xf numFmtId="9" fontId="5" fillId="0" borderId="9" xfId="0" applyNumberFormat="1" applyFont="1" applyBorder="1">
      <alignment vertical="center"/>
    </xf>
    <xf numFmtId="0" fontId="0" fillId="0" borderId="3" xfId="0" applyBorder="1" applyAlignment="1">
      <alignment horizontal="center" vertical="center"/>
    </xf>
    <xf numFmtId="9" fontId="5" fillId="0" borderId="3" xfId="0" applyNumberFormat="1" applyFont="1" applyBorder="1">
      <alignment vertical="center"/>
    </xf>
    <xf numFmtId="0" fontId="21" fillId="8" borderId="2" xfId="0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left" vertical="center" shrinkToFit="1"/>
    </xf>
    <xf numFmtId="14" fontId="8" fillId="8" borderId="3" xfId="0" applyNumberFormat="1" applyFont="1" applyFill="1" applyBorder="1" applyAlignment="1">
      <alignment horizontal="center" vertical="center"/>
    </xf>
    <xf numFmtId="41" fontId="21" fillId="8" borderId="3" xfId="1" applyFont="1" applyFill="1" applyBorder="1" applyAlignment="1">
      <alignment horizontal="center" vertical="center"/>
    </xf>
    <xf numFmtId="176" fontId="21" fillId="8" borderId="3" xfId="1" applyNumberFormat="1" applyFont="1" applyFill="1" applyBorder="1" applyAlignment="1">
      <alignment horizontal="center" vertical="center"/>
    </xf>
    <xf numFmtId="0" fontId="21" fillId="8" borderId="3" xfId="0" applyFont="1" applyFill="1" applyBorder="1" applyAlignment="1">
      <alignment horizontal="center" vertical="center"/>
    </xf>
    <xf numFmtId="9" fontId="21" fillId="8" borderId="3" xfId="0" applyNumberFormat="1" applyFont="1" applyFill="1" applyBorder="1">
      <alignment vertical="center"/>
    </xf>
    <xf numFmtId="9" fontId="21" fillId="8" borderId="5" xfId="0" applyNumberFormat="1" applyFont="1" applyFill="1" applyBorder="1" applyAlignment="1">
      <alignment horizontal="right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left" vertical="center" shrinkToFit="1"/>
    </xf>
    <xf numFmtId="14" fontId="8" fillId="8" borderId="2" xfId="0" applyNumberFormat="1" applyFont="1" applyFill="1" applyBorder="1" applyAlignment="1">
      <alignment horizontal="center" vertical="center"/>
    </xf>
    <xf numFmtId="41" fontId="21" fillId="8" borderId="2" xfId="1" applyFont="1" applyFill="1" applyBorder="1" applyAlignment="1">
      <alignment horizontal="center" vertical="center"/>
    </xf>
    <xf numFmtId="9" fontId="21" fillId="8" borderId="2" xfId="0" applyNumberFormat="1" applyFont="1" applyFill="1" applyBorder="1">
      <alignment vertical="center"/>
    </xf>
    <xf numFmtId="9" fontId="21" fillId="8" borderId="9" xfId="0" applyNumberFormat="1" applyFont="1" applyFill="1" applyBorder="1" applyAlignment="1">
      <alignment horizontal="right" vertical="center"/>
    </xf>
    <xf numFmtId="0" fontId="24" fillId="8" borderId="2" xfId="0" applyFont="1" applyFill="1" applyBorder="1" applyAlignment="1">
      <alignment horizontal="left" vertical="center"/>
    </xf>
    <xf numFmtId="41" fontId="21" fillId="8" borderId="2" xfId="1" applyFont="1" applyFill="1" applyBorder="1" applyAlignment="1">
      <alignment horizontal="right" vertical="center"/>
    </xf>
    <xf numFmtId="0" fontId="8" fillId="8" borderId="12" xfId="0" applyFont="1" applyFill="1" applyBorder="1" applyAlignment="1">
      <alignment horizontal="center" vertical="center"/>
    </xf>
    <xf numFmtId="0" fontId="8" fillId="8" borderId="12" xfId="0" applyFont="1" applyFill="1" applyBorder="1" applyAlignment="1">
      <alignment horizontal="left" vertical="center" shrinkToFit="1"/>
    </xf>
    <xf numFmtId="14" fontId="8" fillId="8" borderId="12" xfId="0" applyNumberFormat="1" applyFont="1" applyFill="1" applyBorder="1" applyAlignment="1">
      <alignment horizontal="center" vertical="center"/>
    </xf>
    <xf numFmtId="41" fontId="21" fillId="8" borderId="12" xfId="1" applyFont="1" applyFill="1" applyBorder="1" applyAlignment="1">
      <alignment horizontal="center" vertical="center"/>
    </xf>
    <xf numFmtId="0" fontId="21" fillId="8" borderId="12" xfId="0" applyFont="1" applyFill="1" applyBorder="1" applyAlignment="1">
      <alignment horizontal="center" vertical="center"/>
    </xf>
    <xf numFmtId="9" fontId="21" fillId="8" borderId="12" xfId="0" applyNumberFormat="1" applyFont="1" applyFill="1" applyBorder="1">
      <alignment vertical="center"/>
    </xf>
    <xf numFmtId="9" fontId="21" fillId="8" borderId="15" xfId="0" applyNumberFormat="1" applyFont="1" applyFill="1" applyBorder="1">
      <alignment vertical="center"/>
    </xf>
    <xf numFmtId="9" fontId="21" fillId="8" borderId="9" xfId="0" applyNumberFormat="1" applyFont="1" applyFill="1" applyBorder="1">
      <alignment vertical="center"/>
    </xf>
    <xf numFmtId="176" fontId="21" fillId="8" borderId="2" xfId="1" applyNumberFormat="1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left" vertical="center" wrapText="1" shrinkToFit="1"/>
    </xf>
    <xf numFmtId="9" fontId="21" fillId="8" borderId="5" xfId="0" applyNumberFormat="1" applyFont="1" applyFill="1" applyBorder="1">
      <alignment vertical="center"/>
    </xf>
    <xf numFmtId="14" fontId="8" fillId="8" borderId="2" xfId="4" applyNumberFormat="1" applyFont="1" applyFill="1" applyBorder="1" applyAlignment="1">
      <alignment horizontal="center" vertical="center"/>
    </xf>
    <xf numFmtId="41" fontId="8" fillId="8" borderId="2" xfId="4" applyNumberFormat="1" applyFont="1" applyFill="1" applyBorder="1" applyAlignment="1">
      <alignment horizontal="center" vertical="center"/>
    </xf>
    <xf numFmtId="0" fontId="8" fillId="8" borderId="2" xfId="0" applyFont="1" applyFill="1" applyBorder="1" applyAlignment="1">
      <alignment vertical="center" shrinkToFit="1"/>
    </xf>
    <xf numFmtId="0" fontId="21" fillId="8" borderId="2" xfId="0" applyFont="1" applyFill="1" applyBorder="1" applyAlignment="1">
      <alignment horizontal="left" vertical="center"/>
    </xf>
    <xf numFmtId="14" fontId="21" fillId="8" borderId="2" xfId="0" applyNumberFormat="1" applyFont="1" applyFill="1" applyBorder="1" applyAlignment="1">
      <alignment horizontal="center" vertical="center"/>
    </xf>
    <xf numFmtId="0" fontId="23" fillId="8" borderId="2" xfId="0" applyFont="1" applyFill="1" applyBorder="1" applyAlignment="1">
      <alignment horizontal="left" vertical="center" wrapText="1" shrinkToFit="1"/>
    </xf>
    <xf numFmtId="0" fontId="8" fillId="8" borderId="3" xfId="0" applyFont="1" applyFill="1" applyBorder="1" applyAlignment="1">
      <alignment vertical="center" shrinkToFit="1"/>
    </xf>
    <xf numFmtId="0" fontId="21" fillId="8" borderId="2" xfId="0" applyFont="1" applyFill="1" applyBorder="1" applyAlignment="1">
      <alignment vertical="center" wrapText="1"/>
    </xf>
    <xf numFmtId="177" fontId="21" fillId="8" borderId="2" xfId="0" applyNumberFormat="1" applyFont="1" applyFill="1" applyBorder="1">
      <alignment vertical="center"/>
    </xf>
    <xf numFmtId="0" fontId="21" fillId="8" borderId="2" xfId="0" applyFont="1" applyFill="1" applyBorder="1">
      <alignment vertical="center"/>
    </xf>
    <xf numFmtId="0" fontId="24" fillId="8" borderId="2" xfId="0" applyFont="1" applyFill="1" applyBorder="1">
      <alignment vertical="center"/>
    </xf>
    <xf numFmtId="0" fontId="23" fillId="8" borderId="2" xfId="0" applyFont="1" applyFill="1" applyBorder="1" applyAlignment="1">
      <alignment vertical="center" wrapText="1" shrinkToFit="1"/>
    </xf>
    <xf numFmtId="43" fontId="21" fillId="8" borderId="2" xfId="1" applyNumberFormat="1" applyFont="1" applyFill="1" applyBorder="1" applyAlignment="1">
      <alignment horizontal="right" vertical="center"/>
    </xf>
    <xf numFmtId="0" fontId="5" fillId="8" borderId="2" xfId="0" applyFont="1" applyFill="1" applyBorder="1" applyAlignment="1">
      <alignment horizontal="center" vertical="center"/>
    </xf>
    <xf numFmtId="0" fontId="5" fillId="8" borderId="12" xfId="0" applyFont="1" applyFill="1" applyBorder="1" applyAlignment="1">
      <alignment horizontal="center" vertical="center"/>
    </xf>
    <xf numFmtId="0" fontId="26" fillId="8" borderId="12" xfId="0" applyFont="1" applyFill="1" applyBorder="1" applyAlignment="1">
      <alignment horizontal="center" vertical="center"/>
    </xf>
    <xf numFmtId="0" fontId="26" fillId="8" borderId="12" xfId="0" applyFont="1" applyFill="1" applyBorder="1" applyAlignment="1">
      <alignment horizontal="left" vertical="center" shrinkToFit="1"/>
    </xf>
    <xf numFmtId="14" fontId="26" fillId="8" borderId="12" xfId="0" applyNumberFormat="1" applyFont="1" applyFill="1" applyBorder="1" applyAlignment="1">
      <alignment horizontal="center" vertical="center"/>
    </xf>
    <xf numFmtId="41" fontId="5" fillId="8" borderId="12" xfId="1" applyFont="1" applyFill="1" applyBorder="1" applyAlignment="1">
      <alignment horizontal="center" vertical="center"/>
    </xf>
    <xf numFmtId="41" fontId="5" fillId="8" borderId="12" xfId="1" applyFont="1" applyFill="1" applyBorder="1" applyAlignment="1">
      <alignment horizontal="right" vertical="center"/>
    </xf>
    <xf numFmtId="9" fontId="5" fillId="8" borderId="12" xfId="0" applyNumberFormat="1" applyFont="1" applyFill="1" applyBorder="1">
      <alignment vertical="center"/>
    </xf>
    <xf numFmtId="9" fontId="5" fillId="8" borderId="15" xfId="0" applyNumberFormat="1" applyFont="1" applyFill="1" applyBorder="1">
      <alignment vertical="center"/>
    </xf>
    <xf numFmtId="0" fontId="26" fillId="8" borderId="2" xfId="0" applyFont="1" applyFill="1" applyBorder="1" applyAlignment="1">
      <alignment horizontal="center" vertical="center"/>
    </xf>
    <xf numFmtId="0" fontId="26" fillId="8" borderId="2" xfId="0" applyFont="1" applyFill="1" applyBorder="1" applyAlignment="1">
      <alignment horizontal="left" vertical="center" shrinkToFit="1"/>
    </xf>
    <xf numFmtId="14" fontId="26" fillId="8" borderId="2" xfId="0" applyNumberFormat="1" applyFont="1" applyFill="1" applyBorder="1" applyAlignment="1">
      <alignment horizontal="center" vertical="center"/>
    </xf>
    <xf numFmtId="41" fontId="5" fillId="8" borderId="2" xfId="1" applyFont="1" applyFill="1" applyBorder="1" applyAlignment="1">
      <alignment horizontal="center" vertical="center"/>
    </xf>
    <xf numFmtId="9" fontId="5" fillId="8" borderId="2" xfId="0" applyNumberFormat="1" applyFont="1" applyFill="1" applyBorder="1">
      <alignment vertical="center"/>
    </xf>
    <xf numFmtId="9" fontId="5" fillId="8" borderId="9" xfId="0" applyNumberFormat="1" applyFont="1" applyFill="1" applyBorder="1">
      <alignment vertical="center"/>
    </xf>
    <xf numFmtId="41" fontId="5" fillId="8" borderId="2" xfId="1" applyFont="1" applyFill="1" applyBorder="1" applyAlignment="1">
      <alignment horizontal="right" vertical="center"/>
    </xf>
    <xf numFmtId="41" fontId="26" fillId="8" borderId="2" xfId="1" applyFont="1" applyFill="1" applyBorder="1" applyAlignment="1">
      <alignment horizontal="center" vertical="center"/>
    </xf>
    <xf numFmtId="176" fontId="5" fillId="8" borderId="2" xfId="1" applyNumberFormat="1" applyFont="1" applyFill="1" applyBorder="1" applyAlignment="1">
      <alignment horizontal="center" vertical="center"/>
    </xf>
    <xf numFmtId="0" fontId="5" fillId="8" borderId="11" xfId="0" applyFont="1" applyFill="1" applyBorder="1" applyAlignment="1">
      <alignment horizontal="center" vertical="center"/>
    </xf>
    <xf numFmtId="0" fontId="26" fillId="8" borderId="11" xfId="0" applyFont="1" applyFill="1" applyBorder="1" applyAlignment="1">
      <alignment horizontal="center" vertical="center"/>
    </xf>
    <xf numFmtId="0" fontId="26" fillId="8" borderId="11" xfId="0" applyFont="1" applyFill="1" applyBorder="1" applyAlignment="1">
      <alignment horizontal="left" vertical="center" shrinkToFit="1"/>
    </xf>
    <xf numFmtId="14" fontId="26" fillId="8" borderId="11" xfId="0" applyNumberFormat="1" applyFont="1" applyFill="1" applyBorder="1" applyAlignment="1">
      <alignment horizontal="center" vertical="center"/>
    </xf>
    <xf numFmtId="41" fontId="5" fillId="8" borderId="11" xfId="1" applyFont="1" applyFill="1" applyBorder="1" applyAlignment="1">
      <alignment horizontal="center" vertical="center"/>
    </xf>
    <xf numFmtId="176" fontId="5" fillId="8" borderId="11" xfId="1" applyNumberFormat="1" applyFont="1" applyFill="1" applyBorder="1" applyAlignment="1">
      <alignment horizontal="center" vertical="center"/>
    </xf>
    <xf numFmtId="9" fontId="5" fillId="8" borderId="11" xfId="0" applyNumberFormat="1" applyFont="1" applyFill="1" applyBorder="1">
      <alignment vertical="center"/>
    </xf>
    <xf numFmtId="9" fontId="5" fillId="8" borderId="1" xfId="0" applyNumberFormat="1" applyFont="1" applyFill="1" applyBorder="1">
      <alignment vertical="center"/>
    </xf>
    <xf numFmtId="14" fontId="21" fillId="0" borderId="3" xfId="0" applyNumberFormat="1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8" borderId="14" xfId="0" applyFont="1" applyFill="1" applyBorder="1" applyAlignment="1">
      <alignment horizontal="center" vertical="center"/>
    </xf>
    <xf numFmtId="0" fontId="5" fillId="8" borderId="6" xfId="0" applyFont="1" applyFill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8" borderId="19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8" borderId="14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21" fillId="0" borderId="3" xfId="0" applyFont="1" applyBorder="1" applyAlignment="1">
      <alignment horizontal="left" vertical="center"/>
    </xf>
    <xf numFmtId="177" fontId="0" fillId="0" borderId="0" xfId="2" applyNumberFormat="1" applyFont="1">
      <alignment vertical="center"/>
    </xf>
    <xf numFmtId="0" fontId="26" fillId="0" borderId="11" xfId="0" applyFont="1" applyBorder="1" applyAlignment="1">
      <alignment horizontal="center" vertical="center"/>
    </xf>
    <xf numFmtId="0" fontId="26" fillId="0" borderId="31" xfId="0" applyFont="1" applyBorder="1" applyAlignment="1">
      <alignment horizontal="center" vertical="center"/>
    </xf>
    <xf numFmtId="0" fontId="26" fillId="0" borderId="11" xfId="0" applyFont="1" applyBorder="1" applyAlignment="1">
      <alignment horizontal="left" vertical="center" shrinkToFit="1"/>
    </xf>
    <xf numFmtId="14" fontId="26" fillId="0" borderId="11" xfId="0" applyNumberFormat="1" applyFont="1" applyBorder="1" applyAlignment="1">
      <alignment horizontal="center" vertical="center"/>
    </xf>
    <xf numFmtId="177" fontId="0" fillId="0" borderId="2" xfId="2" applyNumberFormat="1" applyFont="1" applyFill="1" applyBorder="1" applyAlignment="1">
      <alignment horizontal="center" vertical="center"/>
    </xf>
    <xf numFmtId="177" fontId="0" fillId="0" borderId="7" xfId="2" applyNumberFormat="1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4" borderId="27" xfId="0" applyFont="1" applyFill="1" applyBorder="1" applyAlignment="1">
      <alignment horizontal="center" vertical="center"/>
    </xf>
    <xf numFmtId="177" fontId="15" fillId="5" borderId="17" xfId="2" applyNumberFormat="1" applyFont="1" applyFill="1" applyBorder="1" applyAlignment="1">
      <alignment horizontal="right" vertical="center"/>
    </xf>
    <xf numFmtId="177" fontId="0" fillId="0" borderId="21" xfId="2" applyNumberFormat="1" applyFont="1" applyFill="1" applyBorder="1" applyAlignment="1">
      <alignment horizontal="center" vertical="center"/>
    </xf>
    <xf numFmtId="177" fontId="0" fillId="0" borderId="6" xfId="2" applyNumberFormat="1" applyFont="1" applyFill="1" applyBorder="1" applyAlignment="1">
      <alignment horizontal="center" vertical="center"/>
    </xf>
    <xf numFmtId="0" fontId="15" fillId="9" borderId="2" xfId="0" applyFont="1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177" fontId="0" fillId="9" borderId="2" xfId="2" applyNumberFormat="1" applyFont="1" applyFill="1" applyBorder="1" applyAlignment="1">
      <alignment horizontal="center" vertical="center"/>
    </xf>
    <xf numFmtId="177" fontId="0" fillId="9" borderId="6" xfId="2" applyNumberFormat="1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177" fontId="0" fillId="3" borderId="2" xfId="2" applyNumberFormat="1" applyFont="1" applyFill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14" fontId="26" fillId="0" borderId="3" xfId="0" applyNumberFormat="1" applyFont="1" applyBorder="1" applyAlignment="1">
      <alignment horizontal="center" vertical="center"/>
    </xf>
    <xf numFmtId="9" fontId="5" fillId="0" borderId="11" xfId="0" applyNumberFormat="1" applyFont="1" applyBorder="1">
      <alignment vertical="center"/>
    </xf>
    <xf numFmtId="9" fontId="5" fillId="0" borderId="1" xfId="0" applyNumberFormat="1" applyFont="1" applyBorder="1">
      <alignment vertical="center"/>
    </xf>
    <xf numFmtId="41" fontId="5" fillId="0" borderId="11" xfId="1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left" vertical="center" wrapText="1"/>
    </xf>
    <xf numFmtId="14" fontId="5" fillId="8" borderId="2" xfId="0" applyNumberFormat="1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left" vertical="center"/>
    </xf>
    <xf numFmtId="0" fontId="5" fillId="8" borderId="2" xfId="0" applyFont="1" applyFill="1" applyBorder="1" applyAlignment="1">
      <alignment horizontal="center" vertical="center" wrapText="1"/>
    </xf>
    <xf numFmtId="0" fontId="0" fillId="8" borderId="12" xfId="0" applyFill="1" applyBorder="1" applyAlignment="1">
      <alignment horizontal="center" vertical="center"/>
    </xf>
    <xf numFmtId="0" fontId="26" fillId="8" borderId="12" xfId="0" applyFont="1" applyFill="1" applyBorder="1" applyAlignment="1">
      <alignment horizontal="left" vertical="center" wrapText="1" shrinkToFit="1"/>
    </xf>
    <xf numFmtId="0" fontId="0" fillId="0" borderId="31" xfId="0" applyBorder="1" applyAlignment="1">
      <alignment horizontal="center" vertical="center"/>
    </xf>
    <xf numFmtId="176" fontId="5" fillId="0" borderId="11" xfId="1" applyNumberFormat="1" applyFont="1" applyFill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7" xfId="0" applyBorder="1">
      <alignment vertical="center"/>
    </xf>
    <xf numFmtId="177" fontId="0" fillId="0" borderId="21" xfId="2" applyNumberFormat="1" applyFont="1" applyBorder="1" applyAlignment="1">
      <alignment horizontal="center" vertical="center"/>
    </xf>
    <xf numFmtId="177" fontId="0" fillId="3" borderId="6" xfId="2" applyNumberFormat="1" applyFont="1" applyFill="1" applyBorder="1" applyAlignment="1">
      <alignment horizontal="center" vertical="center"/>
    </xf>
    <xf numFmtId="177" fontId="0" fillId="0" borderId="6" xfId="2" applyNumberFormat="1" applyFont="1" applyBorder="1" applyAlignment="1">
      <alignment horizontal="center" vertical="center"/>
    </xf>
    <xf numFmtId="0" fontId="0" fillId="3" borderId="2" xfId="0" applyFill="1" applyBorder="1">
      <alignment vertical="center"/>
    </xf>
    <xf numFmtId="0" fontId="0" fillId="9" borderId="2" xfId="0" applyFill="1" applyBorder="1">
      <alignment vertical="center"/>
    </xf>
    <xf numFmtId="0" fontId="29" fillId="3" borderId="2" xfId="0" applyFont="1" applyFill="1" applyBorder="1" applyAlignment="1">
      <alignment horizontal="center" vertical="center"/>
    </xf>
    <xf numFmtId="0" fontId="26" fillId="0" borderId="3" xfId="0" applyFont="1" applyBorder="1" applyAlignment="1">
      <alignment horizontal="left" vertical="center" wrapText="1" shrinkToFit="1"/>
    </xf>
    <xf numFmtId="0" fontId="28" fillId="11" borderId="0" xfId="0" applyFont="1" applyFill="1" applyAlignment="1">
      <alignment horizontal="left" vertical="center"/>
    </xf>
    <xf numFmtId="0" fontId="30" fillId="0" borderId="0" xfId="0" applyFont="1" applyAlignment="1">
      <alignment horizontal="center" vertical="center"/>
    </xf>
    <xf numFmtId="0" fontId="30" fillId="0" borderId="0" xfId="0" applyFont="1">
      <alignment vertical="center"/>
    </xf>
    <xf numFmtId="0" fontId="26" fillId="8" borderId="2" xfId="0" applyFont="1" applyFill="1" applyBorder="1" applyAlignment="1">
      <alignment horizontal="left" vertical="center" wrapText="1" shrinkToFit="1"/>
    </xf>
    <xf numFmtId="0" fontId="5" fillId="11" borderId="2" xfId="0" applyFont="1" applyFill="1" applyBorder="1" applyAlignment="1">
      <alignment horizontal="center" vertical="center"/>
    </xf>
    <xf numFmtId="14" fontId="5" fillId="11" borderId="2" xfId="0" applyNumberFormat="1" applyFont="1" applyFill="1" applyBorder="1" applyAlignment="1">
      <alignment horizontal="center" vertical="center"/>
    </xf>
    <xf numFmtId="41" fontId="5" fillId="11" borderId="2" xfId="1" applyFont="1" applyFill="1" applyBorder="1" applyAlignment="1">
      <alignment horizontal="center" vertical="center"/>
    </xf>
    <xf numFmtId="0" fontId="26" fillId="13" borderId="12" xfId="0" applyFont="1" applyFill="1" applyBorder="1" applyAlignment="1">
      <alignment horizontal="center" vertical="center"/>
    </xf>
    <xf numFmtId="0" fontId="5" fillId="13" borderId="2" xfId="0" applyFont="1" applyFill="1" applyBorder="1" applyAlignment="1">
      <alignment horizontal="center" vertical="center"/>
    </xf>
    <xf numFmtId="0" fontId="26" fillId="13" borderId="2" xfId="0" applyFont="1" applyFill="1" applyBorder="1" applyAlignment="1">
      <alignment horizontal="center" vertical="center"/>
    </xf>
    <xf numFmtId="0" fontId="5" fillId="0" borderId="2" xfId="0" applyFont="1" applyBorder="1">
      <alignment vertical="center"/>
    </xf>
    <xf numFmtId="0" fontId="5" fillId="0" borderId="4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13" borderId="3" xfId="0" applyFont="1" applyFill="1" applyBorder="1" applyAlignment="1">
      <alignment horizontal="center" vertical="center"/>
    </xf>
    <xf numFmtId="0" fontId="31" fillId="2" borderId="6" xfId="0" applyFont="1" applyFill="1" applyBorder="1" applyAlignment="1">
      <alignment horizontal="center" vertical="center"/>
    </xf>
    <xf numFmtId="0" fontId="31" fillId="2" borderId="6" xfId="0" applyFont="1" applyFill="1" applyBorder="1" applyAlignment="1">
      <alignment horizontal="center" vertical="center" shrinkToFit="1"/>
    </xf>
    <xf numFmtId="0" fontId="31" fillId="12" borderId="6" xfId="0" applyFont="1" applyFill="1" applyBorder="1" applyAlignment="1">
      <alignment horizontal="center" vertical="center"/>
    </xf>
    <xf numFmtId="0" fontId="27" fillId="0" borderId="0" xfId="0" applyFont="1">
      <alignment vertical="center"/>
    </xf>
    <xf numFmtId="14" fontId="5" fillId="0" borderId="3" xfId="0" applyNumberFormat="1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41" fontId="26" fillId="0" borderId="12" xfId="1" applyFont="1" applyFill="1" applyBorder="1" applyAlignment="1">
      <alignment horizontal="center" vertical="center"/>
    </xf>
    <xf numFmtId="0" fontId="26" fillId="0" borderId="40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3" xfId="0" applyFont="1" applyBorder="1">
      <alignment vertical="center"/>
    </xf>
    <xf numFmtId="0" fontId="26" fillId="0" borderId="7" xfId="0" applyFont="1" applyBorder="1" applyAlignment="1">
      <alignment horizontal="center" vertical="center"/>
    </xf>
    <xf numFmtId="0" fontId="26" fillId="0" borderId="42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33" fillId="0" borderId="2" xfId="0" applyFont="1" applyBorder="1" applyAlignment="1">
      <alignment horizontal="center" vertical="center"/>
    </xf>
    <xf numFmtId="0" fontId="33" fillId="0" borderId="11" xfId="0" applyFont="1" applyBorder="1" applyAlignment="1">
      <alignment horizontal="center" vertical="center"/>
    </xf>
    <xf numFmtId="0" fontId="26" fillId="13" borderId="3" xfId="0" applyFont="1" applyFill="1" applyBorder="1" applyAlignment="1">
      <alignment horizontal="center" vertical="center"/>
    </xf>
    <xf numFmtId="0" fontId="26" fillId="13" borderId="11" xfId="0" applyFont="1" applyFill="1" applyBorder="1" applyAlignment="1">
      <alignment horizontal="center" vertical="center"/>
    </xf>
    <xf numFmtId="0" fontId="5" fillId="13" borderId="11" xfId="0" applyFont="1" applyFill="1" applyBorder="1" applyAlignment="1">
      <alignment horizontal="center" vertical="center"/>
    </xf>
    <xf numFmtId="0" fontId="26" fillId="0" borderId="2" xfId="0" applyFont="1" applyBorder="1" applyAlignment="1">
      <alignment vertical="center" wrapText="1"/>
    </xf>
    <xf numFmtId="177" fontId="0" fillId="5" borderId="0" xfId="2" applyNumberFormat="1" applyFont="1" applyFill="1">
      <alignment vertical="center"/>
    </xf>
    <xf numFmtId="0" fontId="26" fillId="0" borderId="41" xfId="0" applyFont="1" applyBorder="1" applyAlignment="1">
      <alignment horizontal="center" vertical="center"/>
    </xf>
    <xf numFmtId="41" fontId="26" fillId="0" borderId="3" xfId="1" applyFont="1" applyFill="1" applyBorder="1" applyAlignment="1">
      <alignment horizontal="center" vertical="center"/>
    </xf>
    <xf numFmtId="0" fontId="26" fillId="0" borderId="18" xfId="0" applyFont="1" applyBorder="1" applyAlignment="1">
      <alignment horizontal="center" vertical="center"/>
    </xf>
    <xf numFmtId="0" fontId="26" fillId="0" borderId="3" xfId="0" applyFont="1" applyBorder="1" applyAlignment="1">
      <alignment horizontal="left" vertical="center" shrinkToFit="1"/>
    </xf>
    <xf numFmtId="0" fontId="15" fillId="15" borderId="2" xfId="0" applyFont="1" applyFill="1" applyBorder="1" applyAlignment="1">
      <alignment horizontal="center" vertical="center"/>
    </xf>
    <xf numFmtId="0" fontId="0" fillId="9" borderId="7" xfId="0" applyFill="1" applyBorder="1">
      <alignment vertical="center"/>
    </xf>
    <xf numFmtId="0" fontId="0" fillId="3" borderId="7" xfId="0" applyFill="1" applyBorder="1">
      <alignment vertical="center"/>
    </xf>
    <xf numFmtId="0" fontId="26" fillId="0" borderId="2" xfId="4" applyFont="1" applyBorder="1" applyAlignment="1">
      <alignment horizontal="left" vertical="center" shrinkToFit="1"/>
    </xf>
    <xf numFmtId="14" fontId="26" fillId="0" borderId="2" xfId="4" applyNumberFormat="1" applyFont="1" applyBorder="1" applyAlignment="1">
      <alignment horizontal="center" vertical="center"/>
    </xf>
    <xf numFmtId="0" fontId="26" fillId="13" borderId="2" xfId="4" applyFont="1" applyFill="1" applyBorder="1" applyAlignment="1">
      <alignment horizontal="center" vertical="center"/>
    </xf>
    <xf numFmtId="0" fontId="5" fillId="13" borderId="2" xfId="4" applyFont="1" applyFill="1" applyBorder="1" applyAlignment="1">
      <alignment horizontal="center" vertical="center"/>
    </xf>
    <xf numFmtId="0" fontId="26" fillId="0" borderId="2" xfId="0" applyFont="1" applyBorder="1" applyAlignment="1">
      <alignment vertical="center" shrinkToFit="1"/>
    </xf>
    <xf numFmtId="0" fontId="15" fillId="0" borderId="0" xfId="0" applyFont="1">
      <alignment vertical="center"/>
    </xf>
    <xf numFmtId="0" fontId="26" fillId="0" borderId="2" xfId="0" applyFont="1" applyBorder="1" applyAlignment="1">
      <alignment vertical="center" wrapText="1" shrinkToFit="1"/>
    </xf>
    <xf numFmtId="0" fontId="26" fillId="0" borderId="19" xfId="0" applyFont="1" applyBorder="1" applyAlignment="1">
      <alignment horizontal="center" vertical="center"/>
    </xf>
    <xf numFmtId="0" fontId="26" fillId="0" borderId="36" xfId="0" applyFont="1" applyBorder="1" applyAlignment="1">
      <alignment horizontal="center" vertical="center"/>
    </xf>
    <xf numFmtId="0" fontId="33" fillId="0" borderId="36" xfId="0" applyFont="1" applyBorder="1" applyAlignment="1">
      <alignment horizontal="center" vertical="center"/>
    </xf>
    <xf numFmtId="0" fontId="33" fillId="0" borderId="2" xfId="0" applyFont="1" applyBorder="1" applyAlignment="1">
      <alignment horizontal="left" vertical="center" wrapText="1" shrinkToFit="1"/>
    </xf>
    <xf numFmtId="14" fontId="33" fillId="0" borderId="2" xfId="0" applyNumberFormat="1" applyFont="1" applyBorder="1" applyAlignment="1">
      <alignment horizontal="center" vertical="center"/>
    </xf>
    <xf numFmtId="41" fontId="28" fillId="0" borderId="2" xfId="1" applyFont="1" applyFill="1" applyBorder="1" applyAlignment="1">
      <alignment horizontal="center" vertical="center"/>
    </xf>
    <xf numFmtId="0" fontId="33" fillId="13" borderId="2" xfId="0" applyFont="1" applyFill="1" applyBorder="1" applyAlignment="1">
      <alignment horizontal="center" vertical="center"/>
    </xf>
    <xf numFmtId="0" fontId="33" fillId="0" borderId="26" xfId="0" applyFont="1" applyBorder="1" applyAlignment="1">
      <alignment horizontal="center" vertical="center"/>
    </xf>
    <xf numFmtId="41" fontId="33" fillId="0" borderId="2" xfId="1" applyFont="1" applyFill="1" applyBorder="1" applyAlignment="1">
      <alignment horizontal="center" vertical="center"/>
    </xf>
    <xf numFmtId="0" fontId="16" fillId="0" borderId="0" xfId="0" applyFont="1">
      <alignment vertical="center"/>
    </xf>
    <xf numFmtId="177" fontId="15" fillId="13" borderId="2" xfId="2" applyNumberFormat="1" applyFont="1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31" fillId="2" borderId="29" xfId="0" applyFont="1" applyFill="1" applyBorder="1" applyAlignment="1">
      <alignment horizontal="center" vertical="center"/>
    </xf>
    <xf numFmtId="0" fontId="31" fillId="2" borderId="21" xfId="0" applyFont="1" applyFill="1" applyBorder="1" applyAlignment="1">
      <alignment horizontal="center" vertical="center"/>
    </xf>
    <xf numFmtId="177" fontId="8" fillId="14" borderId="49" xfId="2" applyNumberFormat="1" applyFont="1" applyFill="1" applyBorder="1" applyAlignment="1">
      <alignment horizontal="center" vertical="center"/>
    </xf>
    <xf numFmtId="9" fontId="28" fillId="0" borderId="51" xfId="0" applyNumberFormat="1" applyFont="1" applyBorder="1">
      <alignment vertical="center"/>
    </xf>
    <xf numFmtId="9" fontId="5" fillId="0" borderId="51" xfId="0" applyNumberFormat="1" applyFont="1" applyBorder="1">
      <alignment vertical="center"/>
    </xf>
    <xf numFmtId="0" fontId="31" fillId="12" borderId="58" xfId="0" applyFont="1" applyFill="1" applyBorder="1" applyAlignment="1">
      <alignment horizontal="center" vertical="center"/>
    </xf>
    <xf numFmtId="177" fontId="31" fillId="12" borderId="53" xfId="2" applyNumberFormat="1" applyFont="1" applyFill="1" applyBorder="1" applyAlignment="1">
      <alignment horizontal="center" vertical="center"/>
    </xf>
    <xf numFmtId="9" fontId="28" fillId="13" borderId="55" xfId="0" applyNumberFormat="1" applyFont="1" applyFill="1" applyBorder="1">
      <alignment vertical="center"/>
    </xf>
    <xf numFmtId="177" fontId="28" fillId="13" borderId="55" xfId="0" applyNumberFormat="1" applyFont="1" applyFill="1" applyBorder="1">
      <alignment vertical="center"/>
    </xf>
    <xf numFmtId="177" fontId="5" fillId="13" borderId="55" xfId="0" applyNumberFormat="1" applyFont="1" applyFill="1" applyBorder="1">
      <alignment vertical="center"/>
    </xf>
    <xf numFmtId="9" fontId="5" fillId="13" borderId="55" xfId="0" applyNumberFormat="1" applyFont="1" applyFill="1" applyBorder="1">
      <alignment vertical="center"/>
    </xf>
    <xf numFmtId="9" fontId="5" fillId="13" borderId="54" xfId="0" applyNumberFormat="1" applyFont="1" applyFill="1" applyBorder="1">
      <alignment vertical="center"/>
    </xf>
    <xf numFmtId="177" fontId="28" fillId="13" borderId="60" xfId="0" applyNumberFormat="1" applyFont="1" applyFill="1" applyBorder="1">
      <alignment vertical="center"/>
    </xf>
    <xf numFmtId="9" fontId="28" fillId="0" borderId="48" xfId="0" applyNumberFormat="1" applyFont="1" applyBorder="1">
      <alignment vertical="center"/>
    </xf>
    <xf numFmtId="0" fontId="5" fillId="11" borderId="26" xfId="0" applyFont="1" applyFill="1" applyBorder="1" applyAlignment="1">
      <alignment horizontal="center" vertical="center"/>
    </xf>
    <xf numFmtId="9" fontId="5" fillId="0" borderId="47" xfId="0" applyNumberFormat="1" applyFont="1" applyBorder="1">
      <alignment vertical="center"/>
    </xf>
    <xf numFmtId="9" fontId="5" fillId="0" borderId="51" xfId="0" applyNumberFormat="1" applyFont="1" applyBorder="1" applyAlignment="1">
      <alignment horizontal="right" vertical="center"/>
    </xf>
    <xf numFmtId="9" fontId="28" fillId="13" borderId="60" xfId="0" applyNumberFormat="1" applyFont="1" applyFill="1" applyBorder="1">
      <alignment vertical="center"/>
    </xf>
    <xf numFmtId="0" fontId="5" fillId="0" borderId="0" xfId="0" applyFont="1" applyAlignment="1">
      <alignment horizontal="center" vertical="center"/>
    </xf>
    <xf numFmtId="0" fontId="26" fillId="0" borderId="11" xfId="0" applyFont="1" applyBorder="1" applyAlignment="1">
      <alignment horizontal="left" vertical="center" wrapText="1" shrinkToFit="1"/>
    </xf>
    <xf numFmtId="9" fontId="5" fillId="0" borderId="57" xfId="0" applyNumberFormat="1" applyFont="1" applyBorder="1">
      <alignment vertical="center"/>
    </xf>
    <xf numFmtId="0" fontId="26" fillId="0" borderId="43" xfId="0" applyFont="1" applyBorder="1" applyAlignment="1">
      <alignment horizontal="center" vertical="center"/>
    </xf>
    <xf numFmtId="9" fontId="5" fillId="13" borderId="34" xfId="0" applyNumberFormat="1" applyFont="1" applyFill="1" applyBorder="1">
      <alignment vertical="center"/>
    </xf>
    <xf numFmtId="9" fontId="5" fillId="0" borderId="50" xfId="0" applyNumberFormat="1" applyFont="1" applyBorder="1" applyAlignment="1">
      <alignment horizontal="right" vertical="center"/>
    </xf>
    <xf numFmtId="9" fontId="5" fillId="0" borderId="47" xfId="0" applyNumberFormat="1" applyFont="1" applyBorder="1" applyAlignment="1">
      <alignment horizontal="right" vertical="center"/>
    </xf>
    <xf numFmtId="0" fontId="26" fillId="0" borderId="3" xfId="0" applyFont="1" applyBorder="1" applyAlignment="1">
      <alignment vertical="center" wrapText="1" shrinkToFit="1"/>
    </xf>
    <xf numFmtId="177" fontId="5" fillId="13" borderId="54" xfId="0" applyNumberFormat="1" applyFont="1" applyFill="1" applyBorder="1">
      <alignment vertical="center"/>
    </xf>
    <xf numFmtId="177" fontId="5" fillId="13" borderId="59" xfId="0" applyNumberFormat="1" applyFont="1" applyFill="1" applyBorder="1">
      <alignment vertical="center"/>
    </xf>
    <xf numFmtId="9" fontId="5" fillId="0" borderId="52" xfId="0" applyNumberFormat="1" applyFont="1" applyBorder="1">
      <alignment vertical="center"/>
    </xf>
    <xf numFmtId="0" fontId="5" fillId="0" borderId="55" xfId="0" applyFont="1" applyBorder="1" applyAlignment="1">
      <alignment horizontal="center" vertical="center"/>
    </xf>
    <xf numFmtId="0" fontId="26" fillId="0" borderId="45" xfId="0" applyFont="1" applyBorder="1" applyAlignment="1">
      <alignment horizontal="center" vertical="center"/>
    </xf>
    <xf numFmtId="0" fontId="28" fillId="0" borderId="11" xfId="0" applyFont="1" applyBorder="1" applyAlignment="1">
      <alignment horizontal="center" vertical="center"/>
    </xf>
    <xf numFmtId="41" fontId="28" fillId="0" borderId="6" xfId="1" applyFont="1" applyFill="1" applyBorder="1" applyAlignment="1">
      <alignment horizontal="center" vertical="center"/>
    </xf>
    <xf numFmtId="0" fontId="26" fillId="9" borderId="36" xfId="0" applyFont="1" applyFill="1" applyBorder="1" applyAlignment="1">
      <alignment horizontal="center" vertical="center"/>
    </xf>
    <xf numFmtId="177" fontId="5" fillId="9" borderId="60" xfId="0" applyNumberFormat="1" applyFont="1" applyFill="1" applyBorder="1">
      <alignment vertical="center"/>
    </xf>
    <xf numFmtId="9" fontId="5" fillId="9" borderId="48" xfId="0" applyNumberFormat="1" applyFont="1" applyFill="1" applyBorder="1">
      <alignment vertical="center"/>
    </xf>
    <xf numFmtId="0" fontId="33" fillId="0" borderId="2" xfId="0" applyFont="1" applyBorder="1" applyAlignment="1">
      <alignment horizontal="left" vertical="center" shrinkToFit="1"/>
    </xf>
    <xf numFmtId="14" fontId="28" fillId="0" borderId="11" xfId="0" applyNumberFormat="1" applyFont="1" applyBorder="1" applyAlignment="1">
      <alignment horizontal="center" vertical="center"/>
    </xf>
    <xf numFmtId="41" fontId="28" fillId="0" borderId="11" xfId="1" applyFont="1" applyFill="1" applyBorder="1" applyAlignment="1">
      <alignment horizontal="center" vertical="center"/>
    </xf>
    <xf numFmtId="0" fontId="5" fillId="0" borderId="63" xfId="0" applyFont="1" applyBorder="1" applyAlignment="1">
      <alignment horizontal="center" vertical="center"/>
    </xf>
    <xf numFmtId="0" fontId="28" fillId="13" borderId="11" xfId="0" applyFont="1" applyFill="1" applyBorder="1" applyAlignment="1">
      <alignment horizontal="center" vertical="center"/>
    </xf>
    <xf numFmtId="0" fontId="28" fillId="0" borderId="31" xfId="0" applyFont="1" applyBorder="1" applyAlignment="1">
      <alignment horizontal="center" vertical="center"/>
    </xf>
    <xf numFmtId="0" fontId="26" fillId="0" borderId="39" xfId="0" applyFont="1" applyBorder="1" applyAlignment="1">
      <alignment horizontal="center" vertical="center"/>
    </xf>
    <xf numFmtId="9" fontId="5" fillId="13" borderId="54" xfId="0" applyNumberFormat="1" applyFont="1" applyFill="1" applyBorder="1" applyAlignment="1">
      <alignment horizontal="right" vertical="center"/>
    </xf>
    <xf numFmtId="9" fontId="5" fillId="13" borderId="55" xfId="0" applyNumberFormat="1" applyFont="1" applyFill="1" applyBorder="1" applyAlignment="1">
      <alignment horizontal="right" vertical="center"/>
    </xf>
    <xf numFmtId="0" fontId="26" fillId="13" borderId="41" xfId="0" applyFont="1" applyFill="1" applyBorder="1" applyAlignment="1">
      <alignment horizontal="center" vertical="center"/>
    </xf>
    <xf numFmtId="0" fontId="26" fillId="13" borderId="7" xfId="0" applyFont="1" applyFill="1" applyBorder="1" applyAlignment="1">
      <alignment horizontal="center" vertical="center"/>
    </xf>
    <xf numFmtId="0" fontId="5" fillId="13" borderId="7" xfId="0" applyFont="1" applyFill="1" applyBorder="1" applyAlignment="1">
      <alignment horizontal="center" vertical="center"/>
    </xf>
    <xf numFmtId="0" fontId="5" fillId="0" borderId="11" xfId="0" applyFont="1" applyBorder="1">
      <alignment vertical="center"/>
    </xf>
    <xf numFmtId="14" fontId="5" fillId="0" borderId="11" xfId="0" applyNumberFormat="1" applyFont="1" applyBorder="1" applyAlignment="1">
      <alignment horizontal="center" vertical="center"/>
    </xf>
    <xf numFmtId="0" fontId="5" fillId="0" borderId="64" xfId="0" applyFont="1" applyBorder="1" applyAlignment="1">
      <alignment horizontal="center" vertical="center"/>
    </xf>
    <xf numFmtId="9" fontId="5" fillId="0" borderId="57" xfId="0" applyNumberFormat="1" applyFont="1" applyBorder="1" applyAlignment="1">
      <alignment horizontal="right" vertical="center"/>
    </xf>
    <xf numFmtId="0" fontId="26" fillId="11" borderId="2" xfId="0" applyFont="1" applyFill="1" applyBorder="1" applyAlignment="1">
      <alignment horizontal="center" vertical="center"/>
    </xf>
    <xf numFmtId="0" fontId="26" fillId="3" borderId="2" xfId="0" applyFont="1" applyFill="1" applyBorder="1" applyAlignment="1">
      <alignment horizontal="center" vertical="center"/>
    </xf>
    <xf numFmtId="0" fontId="26" fillId="3" borderId="2" xfId="0" applyFont="1" applyFill="1" applyBorder="1" applyAlignment="1">
      <alignment horizontal="left" vertical="center" shrinkToFit="1"/>
    </xf>
    <xf numFmtId="14" fontId="26" fillId="3" borderId="2" xfId="0" applyNumberFormat="1" applyFont="1" applyFill="1" applyBorder="1" applyAlignment="1">
      <alignment horizontal="center" vertical="center"/>
    </xf>
    <xf numFmtId="41" fontId="26" fillId="3" borderId="2" xfId="1" applyFont="1" applyFill="1" applyBorder="1" applyAlignment="1">
      <alignment horizontal="center" vertical="center"/>
    </xf>
    <xf numFmtId="0" fontId="26" fillId="9" borderId="2" xfId="0" applyFont="1" applyFill="1" applyBorder="1" applyAlignment="1">
      <alignment horizontal="center" vertical="center"/>
    </xf>
    <xf numFmtId="0" fontId="26" fillId="9" borderId="2" xfId="0" applyFont="1" applyFill="1" applyBorder="1" applyAlignment="1">
      <alignment horizontal="left" vertical="center" shrinkToFit="1"/>
    </xf>
    <xf numFmtId="14" fontId="26" fillId="9" borderId="2" xfId="0" applyNumberFormat="1" applyFont="1" applyFill="1" applyBorder="1" applyAlignment="1">
      <alignment horizontal="center" vertical="center"/>
    </xf>
    <xf numFmtId="41" fontId="26" fillId="9" borderId="2" xfId="1" applyFont="1" applyFill="1" applyBorder="1" applyAlignment="1">
      <alignment horizontal="center" vertical="center"/>
    </xf>
    <xf numFmtId="0" fontId="26" fillId="11" borderId="3" xfId="0" applyFont="1" applyFill="1" applyBorder="1" applyAlignment="1">
      <alignment horizontal="center" vertical="center"/>
    </xf>
    <xf numFmtId="14" fontId="26" fillId="11" borderId="3" xfId="0" applyNumberFormat="1" applyFont="1" applyFill="1" applyBorder="1" applyAlignment="1">
      <alignment horizontal="center" vertical="center"/>
    </xf>
    <xf numFmtId="41" fontId="26" fillId="11" borderId="3" xfId="1" applyFont="1" applyFill="1" applyBorder="1" applyAlignment="1">
      <alignment horizontal="center" vertical="center"/>
    </xf>
    <xf numFmtId="0" fontId="26" fillId="11" borderId="18" xfId="0" applyFont="1" applyFill="1" applyBorder="1" applyAlignment="1">
      <alignment horizontal="center" vertical="center"/>
    </xf>
    <xf numFmtId="0" fontId="5" fillId="11" borderId="11" xfId="0" applyFont="1" applyFill="1" applyBorder="1" applyAlignment="1">
      <alignment horizontal="center" vertical="center"/>
    </xf>
    <xf numFmtId="0" fontId="5" fillId="11" borderId="11" xfId="0" applyFont="1" applyFill="1" applyBorder="1">
      <alignment vertical="center"/>
    </xf>
    <xf numFmtId="14" fontId="5" fillId="11" borderId="11" xfId="0" applyNumberFormat="1" applyFont="1" applyFill="1" applyBorder="1" applyAlignment="1">
      <alignment horizontal="center" vertical="center"/>
    </xf>
    <xf numFmtId="41" fontId="5" fillId="11" borderId="11" xfId="1" applyFont="1" applyFill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14" fontId="33" fillId="0" borderId="11" xfId="0" applyNumberFormat="1" applyFont="1" applyBorder="1" applyAlignment="1">
      <alignment horizontal="center" vertical="center"/>
    </xf>
    <xf numFmtId="0" fontId="33" fillId="13" borderId="11" xfId="0" applyFont="1" applyFill="1" applyBorder="1" applyAlignment="1">
      <alignment horizontal="center" vertical="center"/>
    </xf>
    <xf numFmtId="0" fontId="28" fillId="13" borderId="12" xfId="0" applyFont="1" applyFill="1" applyBorder="1" applyAlignment="1">
      <alignment horizontal="center" vertical="center"/>
    </xf>
    <xf numFmtId="9" fontId="28" fillId="13" borderId="59" xfId="0" applyNumberFormat="1" applyFont="1" applyFill="1" applyBorder="1">
      <alignment vertical="center"/>
    </xf>
    <xf numFmtId="0" fontId="33" fillId="0" borderId="6" xfId="0" applyFont="1" applyBorder="1" applyAlignment="1">
      <alignment horizontal="center" vertical="center"/>
    </xf>
    <xf numFmtId="0" fontId="33" fillId="0" borderId="6" xfId="0" applyFont="1" applyBorder="1" applyAlignment="1">
      <alignment horizontal="left" vertical="center" wrapText="1" shrinkToFit="1"/>
    </xf>
    <xf numFmtId="14" fontId="33" fillId="0" borderId="6" xfId="0" applyNumberFormat="1" applyFont="1" applyBorder="1" applyAlignment="1">
      <alignment horizontal="center" vertical="center"/>
    </xf>
    <xf numFmtId="0" fontId="33" fillId="13" borderId="6" xfId="0" applyFont="1" applyFill="1" applyBorder="1" applyAlignment="1">
      <alignment horizontal="center" vertical="center"/>
    </xf>
    <xf numFmtId="0" fontId="28" fillId="13" borderId="6" xfId="0" applyFont="1" applyFill="1" applyBorder="1" applyAlignment="1">
      <alignment horizontal="center" vertical="center"/>
    </xf>
    <xf numFmtId="0" fontId="33" fillId="0" borderId="6" xfId="0" applyFont="1" applyBorder="1" applyAlignment="1">
      <alignment horizontal="left" vertical="center" shrinkToFit="1"/>
    </xf>
    <xf numFmtId="41" fontId="33" fillId="0" borderId="6" xfId="1" applyFont="1" applyFill="1" applyBorder="1" applyAlignment="1">
      <alignment horizontal="center" vertical="center"/>
    </xf>
    <xf numFmtId="0" fontId="33" fillId="0" borderId="11" xfId="0" applyFont="1" applyBorder="1" applyAlignment="1">
      <alignment vertical="center" shrinkToFit="1"/>
    </xf>
    <xf numFmtId="0" fontId="28" fillId="0" borderId="11" xfId="0" applyFont="1" applyBorder="1" applyAlignment="1">
      <alignment horizontal="left" vertical="center"/>
    </xf>
    <xf numFmtId="0" fontId="33" fillId="0" borderId="29" xfId="0" applyFont="1" applyBorder="1" applyAlignment="1">
      <alignment horizontal="center" vertical="center"/>
    </xf>
    <xf numFmtId="0" fontId="26" fillId="3" borderId="26" xfId="0" applyFont="1" applyFill="1" applyBorder="1" applyAlignment="1">
      <alignment horizontal="center" vertical="center"/>
    </xf>
    <xf numFmtId="0" fontId="33" fillId="0" borderId="31" xfId="0" applyFont="1" applyBorder="1" applyAlignment="1">
      <alignment horizontal="center" vertical="center"/>
    </xf>
    <xf numFmtId="9" fontId="28" fillId="0" borderId="65" xfId="0" applyNumberFormat="1" applyFont="1" applyBorder="1" applyAlignment="1">
      <alignment horizontal="right" vertical="center"/>
    </xf>
    <xf numFmtId="9" fontId="28" fillId="0" borderId="65" xfId="0" applyNumberFormat="1" applyFont="1" applyBorder="1">
      <alignment vertical="center"/>
    </xf>
    <xf numFmtId="9" fontId="5" fillId="3" borderId="51" xfId="0" applyNumberFormat="1" applyFont="1" applyFill="1" applyBorder="1">
      <alignment vertical="center"/>
    </xf>
    <xf numFmtId="9" fontId="28" fillId="0" borderId="57" xfId="0" applyNumberFormat="1" applyFont="1" applyBorder="1">
      <alignment vertical="center"/>
    </xf>
    <xf numFmtId="9" fontId="28" fillId="13" borderId="61" xfId="0" applyNumberFormat="1" applyFont="1" applyFill="1" applyBorder="1">
      <alignment vertical="center"/>
    </xf>
    <xf numFmtId="9" fontId="5" fillId="3" borderId="55" xfId="0" applyNumberFormat="1" applyFont="1" applyFill="1" applyBorder="1">
      <alignment vertical="center"/>
    </xf>
    <xf numFmtId="177" fontId="28" fillId="13" borderId="56" xfId="0" applyNumberFormat="1" applyFont="1" applyFill="1" applyBorder="1">
      <alignment vertical="center"/>
    </xf>
    <xf numFmtId="9" fontId="28" fillId="13" borderId="56" xfId="0" applyNumberFormat="1" applyFont="1" applyFill="1" applyBorder="1">
      <alignment vertical="center"/>
    </xf>
    <xf numFmtId="0" fontId="33" fillId="0" borderId="25" xfId="0" applyFont="1" applyBorder="1" applyAlignment="1">
      <alignment horizontal="center" vertical="center"/>
    </xf>
    <xf numFmtId="9" fontId="28" fillId="0" borderId="52" xfId="0" applyNumberFormat="1" applyFont="1" applyBorder="1">
      <alignment vertical="center"/>
    </xf>
    <xf numFmtId="0" fontId="5" fillId="0" borderId="12" xfId="0" applyFont="1" applyBorder="1">
      <alignment vertical="center"/>
    </xf>
    <xf numFmtId="9" fontId="5" fillId="0" borderId="54" xfId="0" applyNumberFormat="1" applyFont="1" applyBorder="1" applyAlignment="1">
      <alignment horizontal="right" vertical="center"/>
    </xf>
    <xf numFmtId="9" fontId="5" fillId="0" borderId="55" xfId="0" applyNumberFormat="1" applyFont="1" applyBorder="1" applyAlignment="1">
      <alignment horizontal="right" vertical="center"/>
    </xf>
    <xf numFmtId="0" fontId="33" fillId="0" borderId="19" xfId="0" applyFont="1" applyBorder="1" applyAlignment="1">
      <alignment horizontal="center" vertical="center"/>
    </xf>
    <xf numFmtId="0" fontId="33" fillId="0" borderId="19" xfId="0" applyFont="1" applyBorder="1" applyAlignment="1">
      <alignment horizontal="left" vertical="center" shrinkToFit="1"/>
    </xf>
    <xf numFmtId="14" fontId="33" fillId="0" borderId="19" xfId="0" applyNumberFormat="1" applyFont="1" applyBorder="1" applyAlignment="1">
      <alignment horizontal="center" vertical="center"/>
    </xf>
    <xf numFmtId="41" fontId="33" fillId="0" borderId="19" xfId="1" applyFont="1" applyFill="1" applyBorder="1" applyAlignment="1">
      <alignment horizontal="center" vertical="center"/>
    </xf>
    <xf numFmtId="0" fontId="33" fillId="13" borderId="19" xfId="0" applyFont="1" applyFill="1" applyBorder="1" applyAlignment="1">
      <alignment horizontal="center" vertical="center"/>
    </xf>
    <xf numFmtId="9" fontId="28" fillId="0" borderId="60" xfId="0" applyNumberFormat="1" applyFont="1" applyBorder="1">
      <alignment vertical="center"/>
    </xf>
    <xf numFmtId="0" fontId="28" fillId="0" borderId="27" xfId="0" applyFont="1" applyBorder="1" applyAlignment="1">
      <alignment horizontal="center" vertical="center"/>
    </xf>
    <xf numFmtId="0" fontId="26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9" fontId="5" fillId="13" borderId="61" xfId="0" applyNumberFormat="1" applyFont="1" applyFill="1" applyBorder="1" applyAlignment="1">
      <alignment horizontal="right" vertical="center"/>
    </xf>
    <xf numFmtId="9" fontId="5" fillId="13" borderId="58" xfId="0" applyNumberFormat="1" applyFont="1" applyFill="1" applyBorder="1" applyAlignment="1">
      <alignment horizontal="right" vertical="center"/>
    </xf>
    <xf numFmtId="0" fontId="5" fillId="0" borderId="62" xfId="0" applyFont="1" applyBorder="1" applyAlignment="1">
      <alignment horizontal="center" vertical="center"/>
    </xf>
    <xf numFmtId="0" fontId="28" fillId="0" borderId="0" xfId="0" applyFont="1">
      <alignment vertical="center"/>
    </xf>
    <xf numFmtId="0" fontId="33" fillId="13" borderId="22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28" fillId="0" borderId="22" xfId="0" applyFont="1" applyBorder="1">
      <alignment vertical="center"/>
    </xf>
    <xf numFmtId="0" fontId="33" fillId="0" borderId="22" xfId="0" applyFont="1" applyBorder="1" applyAlignment="1">
      <alignment horizontal="left" vertical="center" shrinkToFit="1"/>
    </xf>
    <xf numFmtId="14" fontId="33" fillId="0" borderId="22" xfId="0" applyNumberFormat="1" applyFont="1" applyBorder="1" applyAlignment="1">
      <alignment horizontal="center" vertical="center"/>
    </xf>
    <xf numFmtId="41" fontId="33" fillId="0" borderId="22" xfId="1" applyFont="1" applyFill="1" applyBorder="1" applyAlignment="1">
      <alignment horizontal="center" vertical="center"/>
    </xf>
    <xf numFmtId="0" fontId="33" fillId="0" borderId="33" xfId="0" applyFont="1" applyBorder="1" applyAlignment="1">
      <alignment horizontal="center" vertical="center"/>
    </xf>
    <xf numFmtId="9" fontId="28" fillId="13" borderId="56" xfId="0" applyNumberFormat="1" applyFont="1" applyFill="1" applyBorder="1" applyAlignment="1">
      <alignment horizontal="right" vertical="center"/>
    </xf>
    <xf numFmtId="9" fontId="28" fillId="0" borderId="56" xfId="0" applyNumberFormat="1" applyFont="1" applyBorder="1" applyAlignment="1">
      <alignment horizontal="right" vertical="center"/>
    </xf>
    <xf numFmtId="0" fontId="15" fillId="9" borderId="7" xfId="0" applyFont="1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177" fontId="15" fillId="9" borderId="7" xfId="2" applyNumberFormat="1" applyFont="1" applyFill="1" applyBorder="1" applyAlignment="1">
      <alignment horizontal="center" vertical="center"/>
    </xf>
    <xf numFmtId="177" fontId="0" fillId="9" borderId="21" xfId="2" applyNumberFormat="1" applyFont="1" applyFill="1" applyBorder="1" applyAlignment="1">
      <alignment horizontal="center" vertical="center"/>
    </xf>
    <xf numFmtId="177" fontId="15" fillId="9" borderId="2" xfId="2" applyNumberFormat="1" applyFont="1" applyFill="1" applyBorder="1" applyAlignment="1">
      <alignment horizontal="center" vertical="center"/>
    </xf>
    <xf numFmtId="177" fontId="15" fillId="3" borderId="2" xfId="2" applyNumberFormat="1" applyFont="1" applyFill="1" applyBorder="1" applyAlignment="1">
      <alignment horizontal="center" vertical="center"/>
    </xf>
    <xf numFmtId="0" fontId="5" fillId="11" borderId="10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5" fillId="9" borderId="8" xfId="0" applyFont="1" applyFill="1" applyBorder="1" applyAlignment="1">
      <alignment horizontal="center" vertical="center"/>
    </xf>
    <xf numFmtId="0" fontId="28" fillId="0" borderId="70" xfId="0" applyFont="1" applyBorder="1" applyAlignment="1">
      <alignment horizontal="center" vertical="center"/>
    </xf>
    <xf numFmtId="0" fontId="28" fillId="0" borderId="69" xfId="0" applyFont="1" applyBorder="1" applyAlignment="1">
      <alignment horizontal="center" vertical="center"/>
    </xf>
    <xf numFmtId="0" fontId="26" fillId="8" borderId="36" xfId="0" applyFont="1" applyFill="1" applyBorder="1" applyAlignment="1">
      <alignment horizontal="center" vertical="center"/>
    </xf>
    <xf numFmtId="0" fontId="26" fillId="8" borderId="19" xfId="0" applyFont="1" applyFill="1" applyBorder="1" applyAlignment="1">
      <alignment horizontal="center" vertical="center"/>
    </xf>
    <xf numFmtId="177" fontId="0" fillId="0" borderId="0" xfId="2" applyNumberFormat="1" applyFont="1" applyAlignment="1">
      <alignment horizontal="center" vertical="center"/>
    </xf>
    <xf numFmtId="0" fontId="28" fillId="13" borderId="2" xfId="0" applyFont="1" applyFill="1" applyBorder="1" applyAlignment="1">
      <alignment horizontal="center" vertical="center"/>
    </xf>
    <xf numFmtId="14" fontId="28" fillId="0" borderId="2" xfId="0" applyNumberFormat="1" applyFont="1" applyBorder="1" applyAlignment="1">
      <alignment horizontal="center" vertical="center"/>
    </xf>
    <xf numFmtId="0" fontId="28" fillId="0" borderId="26" xfId="0" applyFont="1" applyBorder="1" applyAlignment="1">
      <alignment horizontal="center" vertical="center"/>
    </xf>
    <xf numFmtId="0" fontId="28" fillId="0" borderId="2" xfId="0" applyFont="1" applyBorder="1">
      <alignment vertical="center"/>
    </xf>
    <xf numFmtId="0" fontId="28" fillId="0" borderId="11" xfId="0" applyFont="1" applyBorder="1">
      <alignment vertical="center"/>
    </xf>
    <xf numFmtId="0" fontId="26" fillId="0" borderId="5" xfId="0" applyFont="1" applyBorder="1" applyAlignment="1">
      <alignment horizontal="center" vertical="center"/>
    </xf>
    <xf numFmtId="9" fontId="28" fillId="13" borderId="55" xfId="0" applyNumberFormat="1" applyFont="1" applyFill="1" applyBorder="1" applyAlignment="1">
      <alignment horizontal="right" vertical="center"/>
    </xf>
    <xf numFmtId="0" fontId="5" fillId="11" borderId="29" xfId="0" applyFont="1" applyFill="1" applyBorder="1" applyAlignment="1">
      <alignment horizontal="center" vertical="center"/>
    </xf>
    <xf numFmtId="9" fontId="28" fillId="0" borderId="51" xfId="0" applyNumberFormat="1" applyFont="1" applyBorder="1" applyAlignment="1">
      <alignment horizontal="right" vertical="center"/>
    </xf>
    <xf numFmtId="9" fontId="28" fillId="0" borderId="57" xfId="0" applyNumberFormat="1" applyFont="1" applyBorder="1" applyAlignment="1">
      <alignment horizontal="right" vertical="center"/>
    </xf>
    <xf numFmtId="0" fontId="15" fillId="10" borderId="7" xfId="0" applyFont="1" applyFill="1" applyBorder="1" applyAlignment="1">
      <alignment horizontal="center" vertical="center"/>
    </xf>
    <xf numFmtId="0" fontId="15" fillId="10" borderId="2" xfId="0" applyFont="1" applyFill="1" applyBorder="1" applyAlignment="1">
      <alignment horizontal="center" vertical="center"/>
    </xf>
    <xf numFmtId="177" fontId="15" fillId="13" borderId="7" xfId="2" applyNumberFormat="1" applyFont="1" applyFill="1" applyBorder="1" applyAlignment="1">
      <alignment horizontal="center" vertical="center"/>
    </xf>
    <xf numFmtId="0" fontId="37" fillId="2" borderId="6" xfId="0" applyFont="1" applyFill="1" applyBorder="1" applyAlignment="1">
      <alignment horizontal="center" vertical="center"/>
    </xf>
    <xf numFmtId="0" fontId="37" fillId="2" borderId="6" xfId="0" applyFont="1" applyFill="1" applyBorder="1" applyAlignment="1">
      <alignment horizontal="center" vertical="center" shrinkToFit="1"/>
    </xf>
    <xf numFmtId="41" fontId="37" fillId="2" borderId="6" xfId="1" applyFont="1" applyFill="1" applyBorder="1" applyAlignment="1">
      <alignment horizontal="center" vertical="center"/>
    </xf>
    <xf numFmtId="0" fontId="37" fillId="12" borderId="6" xfId="0" applyFont="1" applyFill="1" applyBorder="1" applyAlignment="1">
      <alignment horizontal="center" vertical="center"/>
    </xf>
    <xf numFmtId="0" fontId="37" fillId="2" borderId="29" xfId="0" applyFont="1" applyFill="1" applyBorder="1" applyAlignment="1">
      <alignment horizontal="center" vertical="center"/>
    </xf>
    <xf numFmtId="0" fontId="37" fillId="12" borderId="58" xfId="0" applyFont="1" applyFill="1" applyBorder="1" applyAlignment="1">
      <alignment horizontal="center" vertical="center"/>
    </xf>
    <xf numFmtId="0" fontId="37" fillId="2" borderId="21" xfId="0" applyFont="1" applyFill="1" applyBorder="1" applyAlignment="1">
      <alignment horizontal="center" vertical="center"/>
    </xf>
    <xf numFmtId="0" fontId="37" fillId="14" borderId="14" xfId="0" applyFont="1" applyFill="1" applyBorder="1" applyAlignment="1">
      <alignment horizontal="center" vertical="center"/>
    </xf>
    <xf numFmtId="0" fontId="37" fillId="14" borderId="35" xfId="0" applyFont="1" applyFill="1" applyBorder="1" applyAlignment="1">
      <alignment horizontal="center" vertical="center"/>
    </xf>
    <xf numFmtId="0" fontId="37" fillId="14" borderId="67" xfId="0" applyFont="1" applyFill="1" applyBorder="1" applyAlignment="1">
      <alignment horizontal="center" vertical="center"/>
    </xf>
    <xf numFmtId="41" fontId="37" fillId="14" borderId="14" xfId="1" applyFont="1" applyFill="1" applyBorder="1" applyAlignment="1">
      <alignment horizontal="center" vertical="center"/>
    </xf>
    <xf numFmtId="0" fontId="37" fillId="12" borderId="14" xfId="0" applyFont="1" applyFill="1" applyBorder="1" applyAlignment="1">
      <alignment horizontal="center" vertical="center"/>
    </xf>
    <xf numFmtId="177" fontId="37" fillId="12" borderId="58" xfId="2" applyNumberFormat="1" applyFont="1" applyFill="1" applyBorder="1" applyAlignment="1">
      <alignment horizontal="center" vertical="center"/>
    </xf>
    <xf numFmtId="177" fontId="26" fillId="14" borderId="68" xfId="2" applyNumberFormat="1" applyFont="1" applyFill="1" applyBorder="1" applyAlignment="1">
      <alignment horizontal="center" vertical="center"/>
    </xf>
    <xf numFmtId="0" fontId="26" fillId="11" borderId="3" xfId="0" applyFont="1" applyFill="1" applyBorder="1" applyAlignment="1">
      <alignment horizontal="left" vertical="center" shrinkToFit="1"/>
    </xf>
    <xf numFmtId="0" fontId="5" fillId="0" borderId="2" xfId="0" applyFont="1" applyBorder="1" applyAlignment="1">
      <alignment vertical="center" wrapText="1"/>
    </xf>
    <xf numFmtId="0" fontId="28" fillId="0" borderId="62" xfId="0" applyFont="1" applyBorder="1" applyAlignment="1">
      <alignment horizontal="center" vertical="center"/>
    </xf>
    <xf numFmtId="177" fontId="17" fillId="5" borderId="0" xfId="2" applyNumberFormat="1" applyFont="1" applyFill="1">
      <alignment vertical="center"/>
    </xf>
    <xf numFmtId="0" fontId="28" fillId="11" borderId="29" xfId="0" applyFont="1" applyFill="1" applyBorder="1" applyAlignment="1">
      <alignment horizontal="center" vertical="center"/>
    </xf>
    <xf numFmtId="0" fontId="7" fillId="11" borderId="0" xfId="0" applyFont="1" applyFill="1">
      <alignment vertical="center"/>
    </xf>
    <xf numFmtId="0" fontId="0" fillId="11" borderId="0" xfId="0" applyFill="1">
      <alignment vertical="center"/>
    </xf>
    <xf numFmtId="0" fontId="5" fillId="5" borderId="2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26" fillId="0" borderId="2" xfId="0" applyFont="1" applyBorder="1" applyAlignment="1">
      <alignment horizontal="right" vertical="center"/>
    </xf>
    <xf numFmtId="0" fontId="5" fillId="0" borderId="3" xfId="0" applyFont="1" applyBorder="1" applyAlignment="1">
      <alignment horizontal="right" vertical="center"/>
    </xf>
    <xf numFmtId="14" fontId="5" fillId="0" borderId="18" xfId="0" applyNumberFormat="1" applyFont="1" applyBorder="1" applyAlignment="1">
      <alignment horizontal="center" vertical="center"/>
    </xf>
    <xf numFmtId="14" fontId="26" fillId="0" borderId="26" xfId="0" applyNumberFormat="1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5" fillId="13" borderId="4" xfId="0" applyFont="1" applyFill="1" applyBorder="1" applyAlignment="1">
      <alignment horizontal="center" vertical="center"/>
    </xf>
    <xf numFmtId="0" fontId="5" fillId="13" borderId="5" xfId="0" applyFont="1" applyFill="1" applyBorder="1" applyAlignment="1">
      <alignment horizontal="center" vertical="center"/>
    </xf>
    <xf numFmtId="0" fontId="26" fillId="13" borderId="8" xfId="0" applyFont="1" applyFill="1" applyBorder="1" applyAlignment="1">
      <alignment horizontal="center" vertical="center"/>
    </xf>
    <xf numFmtId="0" fontId="26" fillId="13" borderId="9" xfId="0" applyFont="1" applyFill="1" applyBorder="1" applyAlignment="1">
      <alignment horizontal="center" vertical="center"/>
    </xf>
    <xf numFmtId="14" fontId="5" fillId="0" borderId="26" xfId="0" applyNumberFormat="1" applyFont="1" applyBorder="1" applyAlignment="1">
      <alignment horizontal="center" vertical="center"/>
    </xf>
    <xf numFmtId="0" fontId="5" fillId="13" borderId="8" xfId="0" applyFont="1" applyFill="1" applyBorder="1" applyAlignment="1">
      <alignment horizontal="center" vertical="center"/>
    </xf>
    <xf numFmtId="0" fontId="5" fillId="13" borderId="9" xfId="0" applyFont="1" applyFill="1" applyBorder="1" applyAlignment="1">
      <alignment horizontal="center" vertical="center"/>
    </xf>
    <xf numFmtId="14" fontId="5" fillId="0" borderId="31" xfId="0" applyNumberFormat="1" applyFont="1" applyBorder="1" applyAlignment="1">
      <alignment horizontal="center" vertical="center"/>
    </xf>
    <xf numFmtId="0" fontId="5" fillId="13" borderId="10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41" fontId="31" fillId="12" borderId="30" xfId="1" applyFont="1" applyFill="1" applyBorder="1" applyAlignment="1">
      <alignment horizontal="center" vertical="center"/>
    </xf>
    <xf numFmtId="41" fontId="31" fillId="12" borderId="28" xfId="1" applyFont="1" applyFill="1" applyBorder="1" applyAlignment="1">
      <alignment horizontal="center" vertical="center"/>
    </xf>
    <xf numFmtId="0" fontId="0" fillId="0" borderId="72" xfId="0" applyBorder="1">
      <alignment vertical="center"/>
    </xf>
    <xf numFmtId="0" fontId="0" fillId="0" borderId="49" xfId="0" applyBorder="1">
      <alignment vertical="center"/>
    </xf>
    <xf numFmtId="14" fontId="26" fillId="0" borderId="31" xfId="0" applyNumberFormat="1" applyFont="1" applyBorder="1" applyAlignment="1">
      <alignment horizontal="center" vertical="center"/>
    </xf>
    <xf numFmtId="14" fontId="26" fillId="0" borderId="18" xfId="0" applyNumberFormat="1" applyFont="1" applyBorder="1" applyAlignment="1">
      <alignment horizontal="center" vertical="center"/>
    </xf>
    <xf numFmtId="14" fontId="26" fillId="0" borderId="36" xfId="0" applyNumberFormat="1" applyFont="1" applyBorder="1" applyAlignment="1">
      <alignment horizontal="center" vertical="center"/>
    </xf>
    <xf numFmtId="14" fontId="26" fillId="0" borderId="29" xfId="0" applyNumberFormat="1" applyFont="1" applyBorder="1" applyAlignment="1">
      <alignment horizontal="center" vertical="center"/>
    </xf>
    <xf numFmtId="0" fontId="26" fillId="0" borderId="71" xfId="0" applyFont="1" applyBorder="1" applyAlignment="1">
      <alignment horizontal="center" vertical="center"/>
    </xf>
    <xf numFmtId="0" fontId="26" fillId="0" borderId="64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26" fillId="0" borderId="51" xfId="0" applyFont="1" applyBorder="1" applyAlignment="1">
      <alignment horizontal="center" vertical="center"/>
    </xf>
    <xf numFmtId="0" fontId="26" fillId="0" borderId="47" xfId="0" applyFont="1" applyBorder="1" applyAlignment="1">
      <alignment horizontal="center" vertical="center"/>
    </xf>
    <xf numFmtId="0" fontId="26" fillId="13" borderId="4" xfId="0" applyFont="1" applyFill="1" applyBorder="1" applyAlignment="1">
      <alignment horizontal="center" vertical="center"/>
    </xf>
    <xf numFmtId="0" fontId="26" fillId="13" borderId="10" xfId="0" applyFont="1" applyFill="1" applyBorder="1" applyAlignment="1">
      <alignment horizontal="center" vertical="center"/>
    </xf>
    <xf numFmtId="0" fontId="26" fillId="13" borderId="24" xfId="0" applyFont="1" applyFill="1" applyBorder="1" applyAlignment="1">
      <alignment horizontal="center" vertical="center"/>
    </xf>
    <xf numFmtId="0" fontId="26" fillId="13" borderId="15" xfId="0" applyFont="1" applyFill="1" applyBorder="1" applyAlignment="1">
      <alignment horizontal="center" vertical="center"/>
    </xf>
    <xf numFmtId="0" fontId="5" fillId="13" borderId="24" xfId="0" applyFont="1" applyFill="1" applyBorder="1" applyAlignment="1">
      <alignment horizontal="center" vertical="center"/>
    </xf>
    <xf numFmtId="0" fontId="5" fillId="13" borderId="15" xfId="0" applyFont="1" applyFill="1" applyBorder="1" applyAlignment="1">
      <alignment horizontal="center" vertical="center"/>
    </xf>
    <xf numFmtId="0" fontId="26" fillId="13" borderId="5" xfId="0" applyFont="1" applyFill="1" applyBorder="1" applyAlignment="1">
      <alignment horizontal="center" vertical="center"/>
    </xf>
    <xf numFmtId="0" fontId="26" fillId="13" borderId="1" xfId="0" applyFont="1" applyFill="1" applyBorder="1" applyAlignment="1">
      <alignment horizontal="center" vertical="center"/>
    </xf>
    <xf numFmtId="0" fontId="26" fillId="13" borderId="70" xfId="0" applyFont="1" applyFill="1" applyBorder="1" applyAlignment="1">
      <alignment horizontal="center" vertical="center"/>
    </xf>
    <xf numFmtId="0" fontId="26" fillId="5" borderId="9" xfId="0" applyFont="1" applyFill="1" applyBorder="1" applyAlignment="1">
      <alignment horizontal="center" vertical="center"/>
    </xf>
    <xf numFmtId="0" fontId="26" fillId="16" borderId="19" xfId="0" applyFont="1" applyFill="1" applyBorder="1" applyAlignment="1">
      <alignment horizontal="center" vertical="center"/>
    </xf>
    <xf numFmtId="0" fontId="26" fillId="16" borderId="19" xfId="0" applyFont="1" applyFill="1" applyBorder="1" applyAlignment="1">
      <alignment horizontal="right" vertical="center"/>
    </xf>
    <xf numFmtId="0" fontId="26" fillId="16" borderId="19" xfId="0" applyFont="1" applyFill="1" applyBorder="1" applyAlignment="1">
      <alignment horizontal="left" vertical="center" shrinkToFit="1"/>
    </xf>
    <xf numFmtId="14" fontId="26" fillId="16" borderId="19" xfId="0" applyNumberFormat="1" applyFont="1" applyFill="1" applyBorder="1" applyAlignment="1">
      <alignment horizontal="center" vertical="center"/>
    </xf>
    <xf numFmtId="14" fontId="26" fillId="16" borderId="36" xfId="0" applyNumberFormat="1" applyFont="1" applyFill="1" applyBorder="1" applyAlignment="1">
      <alignment horizontal="center" vertical="center"/>
    </xf>
    <xf numFmtId="0" fontId="26" fillId="16" borderId="0" xfId="0" applyFont="1" applyFill="1" applyAlignment="1">
      <alignment horizontal="center" vertical="center"/>
    </xf>
    <xf numFmtId="0" fontId="26" fillId="16" borderId="2" xfId="0" applyFont="1" applyFill="1" applyBorder="1" applyAlignment="1">
      <alignment horizontal="center" vertical="center"/>
    </xf>
    <xf numFmtId="0" fontId="5" fillId="16" borderId="70" xfId="0" applyFont="1" applyFill="1" applyBorder="1" applyAlignment="1">
      <alignment horizontal="center" vertical="center"/>
    </xf>
    <xf numFmtId="0" fontId="26" fillId="16" borderId="70" xfId="0" applyFont="1" applyFill="1" applyBorder="1" applyAlignment="1">
      <alignment horizontal="center" vertical="center"/>
    </xf>
    <xf numFmtId="0" fontId="26" fillId="16" borderId="20" xfId="0" applyFont="1" applyFill="1" applyBorder="1" applyAlignment="1">
      <alignment horizontal="center" vertical="center"/>
    </xf>
    <xf numFmtId="0" fontId="26" fillId="16" borderId="10" xfId="0" applyFont="1" applyFill="1" applyBorder="1" applyAlignment="1">
      <alignment horizontal="center" vertical="center"/>
    </xf>
    <xf numFmtId="0" fontId="26" fillId="16" borderId="1" xfId="0" applyFont="1" applyFill="1" applyBorder="1" applyAlignment="1">
      <alignment horizontal="center" vertical="center"/>
    </xf>
    <xf numFmtId="0" fontId="5" fillId="16" borderId="10" xfId="0" applyFont="1" applyFill="1" applyBorder="1" applyAlignment="1">
      <alignment horizontal="center" vertical="center"/>
    </xf>
    <xf numFmtId="0" fontId="26" fillId="16" borderId="11" xfId="0" applyFont="1" applyFill="1" applyBorder="1" applyAlignment="1">
      <alignment horizontal="center" vertical="center"/>
    </xf>
    <xf numFmtId="0" fontId="26" fillId="16" borderId="11" xfId="0" applyFont="1" applyFill="1" applyBorder="1" applyAlignment="1">
      <alignment horizontal="right" vertical="center"/>
    </xf>
    <xf numFmtId="0" fontId="26" fillId="16" borderId="22" xfId="0" applyFont="1" applyFill="1" applyBorder="1" applyAlignment="1">
      <alignment horizontal="center" vertical="center"/>
    </xf>
    <xf numFmtId="0" fontId="26" fillId="16" borderId="11" xfId="0" applyFont="1" applyFill="1" applyBorder="1" applyAlignment="1">
      <alignment horizontal="left" vertical="center" shrinkToFit="1"/>
    </xf>
    <xf numFmtId="14" fontId="26" fillId="16" borderId="11" xfId="0" applyNumberFormat="1" applyFont="1" applyFill="1" applyBorder="1" applyAlignment="1">
      <alignment horizontal="center" vertical="center"/>
    </xf>
    <xf numFmtId="14" fontId="26" fillId="16" borderId="31" xfId="0" applyNumberFormat="1" applyFont="1" applyFill="1" applyBorder="1" applyAlignment="1">
      <alignment horizontal="center" vertical="center"/>
    </xf>
    <xf numFmtId="0" fontId="26" fillId="16" borderId="64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8" fillId="13" borderId="4" xfId="0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1" fillId="13" borderId="8" xfId="0" applyFont="1" applyFill="1" applyBorder="1" applyAlignment="1">
      <alignment horizontal="center" vertical="center"/>
    </xf>
    <xf numFmtId="0" fontId="8" fillId="13" borderId="8" xfId="0" applyFont="1" applyFill="1" applyBorder="1" applyAlignment="1">
      <alignment horizontal="center" vertical="center"/>
    </xf>
    <xf numFmtId="0" fontId="8" fillId="0" borderId="41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3" xfId="0" applyFont="1" applyBorder="1" applyAlignment="1">
      <alignment horizontal="right" vertical="center"/>
    </xf>
    <xf numFmtId="0" fontId="21" fillId="0" borderId="2" xfId="0" applyFont="1" applyBorder="1" applyAlignment="1">
      <alignment horizontal="right" vertical="center"/>
    </xf>
    <xf numFmtId="0" fontId="8" fillId="0" borderId="2" xfId="0" applyFont="1" applyBorder="1" applyAlignment="1">
      <alignment horizontal="right" vertical="center"/>
    </xf>
    <xf numFmtId="0" fontId="0" fillId="13" borderId="7" xfId="0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0" fontId="15" fillId="16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6" fillId="0" borderId="3" xfId="0" applyFont="1" applyBorder="1" applyAlignment="1">
      <alignment horizontal="right" vertical="center"/>
    </xf>
    <xf numFmtId="0" fontId="5" fillId="0" borderId="11" xfId="0" applyFont="1" applyBorder="1" applyAlignment="1">
      <alignment horizontal="right" vertical="center"/>
    </xf>
    <xf numFmtId="0" fontId="5" fillId="16" borderId="11" xfId="0" applyFont="1" applyFill="1" applyBorder="1" applyAlignment="1">
      <alignment horizontal="right" vertical="center"/>
    </xf>
    <xf numFmtId="0" fontId="5" fillId="16" borderId="11" xfId="0" applyFont="1" applyFill="1" applyBorder="1" applyAlignment="1">
      <alignment horizontal="center" vertical="center"/>
    </xf>
    <xf numFmtId="0" fontId="5" fillId="16" borderId="22" xfId="0" applyFont="1" applyFill="1" applyBorder="1" applyAlignment="1">
      <alignment vertical="center" wrapText="1"/>
    </xf>
    <xf numFmtId="0" fontId="5" fillId="16" borderId="22" xfId="0" applyFont="1" applyFill="1" applyBorder="1" applyAlignment="1">
      <alignment horizontal="center" vertical="center"/>
    </xf>
    <xf numFmtId="14" fontId="5" fillId="16" borderId="22" xfId="0" applyNumberFormat="1" applyFont="1" applyFill="1" applyBorder="1" applyAlignment="1">
      <alignment horizontal="center" vertical="center"/>
    </xf>
    <xf numFmtId="14" fontId="5" fillId="16" borderId="33" xfId="0" applyNumberFormat="1" applyFont="1" applyFill="1" applyBorder="1" applyAlignment="1">
      <alignment horizontal="center" vertical="center"/>
    </xf>
    <xf numFmtId="0" fontId="5" fillId="16" borderId="69" xfId="0" applyFont="1" applyFill="1" applyBorder="1" applyAlignment="1">
      <alignment horizontal="center" vertical="center"/>
    </xf>
    <xf numFmtId="0" fontId="5" fillId="16" borderId="23" xfId="0" applyFont="1" applyFill="1" applyBorder="1" applyAlignment="1">
      <alignment horizontal="center" vertical="center"/>
    </xf>
    <xf numFmtId="0" fontId="5" fillId="16" borderId="32" xfId="0" applyFont="1" applyFill="1" applyBorder="1" applyAlignment="1">
      <alignment horizontal="center" vertical="center"/>
    </xf>
    <xf numFmtId="0" fontId="26" fillId="0" borderId="54" xfId="0" applyFont="1" applyBorder="1" applyAlignment="1">
      <alignment horizontal="center" vertical="center"/>
    </xf>
    <xf numFmtId="0" fontId="5" fillId="13" borderId="26" xfId="0" applyFont="1" applyFill="1" applyBorder="1" applyAlignment="1">
      <alignment horizontal="center" vertical="center"/>
    </xf>
    <xf numFmtId="0" fontId="26" fillId="13" borderId="26" xfId="0" applyFont="1" applyFill="1" applyBorder="1" applyAlignment="1">
      <alignment horizontal="center" vertical="center"/>
    </xf>
    <xf numFmtId="0" fontId="26" fillId="0" borderId="55" xfId="0" applyFont="1" applyBorder="1" applyAlignment="1">
      <alignment horizontal="center" vertical="center"/>
    </xf>
    <xf numFmtId="0" fontId="26" fillId="16" borderId="8" xfId="0" applyFont="1" applyFill="1" applyBorder="1" applyAlignment="1">
      <alignment horizontal="center" vertical="center"/>
    </xf>
    <xf numFmtId="0" fontId="26" fillId="16" borderId="26" xfId="0" applyFont="1" applyFill="1" applyBorder="1" applyAlignment="1">
      <alignment horizontal="center" vertical="center"/>
    </xf>
    <xf numFmtId="0" fontId="26" fillId="16" borderId="55" xfId="0" applyFont="1" applyFill="1" applyBorder="1" applyAlignment="1">
      <alignment horizontal="center" vertical="center"/>
    </xf>
    <xf numFmtId="0" fontId="26" fillId="16" borderId="34" xfId="0" applyFont="1" applyFill="1" applyBorder="1" applyAlignment="1">
      <alignment horizontal="center" vertical="center"/>
    </xf>
    <xf numFmtId="0" fontId="26" fillId="0" borderId="2" xfId="0" applyFont="1" applyBorder="1" applyAlignment="1">
      <alignment horizontal="right" vertical="center" wrapText="1"/>
    </xf>
    <xf numFmtId="0" fontId="5" fillId="16" borderId="8" xfId="0" applyFont="1" applyFill="1" applyBorder="1" applyAlignment="1">
      <alignment horizontal="center" vertical="center"/>
    </xf>
    <xf numFmtId="0" fontId="26" fillId="16" borderId="7" xfId="0" applyFont="1" applyFill="1" applyBorder="1" applyAlignment="1">
      <alignment horizontal="center" vertical="center"/>
    </xf>
    <xf numFmtId="0" fontId="26" fillId="16" borderId="2" xfId="0" applyFont="1" applyFill="1" applyBorder="1" applyAlignment="1">
      <alignment horizontal="right" vertical="center"/>
    </xf>
    <xf numFmtId="0" fontId="26" fillId="16" borderId="2" xfId="0" applyFont="1" applyFill="1" applyBorder="1" applyAlignment="1">
      <alignment horizontal="left" vertical="center" shrinkToFit="1"/>
    </xf>
    <xf numFmtId="14" fontId="26" fillId="16" borderId="2" xfId="0" applyNumberFormat="1" applyFont="1" applyFill="1" applyBorder="1" applyAlignment="1">
      <alignment horizontal="center" vertical="center"/>
    </xf>
    <xf numFmtId="14" fontId="26" fillId="16" borderId="26" xfId="0" applyNumberFormat="1" applyFont="1" applyFill="1" applyBorder="1" applyAlignment="1">
      <alignment horizontal="center" vertical="center"/>
    </xf>
    <xf numFmtId="0" fontId="26" fillId="16" borderId="43" xfId="0" applyFont="1" applyFill="1" applyBorder="1" applyAlignment="1">
      <alignment horizontal="center" vertical="center"/>
    </xf>
    <xf numFmtId="0" fontId="26" fillId="0" borderId="19" xfId="0" applyFont="1" applyBorder="1" applyAlignment="1">
      <alignment horizontal="left" vertical="center" shrinkToFit="1"/>
    </xf>
    <xf numFmtId="0" fontId="26" fillId="0" borderId="22" xfId="0" applyFont="1" applyBorder="1" applyAlignment="1">
      <alignment horizontal="center" vertical="center"/>
    </xf>
    <xf numFmtId="0" fontId="26" fillId="0" borderId="11" xfId="0" applyFont="1" applyBorder="1" applyAlignment="1">
      <alignment horizontal="right" vertical="center"/>
    </xf>
    <xf numFmtId="14" fontId="26" fillId="0" borderId="7" xfId="0" applyNumberFormat="1" applyFont="1" applyBorder="1" applyAlignment="1">
      <alignment horizontal="center" vertical="center"/>
    </xf>
    <xf numFmtId="14" fontId="5" fillId="0" borderId="7" xfId="0" applyNumberFormat="1" applyFont="1" applyBorder="1" applyAlignment="1">
      <alignment horizontal="center" vertical="center"/>
    </xf>
    <xf numFmtId="14" fontId="8" fillId="0" borderId="7" xfId="0" applyNumberFormat="1" applyFont="1" applyBorder="1" applyAlignment="1">
      <alignment horizontal="center" vertical="center"/>
    </xf>
    <xf numFmtId="14" fontId="8" fillId="0" borderId="26" xfId="0" applyNumberFormat="1" applyFont="1" applyBorder="1" applyAlignment="1">
      <alignment horizontal="center" vertical="center"/>
    </xf>
    <xf numFmtId="14" fontId="26" fillId="0" borderId="41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14" fontId="21" fillId="0" borderId="7" xfId="0" applyNumberFormat="1" applyFont="1" applyBorder="1" applyAlignment="1">
      <alignment horizontal="center" vertical="center"/>
    </xf>
    <xf numFmtId="0" fontId="26" fillId="0" borderId="59" xfId="0" applyFont="1" applyBorder="1" applyAlignment="1">
      <alignment horizontal="center" vertical="center"/>
    </xf>
    <xf numFmtId="0" fontId="8" fillId="16" borderId="2" xfId="0" applyFont="1" applyFill="1" applyBorder="1" applyAlignment="1">
      <alignment horizontal="center" vertical="center"/>
    </xf>
    <xf numFmtId="0" fontId="8" fillId="16" borderId="2" xfId="0" applyFont="1" applyFill="1" applyBorder="1" applyAlignment="1">
      <alignment horizontal="right" vertical="center"/>
    </xf>
    <xf numFmtId="0" fontId="8" fillId="16" borderId="2" xfId="0" applyFont="1" applyFill="1" applyBorder="1" applyAlignment="1">
      <alignment horizontal="left" vertical="center" shrinkToFit="1"/>
    </xf>
    <xf numFmtId="14" fontId="8" fillId="16" borderId="2" xfId="0" applyNumberFormat="1" applyFont="1" applyFill="1" applyBorder="1" applyAlignment="1">
      <alignment horizontal="center" vertical="center"/>
    </xf>
    <xf numFmtId="0" fontId="8" fillId="16" borderId="11" xfId="0" applyFont="1" applyFill="1" applyBorder="1" applyAlignment="1">
      <alignment horizontal="center" vertical="center"/>
    </xf>
    <xf numFmtId="0" fontId="5" fillId="16" borderId="11" xfId="0" applyFont="1" applyFill="1" applyBorder="1">
      <alignment vertical="center"/>
    </xf>
    <xf numFmtId="14" fontId="5" fillId="16" borderId="11" xfId="0" applyNumberFormat="1" applyFont="1" applyFill="1" applyBorder="1" applyAlignment="1">
      <alignment horizontal="center" vertical="center"/>
    </xf>
    <xf numFmtId="14" fontId="21" fillId="0" borderId="26" xfId="0" applyNumberFormat="1" applyFont="1" applyBorder="1" applyAlignment="1">
      <alignment horizontal="center" vertical="center"/>
    </xf>
    <xf numFmtId="0" fontId="8" fillId="0" borderId="51" xfId="0" applyFont="1" applyBorder="1" applyAlignment="1">
      <alignment horizontal="center" vertical="center"/>
    </xf>
    <xf numFmtId="0" fontId="21" fillId="0" borderId="51" xfId="0" applyFont="1" applyBorder="1" applyAlignment="1">
      <alignment horizontal="center" vertical="center"/>
    </xf>
    <xf numFmtId="0" fontId="8" fillId="13" borderId="9" xfId="0" applyFont="1" applyFill="1" applyBorder="1" applyAlignment="1">
      <alignment horizontal="center" vertical="center"/>
    </xf>
    <xf numFmtId="0" fontId="21" fillId="13" borderId="9" xfId="0" applyFont="1" applyFill="1" applyBorder="1" applyAlignment="1">
      <alignment horizontal="center" vertical="center"/>
    </xf>
    <xf numFmtId="0" fontId="8" fillId="16" borderId="69" xfId="0" applyFont="1" applyFill="1" applyBorder="1" applyAlignment="1">
      <alignment horizontal="center" vertical="center"/>
    </xf>
    <xf numFmtId="0" fontId="8" fillId="16" borderId="23" xfId="0" applyFont="1" applyFill="1" applyBorder="1" applyAlignment="1">
      <alignment horizontal="center" vertical="center"/>
    </xf>
    <xf numFmtId="0" fontId="21" fillId="16" borderId="69" xfId="0" applyFont="1" applyFill="1" applyBorder="1" applyAlignment="1">
      <alignment horizontal="center" vertical="center"/>
    </xf>
    <xf numFmtId="0" fontId="8" fillId="16" borderId="22" xfId="0" applyFont="1" applyFill="1" applyBorder="1" applyAlignment="1">
      <alignment horizontal="right" vertical="center"/>
    </xf>
    <xf numFmtId="0" fontId="21" fillId="16" borderId="46" xfId="0" applyFont="1" applyFill="1" applyBorder="1" applyAlignment="1">
      <alignment horizontal="center" vertical="center"/>
    </xf>
    <xf numFmtId="0" fontId="8" fillId="16" borderId="22" xfId="0" applyFont="1" applyFill="1" applyBorder="1" applyAlignment="1">
      <alignment horizontal="left" vertical="center" shrinkToFit="1"/>
    </xf>
    <xf numFmtId="0" fontId="8" fillId="16" borderId="46" xfId="0" applyFont="1" applyFill="1" applyBorder="1" applyAlignment="1">
      <alignment horizontal="center" vertical="center"/>
    </xf>
    <xf numFmtId="0" fontId="8" fillId="16" borderId="22" xfId="0" applyFont="1" applyFill="1" applyBorder="1" applyAlignment="1">
      <alignment horizontal="center" vertical="center"/>
    </xf>
    <xf numFmtId="14" fontId="8" fillId="16" borderId="22" xfId="0" applyNumberFormat="1" applyFont="1" applyFill="1" applyBorder="1" applyAlignment="1">
      <alignment horizontal="center" vertical="center"/>
    </xf>
    <xf numFmtId="14" fontId="8" fillId="16" borderId="33" xfId="0" applyNumberFormat="1" applyFont="1" applyFill="1" applyBorder="1" applyAlignment="1">
      <alignment horizontal="center" vertical="center"/>
    </xf>
    <xf numFmtId="0" fontId="8" fillId="16" borderId="32" xfId="0" applyFont="1" applyFill="1" applyBorder="1" applyAlignment="1">
      <alignment horizontal="center" vertical="center"/>
    </xf>
    <xf numFmtId="14" fontId="8" fillId="16" borderId="26" xfId="0" applyNumberFormat="1" applyFont="1" applyFill="1" applyBorder="1" applyAlignment="1">
      <alignment horizontal="center" vertical="center"/>
    </xf>
    <xf numFmtId="14" fontId="5" fillId="16" borderId="31" xfId="0" applyNumberFormat="1" applyFont="1" applyFill="1" applyBorder="1" applyAlignment="1">
      <alignment horizontal="center" vertical="center"/>
    </xf>
    <xf numFmtId="0" fontId="8" fillId="16" borderId="8" xfId="0" applyFont="1" applyFill="1" applyBorder="1" applyAlignment="1">
      <alignment horizontal="center" vertical="center"/>
    </xf>
    <xf numFmtId="0" fontId="8" fillId="16" borderId="9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0" fontId="8" fillId="16" borderId="55" xfId="0" applyFont="1" applyFill="1" applyBorder="1" applyAlignment="1">
      <alignment horizontal="center" vertical="center"/>
    </xf>
    <xf numFmtId="0" fontId="5" fillId="16" borderId="56" xfId="0" applyFont="1" applyFill="1" applyBorder="1" applyAlignment="1">
      <alignment horizontal="center" vertical="center"/>
    </xf>
    <xf numFmtId="41" fontId="31" fillId="14" borderId="72" xfId="1" applyFont="1" applyFill="1" applyBorder="1" applyAlignment="1">
      <alignment horizontal="center" vertical="center"/>
    </xf>
    <xf numFmtId="0" fontId="26" fillId="5" borderId="26" xfId="0" applyFont="1" applyFill="1" applyBorder="1" applyAlignment="1">
      <alignment horizontal="center" vertical="center"/>
    </xf>
    <xf numFmtId="0" fontId="26" fillId="5" borderId="18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  <xf numFmtId="0" fontId="26" fillId="0" borderId="2" xfId="0" applyFont="1" applyBorder="1" applyAlignment="1">
      <alignment horizontal="left" vertical="center"/>
    </xf>
    <xf numFmtId="0" fontId="5" fillId="0" borderId="24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8" fillId="0" borderId="12" xfId="0" applyFont="1" applyBorder="1" applyAlignment="1">
      <alignment horizontal="right" vertical="center"/>
    </xf>
    <xf numFmtId="14" fontId="26" fillId="0" borderId="43" xfId="0" applyNumberFormat="1" applyFont="1" applyBorder="1" applyAlignment="1">
      <alignment horizontal="center" vertical="center"/>
    </xf>
    <xf numFmtId="14" fontId="8" fillId="0" borderId="42" xfId="0" applyNumberFormat="1" applyFont="1" applyBorder="1" applyAlignment="1">
      <alignment horizontal="center" vertical="center"/>
    </xf>
    <xf numFmtId="0" fontId="8" fillId="13" borderId="24" xfId="0" applyFont="1" applyFill="1" applyBorder="1" applyAlignment="1">
      <alignment horizontal="center" vertical="center"/>
    </xf>
    <xf numFmtId="14" fontId="26" fillId="0" borderId="42" xfId="0" applyNumberFormat="1" applyFont="1" applyBorder="1" applyAlignment="1">
      <alignment horizontal="center" vertical="center"/>
    </xf>
    <xf numFmtId="14" fontId="8" fillId="0" borderId="41" xfId="0" applyNumberFormat="1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8" fillId="0" borderId="52" xfId="0" applyFont="1" applyBorder="1" applyAlignment="1">
      <alignment horizontal="center" vertical="center"/>
    </xf>
    <xf numFmtId="0" fontId="8" fillId="13" borderId="5" xfId="0" applyFont="1" applyFill="1" applyBorder="1" applyAlignment="1">
      <alignment horizontal="center" vertical="center"/>
    </xf>
    <xf numFmtId="0" fontId="8" fillId="13" borderId="15" xfId="0" applyFont="1" applyFill="1" applyBorder="1" applyAlignment="1">
      <alignment horizontal="center" vertical="center"/>
    </xf>
    <xf numFmtId="14" fontId="8" fillId="0" borderId="18" xfId="0" applyNumberFormat="1" applyFont="1" applyBorder="1" applyAlignment="1">
      <alignment horizontal="center" vertical="center"/>
    </xf>
    <xf numFmtId="14" fontId="8" fillId="0" borderId="25" xfId="0" applyNumberFormat="1" applyFont="1" applyBorder="1" applyAlignment="1">
      <alignment horizontal="center" vertical="center"/>
    </xf>
    <xf numFmtId="14" fontId="26" fillId="0" borderId="15" xfId="0" applyNumberFormat="1" applyFont="1" applyBorder="1" applyAlignment="1">
      <alignment horizontal="center" vertical="center"/>
    </xf>
    <xf numFmtId="14" fontId="5" fillId="0" borderId="25" xfId="0" applyNumberFormat="1" applyFont="1" applyBorder="1" applyAlignment="1">
      <alignment horizontal="center" vertical="center"/>
    </xf>
    <xf numFmtId="0" fontId="26" fillId="0" borderId="32" xfId="0" applyFont="1" applyBorder="1" applyAlignment="1">
      <alignment horizontal="center" vertical="center"/>
    </xf>
    <xf numFmtId="0" fontId="26" fillId="13" borderId="69" xfId="0" applyFont="1" applyFill="1" applyBorder="1" applyAlignment="1">
      <alignment horizontal="center" vertical="center"/>
    </xf>
    <xf numFmtId="0" fontId="26" fillId="0" borderId="52" xfId="0" applyFont="1" applyBorder="1" applyAlignment="1">
      <alignment horizontal="center" vertical="center"/>
    </xf>
    <xf numFmtId="0" fontId="26" fillId="13" borderId="23" xfId="0" applyFont="1" applyFill="1" applyBorder="1" applyAlignment="1">
      <alignment horizontal="center" vertical="center"/>
    </xf>
    <xf numFmtId="14" fontId="5" fillId="0" borderId="42" xfId="0" applyNumberFormat="1" applyFont="1" applyBorder="1" applyAlignment="1">
      <alignment horizontal="center" vertical="center"/>
    </xf>
    <xf numFmtId="0" fontId="26" fillId="0" borderId="46" xfId="0" applyFont="1" applyBorder="1" applyAlignment="1">
      <alignment horizontal="center" vertical="center"/>
    </xf>
    <xf numFmtId="0" fontId="26" fillId="0" borderId="7" xfId="0" applyFont="1" applyBorder="1" applyAlignment="1">
      <alignment horizontal="right" vertical="center"/>
    </xf>
    <xf numFmtId="0" fontId="26" fillId="0" borderId="42" xfId="0" applyFont="1" applyBorder="1" applyAlignment="1">
      <alignment horizontal="right" vertical="center"/>
    </xf>
    <xf numFmtId="0" fontId="26" fillId="0" borderId="45" xfId="0" applyFont="1" applyBorder="1" applyAlignment="1">
      <alignment horizontal="right" vertical="center"/>
    </xf>
    <xf numFmtId="0" fontId="26" fillId="0" borderId="41" xfId="0" applyFont="1" applyBorder="1" applyAlignment="1">
      <alignment horizontal="right" vertical="center"/>
    </xf>
    <xf numFmtId="0" fontId="5" fillId="0" borderId="42" xfId="0" applyFont="1" applyBorder="1" applyAlignment="1">
      <alignment horizontal="right" vertical="center"/>
    </xf>
    <xf numFmtId="14" fontId="26" fillId="0" borderId="45" xfId="0" applyNumberFormat="1" applyFont="1" applyBorder="1" applyAlignment="1">
      <alignment horizontal="center" vertical="center"/>
    </xf>
    <xf numFmtId="0" fontId="26" fillId="0" borderId="43" xfId="0" applyFont="1" applyBorder="1" applyAlignment="1">
      <alignment horizontal="right" vertical="center"/>
    </xf>
    <xf numFmtId="14" fontId="26" fillId="0" borderId="46" xfId="0" applyNumberFormat="1" applyFont="1" applyBorder="1" applyAlignment="1">
      <alignment horizontal="center" vertical="center"/>
    </xf>
    <xf numFmtId="0" fontId="0" fillId="9" borderId="72" xfId="0" applyFill="1" applyBorder="1">
      <alignment vertical="center"/>
    </xf>
    <xf numFmtId="14" fontId="26" fillId="0" borderId="25" xfId="0" applyNumberFormat="1" applyFont="1" applyBorder="1" applyAlignment="1">
      <alignment horizontal="center" vertical="center"/>
    </xf>
    <xf numFmtId="14" fontId="26" fillId="0" borderId="33" xfId="0" applyNumberFormat="1" applyFont="1" applyBorder="1" applyAlignment="1">
      <alignment horizontal="center" vertical="center"/>
    </xf>
    <xf numFmtId="0" fontId="5" fillId="0" borderId="52" xfId="0" applyFont="1" applyBorder="1" applyAlignment="1">
      <alignment horizontal="center" vertical="center"/>
    </xf>
    <xf numFmtId="0" fontId="26" fillId="0" borderId="50" xfId="0" applyFont="1" applyBorder="1" applyAlignment="1">
      <alignment horizontal="center" vertical="center"/>
    </xf>
    <xf numFmtId="0" fontId="26" fillId="0" borderId="12" xfId="0" applyFont="1" applyBorder="1" applyAlignment="1">
      <alignment horizontal="right" vertical="center"/>
    </xf>
    <xf numFmtId="0" fontId="26" fillId="0" borderId="12" xfId="0" applyFont="1" applyBorder="1" applyAlignment="1">
      <alignment horizontal="left" vertical="center" wrapText="1" shrinkToFit="1"/>
    </xf>
    <xf numFmtId="0" fontId="26" fillId="0" borderId="40" xfId="0" applyFont="1" applyBorder="1" applyAlignment="1">
      <alignment horizontal="left" vertical="center" wrapText="1" shrinkToFit="1"/>
    </xf>
    <xf numFmtId="0" fontId="26" fillId="13" borderId="62" xfId="0" applyFont="1" applyFill="1" applyBorder="1" applyAlignment="1">
      <alignment horizontal="center" vertical="center"/>
    </xf>
    <xf numFmtId="0" fontId="26" fillId="16" borderId="40" xfId="0" applyFont="1" applyFill="1" applyBorder="1" applyAlignment="1">
      <alignment horizontal="center" vertical="center"/>
    </xf>
    <xf numFmtId="0" fontId="26" fillId="16" borderId="40" xfId="0" applyFont="1" applyFill="1" applyBorder="1" applyAlignment="1">
      <alignment horizontal="left" vertical="center" wrapText="1" shrinkToFit="1"/>
    </xf>
    <xf numFmtId="14" fontId="26" fillId="16" borderId="7" xfId="0" applyNumberFormat="1" applyFont="1" applyFill="1" applyBorder="1" applyAlignment="1">
      <alignment horizontal="center" vertical="center"/>
    </xf>
    <xf numFmtId="0" fontId="26" fillId="16" borderId="62" xfId="0" applyFont="1" applyFill="1" applyBorder="1" applyAlignment="1">
      <alignment horizontal="center" vertical="center"/>
    </xf>
    <xf numFmtId="0" fontId="26" fillId="16" borderId="9" xfId="0" applyFont="1" applyFill="1" applyBorder="1" applyAlignment="1">
      <alignment horizontal="center" vertical="center"/>
    </xf>
    <xf numFmtId="0" fontId="21" fillId="16" borderId="12" xfId="0" applyFont="1" applyFill="1" applyBorder="1" applyAlignment="1">
      <alignment horizontal="center" vertical="center"/>
    </xf>
    <xf numFmtId="0" fontId="26" fillId="12" borderId="27" xfId="0" applyFont="1" applyFill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0" fontId="26" fillId="0" borderId="29" xfId="0" applyFont="1" applyBorder="1" applyAlignment="1">
      <alignment horizontal="right" vertical="center"/>
    </xf>
    <xf numFmtId="0" fontId="26" fillId="0" borderId="21" xfId="0" applyFont="1" applyBorder="1" applyAlignment="1">
      <alignment horizontal="left" vertical="center" shrinkToFit="1"/>
    </xf>
    <xf numFmtId="0" fontId="26" fillId="13" borderId="18" xfId="0" applyFont="1" applyFill="1" applyBorder="1" applyAlignment="1">
      <alignment horizontal="center" vertical="center"/>
    </xf>
    <xf numFmtId="0" fontId="26" fillId="12" borderId="29" xfId="0" applyFont="1" applyFill="1" applyBorder="1" applyAlignment="1">
      <alignment horizontal="center" vertical="center"/>
    </xf>
    <xf numFmtId="0" fontId="26" fillId="0" borderId="61" xfId="0" applyFont="1" applyBorder="1" applyAlignment="1">
      <alignment horizontal="center" vertical="center"/>
    </xf>
    <xf numFmtId="0" fontId="26" fillId="0" borderId="12" xfId="0" applyFont="1" applyBorder="1" applyAlignment="1">
      <alignment horizontal="left" vertical="center"/>
    </xf>
    <xf numFmtId="0" fontId="33" fillId="0" borderId="12" xfId="0" applyFont="1" applyBorder="1" applyAlignment="1">
      <alignment horizontal="center" vertical="center"/>
    </xf>
    <xf numFmtId="0" fontId="33" fillId="0" borderId="71" xfId="0" applyFont="1" applyBorder="1" applyAlignment="1">
      <alignment horizontal="center" vertical="center"/>
    </xf>
    <xf numFmtId="14" fontId="26" fillId="0" borderId="47" xfId="0" applyNumberFormat="1" applyFont="1" applyBorder="1" applyAlignment="1">
      <alignment horizontal="center" vertical="center"/>
    </xf>
    <xf numFmtId="14" fontId="26" fillId="0" borderId="51" xfId="0" applyNumberFormat="1" applyFont="1" applyBorder="1" applyAlignment="1">
      <alignment horizontal="center" vertical="center"/>
    </xf>
    <xf numFmtId="14" fontId="33" fillId="0" borderId="42" xfId="0" applyNumberFormat="1" applyFont="1" applyBorder="1" applyAlignment="1">
      <alignment horizontal="center" vertical="center"/>
    </xf>
    <xf numFmtId="14" fontId="33" fillId="0" borderId="52" xfId="0" applyNumberFormat="1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14" fontId="26" fillId="0" borderId="52" xfId="0" applyNumberFormat="1" applyFont="1" applyBorder="1" applyAlignment="1">
      <alignment horizontal="center" vertical="center"/>
    </xf>
    <xf numFmtId="14" fontId="26" fillId="0" borderId="48" xfId="0" applyNumberFormat="1" applyFont="1" applyBorder="1" applyAlignment="1">
      <alignment horizontal="center" vertical="center"/>
    </xf>
    <xf numFmtId="14" fontId="33" fillId="0" borderId="15" xfId="0" applyNumberFormat="1" applyFont="1" applyBorder="1" applyAlignment="1">
      <alignment horizontal="center" vertical="center"/>
    </xf>
    <xf numFmtId="0" fontId="33" fillId="0" borderId="7" xfId="0" applyFont="1" applyBorder="1" applyAlignment="1">
      <alignment horizontal="center" vertical="center"/>
    </xf>
    <xf numFmtId="0" fontId="33" fillId="0" borderId="42" xfId="0" applyFont="1" applyBorder="1" applyAlignment="1">
      <alignment horizontal="right" vertical="center"/>
    </xf>
    <xf numFmtId="0" fontId="33" fillId="13" borderId="24" xfId="0" applyFont="1" applyFill="1" applyBorder="1" applyAlignment="1">
      <alignment horizontal="center" vertical="center"/>
    </xf>
    <xf numFmtId="0" fontId="5" fillId="13" borderId="47" xfId="0" applyFont="1" applyFill="1" applyBorder="1" applyAlignment="1">
      <alignment horizontal="center" vertical="center"/>
    </xf>
    <xf numFmtId="0" fontId="26" fillId="13" borderId="51" xfId="0" applyFont="1" applyFill="1" applyBorder="1" applyAlignment="1">
      <alignment horizontal="center" vertical="center"/>
    </xf>
    <xf numFmtId="0" fontId="5" fillId="13" borderId="51" xfId="0" applyFont="1" applyFill="1" applyBorder="1" applyAlignment="1">
      <alignment horizontal="center" vertical="center"/>
    </xf>
    <xf numFmtId="0" fontId="28" fillId="13" borderId="52" xfId="0" applyFont="1" applyFill="1" applyBorder="1" applyAlignment="1">
      <alignment horizontal="center" vertical="center"/>
    </xf>
    <xf numFmtId="0" fontId="5" fillId="13" borderId="52" xfId="0" applyFont="1" applyFill="1" applyBorder="1" applyAlignment="1">
      <alignment horizontal="center" vertical="center"/>
    </xf>
    <xf numFmtId="0" fontId="5" fillId="13" borderId="48" xfId="0" applyFont="1" applyFill="1" applyBorder="1" applyAlignment="1">
      <alignment horizontal="center" vertical="center"/>
    </xf>
    <xf numFmtId="0" fontId="26" fillId="13" borderId="52" xfId="0" applyFont="1" applyFill="1" applyBorder="1" applyAlignment="1">
      <alignment horizontal="center" vertical="center"/>
    </xf>
    <xf numFmtId="0" fontId="28" fillId="13" borderId="15" xfId="0" applyFont="1" applyFill="1" applyBorder="1" applyAlignment="1">
      <alignment horizontal="center" vertical="center"/>
    </xf>
    <xf numFmtId="0" fontId="26" fillId="0" borderId="3" xfId="0" applyFont="1" applyBorder="1">
      <alignment vertical="center"/>
    </xf>
    <xf numFmtId="0" fontId="26" fillId="0" borderId="12" xfId="0" applyFont="1" applyBorder="1">
      <alignment vertical="center"/>
    </xf>
    <xf numFmtId="0" fontId="26" fillId="0" borderId="12" xfId="0" applyFont="1" applyBorder="1" applyAlignment="1">
      <alignment vertical="center" wrapText="1" shrinkToFit="1"/>
    </xf>
    <xf numFmtId="0" fontId="26" fillId="0" borderId="2" xfId="0" applyFont="1" applyBorder="1">
      <alignment vertical="center"/>
    </xf>
    <xf numFmtId="0" fontId="33" fillId="0" borderId="12" xfId="0" applyFont="1" applyBorder="1">
      <alignment vertical="center"/>
    </xf>
    <xf numFmtId="0" fontId="26" fillId="0" borderId="19" xfId="0" applyFont="1" applyBorder="1">
      <alignment vertical="center"/>
    </xf>
    <xf numFmtId="0" fontId="26" fillId="16" borderId="7" xfId="0" applyFont="1" applyFill="1" applyBorder="1" applyAlignment="1">
      <alignment horizontal="right" vertical="center"/>
    </xf>
    <xf numFmtId="0" fontId="26" fillId="16" borderId="2" xfId="0" applyFont="1" applyFill="1" applyBorder="1">
      <alignment vertical="center"/>
    </xf>
    <xf numFmtId="0" fontId="26" fillId="16" borderId="46" xfId="0" applyFont="1" applyFill="1" applyBorder="1" applyAlignment="1">
      <alignment horizontal="right" vertical="center"/>
    </xf>
    <xf numFmtId="0" fontId="26" fillId="16" borderId="46" xfId="0" applyFont="1" applyFill="1" applyBorder="1" applyAlignment="1">
      <alignment horizontal="center" vertical="center"/>
    </xf>
    <xf numFmtId="0" fontId="26" fillId="16" borderId="22" xfId="0" applyFont="1" applyFill="1" applyBorder="1">
      <alignment vertical="center"/>
    </xf>
    <xf numFmtId="0" fontId="0" fillId="9" borderId="49" xfId="0" applyFill="1" applyBorder="1">
      <alignment vertical="center"/>
    </xf>
    <xf numFmtId="0" fontId="5" fillId="16" borderId="40" xfId="0" applyFont="1" applyFill="1" applyBorder="1" applyAlignment="1">
      <alignment horizontal="center" vertical="center"/>
    </xf>
    <xf numFmtId="0" fontId="5" fillId="16" borderId="2" xfId="0" applyFont="1" applyFill="1" applyBorder="1" applyAlignment="1">
      <alignment horizontal="center" vertical="center"/>
    </xf>
    <xf numFmtId="14" fontId="5" fillId="16" borderId="51" xfId="0" applyNumberFormat="1" applyFont="1" applyFill="1" applyBorder="1" applyAlignment="1">
      <alignment horizontal="center" vertical="center"/>
    </xf>
    <xf numFmtId="14" fontId="5" fillId="16" borderId="43" xfId="0" applyNumberFormat="1" applyFont="1" applyFill="1" applyBorder="1" applyAlignment="1">
      <alignment horizontal="center" vertical="center"/>
    </xf>
    <xf numFmtId="14" fontId="5" fillId="16" borderId="50" xfId="0" applyNumberFormat="1" applyFont="1" applyFill="1" applyBorder="1" applyAlignment="1">
      <alignment horizontal="center" vertical="center"/>
    </xf>
    <xf numFmtId="0" fontId="26" fillId="16" borderId="40" xfId="0" applyFont="1" applyFill="1" applyBorder="1" applyAlignment="1">
      <alignment horizontal="right" vertical="center"/>
    </xf>
    <xf numFmtId="0" fontId="26" fillId="16" borderId="7" xfId="0" applyFont="1" applyFill="1" applyBorder="1" applyAlignment="1">
      <alignment horizontal="left" vertical="center" shrinkToFit="1"/>
    </xf>
    <xf numFmtId="14" fontId="26" fillId="16" borderId="9" xfId="0" applyNumberFormat="1" applyFont="1" applyFill="1" applyBorder="1" applyAlignment="1">
      <alignment horizontal="center" vertical="center"/>
    </xf>
    <xf numFmtId="0" fontId="26" fillId="16" borderId="64" xfId="0" applyFont="1" applyFill="1" applyBorder="1" applyAlignment="1">
      <alignment horizontal="right" vertical="center"/>
    </xf>
    <xf numFmtId="0" fontId="26" fillId="16" borderId="43" xfId="0" applyFont="1" applyFill="1" applyBorder="1" applyAlignment="1">
      <alignment horizontal="left" vertical="center" shrinkToFit="1"/>
    </xf>
    <xf numFmtId="14" fontId="26" fillId="16" borderId="43" xfId="0" applyNumberFormat="1" applyFont="1" applyFill="1" applyBorder="1" applyAlignment="1">
      <alignment horizontal="center" vertical="center"/>
    </xf>
    <xf numFmtId="14" fontId="26" fillId="16" borderId="1" xfId="0" applyNumberFormat="1" applyFont="1" applyFill="1" applyBorder="1" applyAlignment="1">
      <alignment horizontal="center" vertical="center"/>
    </xf>
    <xf numFmtId="0" fontId="26" fillId="16" borderId="31" xfId="0" applyFont="1" applyFill="1" applyBorder="1" applyAlignment="1">
      <alignment horizontal="center" vertical="center"/>
    </xf>
    <xf numFmtId="0" fontId="26" fillId="16" borderId="56" xfId="0" applyFont="1" applyFill="1" applyBorder="1" applyAlignment="1">
      <alignment horizontal="center" vertical="center"/>
    </xf>
    <xf numFmtId="0" fontId="5" fillId="16" borderId="51" xfId="0" applyFont="1" applyFill="1" applyBorder="1" applyAlignment="1">
      <alignment horizontal="center" vertical="center"/>
    </xf>
    <xf numFmtId="0" fontId="5" fillId="16" borderId="50" xfId="0" applyFont="1" applyFill="1" applyBorder="1" applyAlignment="1">
      <alignment horizontal="center" vertical="center"/>
    </xf>
    <xf numFmtId="0" fontId="5" fillId="5" borderId="52" xfId="0" applyFont="1" applyFill="1" applyBorder="1" applyAlignment="1">
      <alignment horizontal="center" vertical="center"/>
    </xf>
    <xf numFmtId="10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38" fillId="0" borderId="0" xfId="0" applyFont="1">
      <alignment vertical="center"/>
    </xf>
    <xf numFmtId="0" fontId="15" fillId="16" borderId="0" xfId="0" applyFont="1" applyFill="1">
      <alignment vertical="center"/>
    </xf>
    <xf numFmtId="9" fontId="5" fillId="13" borderId="56" xfId="0" applyNumberFormat="1" applyFont="1" applyFill="1" applyBorder="1">
      <alignment vertical="center"/>
    </xf>
    <xf numFmtId="0" fontId="26" fillId="16" borderId="22" xfId="0" applyFont="1" applyFill="1" applyBorder="1" applyAlignment="1">
      <alignment horizontal="right" vertical="center"/>
    </xf>
    <xf numFmtId="0" fontId="26" fillId="16" borderId="22" xfId="0" applyFont="1" applyFill="1" applyBorder="1" applyAlignment="1">
      <alignment horizontal="left" vertical="center" shrinkToFit="1"/>
    </xf>
    <xf numFmtId="14" fontId="26" fillId="16" borderId="22" xfId="0" applyNumberFormat="1" applyFont="1" applyFill="1" applyBorder="1" applyAlignment="1">
      <alignment horizontal="center" vertical="center"/>
    </xf>
    <xf numFmtId="14" fontId="26" fillId="16" borderId="33" xfId="0" applyNumberFormat="1" applyFont="1" applyFill="1" applyBorder="1" applyAlignment="1">
      <alignment horizontal="center" vertical="center"/>
    </xf>
    <xf numFmtId="0" fontId="26" fillId="16" borderId="69" xfId="0" applyFont="1" applyFill="1" applyBorder="1" applyAlignment="1">
      <alignment horizontal="center" vertical="center"/>
    </xf>
    <xf numFmtId="0" fontId="26" fillId="16" borderId="33" xfId="0" applyFont="1" applyFill="1" applyBorder="1" applyAlignment="1">
      <alignment horizontal="center" vertical="center"/>
    </xf>
    <xf numFmtId="0" fontId="26" fillId="16" borderId="23" xfId="0" applyFont="1" applyFill="1" applyBorder="1" applyAlignment="1">
      <alignment horizontal="center" vertical="center"/>
    </xf>
    <xf numFmtId="0" fontId="26" fillId="16" borderId="32" xfId="0" applyFont="1" applyFill="1" applyBorder="1" applyAlignment="1">
      <alignment horizontal="center" vertical="center"/>
    </xf>
    <xf numFmtId="0" fontId="5" fillId="0" borderId="73" xfId="0" applyFont="1" applyBorder="1" applyAlignment="1">
      <alignment horizontal="center" vertical="center"/>
    </xf>
    <xf numFmtId="0" fontId="31" fillId="14" borderId="49" xfId="0" applyFont="1" applyFill="1" applyBorder="1">
      <alignment vertical="center"/>
    </xf>
    <xf numFmtId="0" fontId="0" fillId="13" borderId="8" xfId="0" applyFill="1" applyBorder="1" applyAlignment="1">
      <alignment horizontal="center" vertical="center"/>
    </xf>
    <xf numFmtId="0" fontId="15" fillId="13" borderId="8" xfId="0" applyFont="1" applyFill="1" applyBorder="1" applyAlignment="1">
      <alignment horizontal="center" vertical="center"/>
    </xf>
    <xf numFmtId="0" fontId="39" fillId="0" borderId="0" xfId="0" applyFont="1">
      <alignment vertical="center"/>
    </xf>
    <xf numFmtId="0" fontId="5" fillId="5" borderId="8" xfId="0" applyFont="1" applyFill="1" applyBorder="1" applyAlignment="1">
      <alignment horizontal="center" vertical="center"/>
    </xf>
    <xf numFmtId="0" fontId="26" fillId="5" borderId="42" xfId="0" applyFont="1" applyFill="1" applyBorder="1" applyAlignment="1">
      <alignment horizontal="center" vertical="center"/>
    </xf>
    <xf numFmtId="0" fontId="26" fillId="5" borderId="12" xfId="0" applyFont="1" applyFill="1" applyBorder="1" applyAlignment="1">
      <alignment horizontal="center" vertical="center"/>
    </xf>
    <xf numFmtId="0" fontId="26" fillId="5" borderId="42" xfId="0" applyFont="1" applyFill="1" applyBorder="1" applyAlignment="1">
      <alignment horizontal="right" vertical="center"/>
    </xf>
    <xf numFmtId="0" fontId="26" fillId="5" borderId="12" xfId="0" applyFont="1" applyFill="1" applyBorder="1">
      <alignment vertical="center"/>
    </xf>
    <xf numFmtId="14" fontId="26" fillId="5" borderId="42" xfId="0" applyNumberFormat="1" applyFont="1" applyFill="1" applyBorder="1" applyAlignment="1">
      <alignment horizontal="center" vertical="center"/>
    </xf>
    <xf numFmtId="14" fontId="26" fillId="5" borderId="52" xfId="0" applyNumberFormat="1" applyFont="1" applyFill="1" applyBorder="1" applyAlignment="1">
      <alignment horizontal="center" vertical="center"/>
    </xf>
    <xf numFmtId="0" fontId="26" fillId="5" borderId="24" xfId="0" applyFont="1" applyFill="1" applyBorder="1" applyAlignment="1">
      <alignment horizontal="center" vertical="center"/>
    </xf>
    <xf numFmtId="0" fontId="26" fillId="5" borderId="71" xfId="0" applyFont="1" applyFill="1" applyBorder="1" applyAlignment="1">
      <alignment horizontal="center" vertical="center"/>
    </xf>
    <xf numFmtId="9" fontId="5" fillId="5" borderId="55" xfId="0" applyNumberFormat="1" applyFont="1" applyFill="1" applyBorder="1">
      <alignment vertical="center"/>
    </xf>
    <xf numFmtId="9" fontId="5" fillId="5" borderId="51" xfId="0" applyNumberFormat="1" applyFont="1" applyFill="1" applyBorder="1" applyAlignment="1">
      <alignment horizontal="right" vertical="center"/>
    </xf>
    <xf numFmtId="41" fontId="0" fillId="0" borderId="0" xfId="0" applyNumberFormat="1">
      <alignment vertical="center"/>
    </xf>
    <xf numFmtId="0" fontId="27" fillId="16" borderId="0" xfId="0" applyFont="1" applyFill="1" applyAlignment="1">
      <alignment horizontal="center" vertical="center"/>
    </xf>
    <xf numFmtId="0" fontId="31" fillId="17" borderId="47" xfId="0" applyFont="1" applyFill="1" applyBorder="1">
      <alignment vertical="center"/>
    </xf>
    <xf numFmtId="41" fontId="31" fillId="17" borderId="4" xfId="1" applyFont="1" applyFill="1" applyBorder="1" applyAlignment="1">
      <alignment horizontal="center" vertical="center"/>
    </xf>
    <xf numFmtId="41" fontId="31" fillId="17" borderId="39" xfId="1" applyFont="1" applyFill="1" applyBorder="1" applyAlignment="1">
      <alignment horizontal="center" vertical="center"/>
    </xf>
    <xf numFmtId="177" fontId="31" fillId="17" borderId="54" xfId="2" applyNumberFormat="1" applyFont="1" applyFill="1" applyBorder="1" applyAlignment="1">
      <alignment horizontal="center" vertical="center"/>
    </xf>
    <xf numFmtId="177" fontId="31" fillId="17" borderId="47" xfId="2" applyNumberFormat="1" applyFont="1" applyFill="1" applyBorder="1" applyAlignment="1">
      <alignment horizontal="center" vertical="center"/>
    </xf>
    <xf numFmtId="0" fontId="31" fillId="18" borderId="9" xfId="0" applyFont="1" applyFill="1" applyBorder="1">
      <alignment vertical="center"/>
    </xf>
    <xf numFmtId="41" fontId="31" fillId="18" borderId="24" xfId="1" applyFont="1" applyFill="1" applyBorder="1" applyAlignment="1">
      <alignment horizontal="center" vertical="center"/>
    </xf>
    <xf numFmtId="41" fontId="31" fillId="18" borderId="15" xfId="1" applyFont="1" applyFill="1" applyBorder="1" applyAlignment="1">
      <alignment horizontal="center" vertical="center"/>
    </xf>
    <xf numFmtId="41" fontId="31" fillId="18" borderId="71" xfId="1" applyFont="1" applyFill="1" applyBorder="1" applyAlignment="1">
      <alignment horizontal="center" vertical="center"/>
    </xf>
    <xf numFmtId="177" fontId="31" fillId="18" borderId="59" xfId="2" applyNumberFormat="1" applyFont="1" applyFill="1" applyBorder="1" applyAlignment="1">
      <alignment horizontal="center" vertical="center"/>
    </xf>
    <xf numFmtId="177" fontId="31" fillId="18" borderId="52" xfId="2" applyNumberFormat="1" applyFont="1" applyFill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1" fillId="0" borderId="0" xfId="0" applyFont="1">
      <alignment vertical="center"/>
    </xf>
    <xf numFmtId="0" fontId="42" fillId="0" borderId="0" xfId="0" applyFont="1">
      <alignment vertical="center"/>
    </xf>
    <xf numFmtId="0" fontId="8" fillId="2" borderId="14" xfId="0" applyFont="1" applyFill="1" applyBorder="1" applyAlignment="1">
      <alignment horizontal="center" vertical="center"/>
    </xf>
    <xf numFmtId="178" fontId="5" fillId="0" borderId="0" xfId="0" applyNumberFormat="1" applyFont="1">
      <alignment vertical="center"/>
    </xf>
    <xf numFmtId="41" fontId="5" fillId="0" borderId="0" xfId="0" applyNumberFormat="1" applyFont="1">
      <alignment vertical="center"/>
    </xf>
    <xf numFmtId="0" fontId="26" fillId="0" borderId="72" xfId="0" applyFont="1" applyBorder="1" applyAlignment="1">
      <alignment horizontal="center" vertical="center"/>
    </xf>
    <xf numFmtId="0" fontId="26" fillId="0" borderId="74" xfId="0" applyFont="1" applyBorder="1" applyAlignment="1">
      <alignment horizontal="center" vertical="center"/>
    </xf>
    <xf numFmtId="14" fontId="26" fillId="0" borderId="74" xfId="0" applyNumberFormat="1" applyFont="1" applyBorder="1" applyAlignment="1">
      <alignment horizontal="center" vertical="center"/>
    </xf>
    <xf numFmtId="41" fontId="21" fillId="0" borderId="74" xfId="1" applyFont="1" applyFill="1" applyBorder="1" applyAlignment="1">
      <alignment horizontal="center" vertical="center"/>
    </xf>
    <xf numFmtId="0" fontId="5" fillId="0" borderId="74" xfId="0" applyFont="1" applyBorder="1" applyAlignment="1">
      <alignment horizontal="center" vertical="center"/>
    </xf>
    <xf numFmtId="0" fontId="26" fillId="0" borderId="75" xfId="0" applyFont="1" applyBorder="1" applyAlignment="1">
      <alignment horizontal="center" vertical="center"/>
    </xf>
    <xf numFmtId="9" fontId="5" fillId="0" borderId="28" xfId="0" applyNumberFormat="1" applyFont="1" applyBorder="1">
      <alignment vertical="center"/>
    </xf>
    <xf numFmtId="9" fontId="5" fillId="0" borderId="53" xfId="0" applyNumberFormat="1" applyFont="1" applyBorder="1">
      <alignment vertical="center"/>
    </xf>
    <xf numFmtId="0" fontId="43" fillId="0" borderId="74" xfId="0" applyFont="1" applyBorder="1" applyAlignment="1">
      <alignment horizontal="center" vertical="center"/>
    </xf>
    <xf numFmtId="41" fontId="43" fillId="15" borderId="74" xfId="1" applyFont="1" applyFill="1" applyBorder="1" applyAlignment="1">
      <alignment vertical="center"/>
    </xf>
    <xf numFmtId="179" fontId="43" fillId="15" borderId="74" xfId="1" applyNumberFormat="1" applyFont="1" applyFill="1" applyBorder="1" applyAlignment="1">
      <alignment vertical="center"/>
    </xf>
    <xf numFmtId="9" fontId="7" fillId="0" borderId="28" xfId="0" applyNumberFormat="1" applyFont="1" applyBorder="1">
      <alignment vertical="center"/>
    </xf>
    <xf numFmtId="9" fontId="7" fillId="0" borderId="53" xfId="0" applyNumberFormat="1" applyFont="1" applyBorder="1">
      <alignment vertical="center"/>
    </xf>
    <xf numFmtId="0" fontId="44" fillId="0" borderId="0" xfId="0" applyFont="1" applyAlignment="1">
      <alignment horizontal="left" vertical="center"/>
    </xf>
    <xf numFmtId="9" fontId="5" fillId="0" borderId="54" xfId="0" applyNumberFormat="1" applyFont="1" applyBorder="1">
      <alignment vertical="center"/>
    </xf>
    <xf numFmtId="41" fontId="45" fillId="15" borderId="74" xfId="1" applyFont="1" applyFill="1" applyBorder="1" applyAlignment="1">
      <alignment vertical="center"/>
    </xf>
    <xf numFmtId="179" fontId="45" fillId="15" borderId="74" xfId="1" applyNumberFormat="1" applyFont="1" applyFill="1" applyBorder="1" applyAlignment="1">
      <alignment vertical="center"/>
    </xf>
    <xf numFmtId="0" fontId="26" fillId="0" borderId="4" xfId="0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0" borderId="44" xfId="0" applyFont="1" applyBorder="1" applyAlignment="1">
      <alignment horizontal="center" vertical="center"/>
    </xf>
    <xf numFmtId="0" fontId="26" fillId="0" borderId="14" xfId="0" applyFont="1" applyBorder="1" applyAlignment="1">
      <alignment horizontal="center" vertical="center"/>
    </xf>
    <xf numFmtId="14" fontId="26" fillId="0" borderId="14" xfId="0" applyNumberFormat="1" applyFont="1" applyBorder="1" applyAlignment="1">
      <alignment horizontal="center" vertical="center"/>
    </xf>
    <xf numFmtId="41" fontId="21" fillId="0" borderId="14" xfId="1" applyFont="1" applyFill="1" applyBorder="1" applyAlignment="1">
      <alignment horizontal="center" vertical="center"/>
    </xf>
    <xf numFmtId="0" fontId="26" fillId="0" borderId="67" xfId="0" applyFont="1" applyBorder="1" applyAlignment="1">
      <alignment horizontal="center" vertical="center"/>
    </xf>
    <xf numFmtId="9" fontId="5" fillId="0" borderId="16" xfId="0" applyNumberFormat="1" applyFont="1" applyBorder="1">
      <alignment vertical="center"/>
    </xf>
    <xf numFmtId="0" fontId="26" fillId="0" borderId="30" xfId="0" applyFont="1" applyBorder="1" applyAlignment="1">
      <alignment horizontal="center" vertical="center"/>
    </xf>
    <xf numFmtId="9" fontId="5" fillId="0" borderId="49" xfId="0" applyNumberFormat="1" applyFont="1" applyBorder="1">
      <alignment vertical="center"/>
    </xf>
    <xf numFmtId="0" fontId="26" fillId="0" borderId="70" xfId="0" applyFont="1" applyBorder="1" applyAlignment="1">
      <alignment horizontal="center" vertical="center"/>
    </xf>
    <xf numFmtId="14" fontId="26" fillId="0" borderId="19" xfId="0" applyNumberFormat="1" applyFont="1" applyBorder="1" applyAlignment="1">
      <alignment horizontal="center" vertical="center"/>
    </xf>
    <xf numFmtId="9" fontId="5" fillId="0" borderId="60" xfId="0" applyNumberFormat="1" applyFont="1" applyBorder="1">
      <alignment vertical="center"/>
    </xf>
    <xf numFmtId="0" fontId="26" fillId="0" borderId="69" xfId="0" applyFont="1" applyBorder="1" applyAlignment="1">
      <alignment horizontal="center" vertical="center"/>
    </xf>
    <xf numFmtId="14" fontId="26" fillId="0" borderId="22" xfId="0" applyNumberFormat="1" applyFont="1" applyBorder="1" applyAlignment="1">
      <alignment horizontal="center" vertical="center"/>
    </xf>
    <xf numFmtId="41" fontId="21" fillId="0" borderId="22" xfId="1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26" fillId="0" borderId="33" xfId="0" applyFont="1" applyBorder="1" applyAlignment="1">
      <alignment horizontal="center" vertical="center"/>
    </xf>
    <xf numFmtId="9" fontId="5" fillId="0" borderId="15" xfId="0" applyNumberFormat="1" applyFont="1" applyBorder="1">
      <alignment vertical="center"/>
    </xf>
    <xf numFmtId="9" fontId="5" fillId="0" borderId="34" xfId="0" applyNumberFormat="1" applyFont="1" applyBorder="1">
      <alignment vertical="center"/>
    </xf>
    <xf numFmtId="0" fontId="26" fillId="5" borderId="3" xfId="0" applyFont="1" applyFill="1" applyBorder="1" applyAlignment="1">
      <alignment horizontal="center" vertical="center"/>
    </xf>
    <xf numFmtId="0" fontId="26" fillId="5" borderId="74" xfId="0" applyFont="1" applyFill="1" applyBorder="1" applyAlignment="1">
      <alignment horizontal="center" vertical="center"/>
    </xf>
    <xf numFmtId="14" fontId="26" fillId="5" borderId="74" xfId="0" applyNumberFormat="1" applyFont="1" applyFill="1" applyBorder="1" applyAlignment="1">
      <alignment horizontal="center" vertical="center"/>
    </xf>
    <xf numFmtId="0" fontId="43" fillId="0" borderId="0" xfId="0" applyFont="1">
      <alignment vertical="center"/>
    </xf>
    <xf numFmtId="0" fontId="26" fillId="0" borderId="24" xfId="0" applyFont="1" applyBorder="1" applyAlignment="1">
      <alignment horizontal="center" vertical="center"/>
    </xf>
    <xf numFmtId="9" fontId="5" fillId="0" borderId="59" xfId="0" applyNumberFormat="1" applyFont="1" applyBorder="1">
      <alignment vertical="center"/>
    </xf>
    <xf numFmtId="9" fontId="5" fillId="0" borderId="55" xfId="0" applyNumberFormat="1" applyFont="1" applyBorder="1">
      <alignment vertical="center"/>
    </xf>
    <xf numFmtId="9" fontId="5" fillId="0" borderId="56" xfId="0" applyNumberFormat="1" applyFont="1" applyBorder="1">
      <alignment vertical="center"/>
    </xf>
    <xf numFmtId="41" fontId="5" fillId="0" borderId="0" xfId="1" applyFont="1">
      <alignment vertical="center"/>
    </xf>
    <xf numFmtId="0" fontId="26" fillId="0" borderId="11" xfId="0" applyFont="1" applyBorder="1" applyAlignment="1">
      <alignment horizontal="center" vertical="center" shrinkToFit="1"/>
    </xf>
    <xf numFmtId="0" fontId="26" fillId="0" borderId="27" xfId="0" applyFont="1" applyBorder="1" applyAlignment="1">
      <alignment horizontal="center" vertical="center"/>
    </xf>
    <xf numFmtId="0" fontId="26" fillId="0" borderId="6" xfId="0" applyFont="1" applyBorder="1" applyAlignment="1">
      <alignment horizontal="center" vertical="center" shrinkToFit="1"/>
    </xf>
    <xf numFmtId="0" fontId="26" fillId="0" borderId="29" xfId="0" applyFont="1" applyBorder="1" applyAlignment="1">
      <alignment horizontal="center" vertical="center"/>
    </xf>
    <xf numFmtId="9" fontId="5" fillId="0" borderId="17" xfId="0" applyNumberFormat="1" applyFont="1" applyBorder="1">
      <alignment vertical="center"/>
    </xf>
    <xf numFmtId="0" fontId="26" fillId="0" borderId="3" xfId="0" applyFont="1" applyBorder="1" applyAlignment="1">
      <alignment horizontal="center" vertical="center" shrinkToFit="1"/>
    </xf>
    <xf numFmtId="14" fontId="26" fillId="5" borderId="3" xfId="0" applyNumberFormat="1" applyFont="1" applyFill="1" applyBorder="1" applyAlignment="1">
      <alignment horizontal="center" vertical="center"/>
    </xf>
    <xf numFmtId="0" fontId="26" fillId="0" borderId="2" xfId="0" applyFont="1" applyBorder="1" applyAlignment="1">
      <alignment horizontal="center" vertical="center" shrinkToFit="1"/>
    </xf>
    <xf numFmtId="0" fontId="26" fillId="0" borderId="14" xfId="0" applyFont="1" applyBorder="1" applyAlignment="1">
      <alignment horizontal="center" vertical="center" shrinkToFit="1"/>
    </xf>
    <xf numFmtId="0" fontId="26" fillId="0" borderId="74" xfId="0" applyFont="1" applyBorder="1" applyAlignment="1">
      <alignment horizontal="center" vertical="center" shrinkToFit="1"/>
    </xf>
    <xf numFmtId="0" fontId="26" fillId="0" borderId="22" xfId="0" applyFont="1" applyBorder="1" applyAlignment="1">
      <alignment horizontal="center" vertical="center" shrinkToFit="1"/>
    </xf>
    <xf numFmtId="9" fontId="5" fillId="0" borderId="23" xfId="0" applyNumberFormat="1" applyFont="1" applyBorder="1">
      <alignment vertical="center"/>
    </xf>
    <xf numFmtId="0" fontId="8" fillId="2" borderId="11" xfId="0" applyFont="1" applyFill="1" applyBorder="1" applyAlignment="1">
      <alignment horizontal="center" vertical="center"/>
    </xf>
    <xf numFmtId="0" fontId="26" fillId="0" borderId="12" xfId="0" applyFont="1" applyBorder="1" applyAlignment="1">
      <alignment horizontal="center" vertical="center" shrinkToFit="1"/>
    </xf>
    <xf numFmtId="0" fontId="46" fillId="0" borderId="11" xfId="0" applyFont="1" applyBorder="1" applyAlignment="1">
      <alignment horizontal="center" vertical="center" shrinkToFit="1"/>
    </xf>
    <xf numFmtId="41" fontId="5" fillId="0" borderId="74" xfId="1" applyFont="1" applyFill="1" applyBorder="1" applyAlignment="1">
      <alignment horizontal="center" vertical="center"/>
    </xf>
    <xf numFmtId="41" fontId="5" fillId="0" borderId="12" xfId="1" applyFont="1" applyFill="1" applyBorder="1" applyAlignment="1">
      <alignment horizontal="center" vertical="center"/>
    </xf>
    <xf numFmtId="41" fontId="5" fillId="0" borderId="6" xfId="1" applyFont="1" applyFill="1" applyBorder="1" applyAlignment="1">
      <alignment horizontal="center" vertical="center"/>
    </xf>
    <xf numFmtId="0" fontId="28" fillId="8" borderId="2" xfId="0" applyFont="1" applyFill="1" applyBorder="1" applyAlignment="1">
      <alignment horizontal="center" vertical="center"/>
    </xf>
    <xf numFmtId="0" fontId="28" fillId="8" borderId="11" xfId="0" applyFont="1" applyFill="1" applyBorder="1" applyAlignment="1">
      <alignment horizontal="center" vertical="center"/>
    </xf>
    <xf numFmtId="0" fontId="33" fillId="8" borderId="21" xfId="4" applyFont="1" applyFill="1" applyBorder="1" applyAlignment="1">
      <alignment horizontal="center" vertical="center"/>
    </xf>
    <xf numFmtId="0" fontId="33" fillId="8" borderId="6" xfId="4" applyFont="1" applyFill="1" applyBorder="1" applyAlignment="1">
      <alignment horizontal="center" vertical="center"/>
    </xf>
    <xf numFmtId="0" fontId="33" fillId="8" borderId="19" xfId="0" applyFont="1" applyFill="1" applyBorder="1" applyAlignment="1">
      <alignment horizontal="center" vertical="center"/>
    </xf>
    <xf numFmtId="0" fontId="33" fillId="8" borderId="6" xfId="4" applyFont="1" applyFill="1" applyBorder="1" applyAlignment="1">
      <alignment horizontal="left" vertical="center" shrinkToFit="1"/>
    </xf>
    <xf numFmtId="14" fontId="33" fillId="8" borderId="6" xfId="4" applyNumberFormat="1" applyFont="1" applyFill="1" applyBorder="1" applyAlignment="1">
      <alignment horizontal="center" vertical="center"/>
    </xf>
    <xf numFmtId="41" fontId="33" fillId="8" borderId="6" xfId="1" applyFont="1" applyFill="1" applyBorder="1" applyAlignment="1">
      <alignment horizontal="center" vertical="center"/>
    </xf>
    <xf numFmtId="41" fontId="28" fillId="8" borderId="19" xfId="1" applyFont="1" applyFill="1" applyBorder="1" applyAlignment="1">
      <alignment horizontal="right" vertical="center"/>
    </xf>
    <xf numFmtId="41" fontId="28" fillId="8" borderId="19" xfId="1" applyFont="1" applyFill="1" applyBorder="1" applyAlignment="1">
      <alignment horizontal="center" vertical="center"/>
    </xf>
    <xf numFmtId="0" fontId="28" fillId="8" borderId="19" xfId="0" applyFont="1" applyFill="1" applyBorder="1" applyAlignment="1">
      <alignment horizontal="center" vertical="center"/>
    </xf>
    <xf numFmtId="9" fontId="28" fillId="8" borderId="19" xfId="0" applyNumberFormat="1" applyFont="1" applyFill="1" applyBorder="1">
      <alignment vertical="center"/>
    </xf>
    <xf numFmtId="9" fontId="28" fillId="8" borderId="20" xfId="0" applyNumberFormat="1" applyFont="1" applyFill="1" applyBorder="1" applyAlignment="1">
      <alignment horizontal="right" vertical="center"/>
    </xf>
    <xf numFmtId="0" fontId="33" fillId="0" borderId="2" xfId="4" applyFont="1" applyBorder="1" applyAlignment="1">
      <alignment horizontal="left" vertical="center" shrinkToFit="1"/>
    </xf>
    <xf numFmtId="14" fontId="33" fillId="0" borderId="2" xfId="4" applyNumberFormat="1" applyFont="1" applyBorder="1" applyAlignment="1">
      <alignment horizontal="center" vertical="center"/>
    </xf>
    <xf numFmtId="41" fontId="28" fillId="0" borderId="2" xfId="1" applyFont="1" applyFill="1" applyBorder="1" applyAlignment="1">
      <alignment horizontal="right" vertical="center"/>
    </xf>
    <xf numFmtId="0" fontId="33" fillId="0" borderId="2" xfId="4" applyFont="1" applyBorder="1" applyAlignment="1">
      <alignment horizontal="center" vertical="center"/>
    </xf>
    <xf numFmtId="0" fontId="28" fillId="0" borderId="2" xfId="4" applyFont="1" applyBorder="1" applyAlignment="1">
      <alignment horizontal="center" vertical="center"/>
    </xf>
    <xf numFmtId="9" fontId="28" fillId="0" borderId="6" xfId="0" applyNumberFormat="1" applyFont="1" applyBorder="1">
      <alignment vertical="center"/>
    </xf>
    <xf numFmtId="9" fontId="28" fillId="0" borderId="9" xfId="0" applyNumberFormat="1" applyFont="1" applyBorder="1" applyAlignment="1">
      <alignment horizontal="right" vertical="center"/>
    </xf>
    <xf numFmtId="0" fontId="33" fillId="0" borderId="11" xfId="4" applyFont="1" applyBorder="1" applyAlignment="1">
      <alignment horizontal="left" vertical="center" shrinkToFit="1"/>
    </xf>
    <xf numFmtId="14" fontId="33" fillId="0" borderId="11" xfId="4" applyNumberFormat="1" applyFont="1" applyBorder="1" applyAlignment="1">
      <alignment horizontal="center" vertical="center"/>
    </xf>
    <xf numFmtId="41" fontId="33" fillId="0" borderId="11" xfId="1" applyFont="1" applyFill="1" applyBorder="1" applyAlignment="1">
      <alignment horizontal="center" vertical="center"/>
    </xf>
    <xf numFmtId="41" fontId="28" fillId="0" borderId="11" xfId="1" applyFont="1" applyFill="1" applyBorder="1" applyAlignment="1">
      <alignment horizontal="right" vertical="center"/>
    </xf>
    <xf numFmtId="0" fontId="33" fillId="0" borderId="11" xfId="4" applyFont="1" applyBorder="1" applyAlignment="1">
      <alignment horizontal="center" vertical="center"/>
    </xf>
    <xf numFmtId="0" fontId="28" fillId="0" borderId="11" xfId="4" applyFont="1" applyBorder="1" applyAlignment="1">
      <alignment horizontal="center" vertical="center"/>
    </xf>
    <xf numFmtId="9" fontId="28" fillId="0" borderId="11" xfId="0" applyNumberFormat="1" applyFont="1" applyBorder="1">
      <alignment vertical="center"/>
    </xf>
    <xf numFmtId="9" fontId="28" fillId="0" borderId="1" xfId="0" applyNumberFormat="1" applyFont="1" applyBorder="1" applyAlignment="1">
      <alignment horizontal="right" vertical="center"/>
    </xf>
    <xf numFmtId="0" fontId="33" fillId="8" borderId="12" xfId="4" applyFont="1" applyFill="1" applyBorder="1" applyAlignment="1">
      <alignment horizontal="left" vertical="center" shrinkToFit="1"/>
    </xf>
    <xf numFmtId="14" fontId="33" fillId="8" borderId="12" xfId="4" applyNumberFormat="1" applyFont="1" applyFill="1" applyBorder="1" applyAlignment="1">
      <alignment horizontal="center" vertical="center"/>
    </xf>
    <xf numFmtId="41" fontId="33" fillId="8" borderId="12" xfId="1" applyFont="1" applyFill="1" applyBorder="1" applyAlignment="1">
      <alignment horizontal="center" vertical="center"/>
    </xf>
    <xf numFmtId="9" fontId="28" fillId="8" borderId="20" xfId="0" applyNumberFormat="1" applyFont="1" applyFill="1" applyBorder="1">
      <alignment vertical="center"/>
    </xf>
    <xf numFmtId="0" fontId="28" fillId="0" borderId="19" xfId="0" applyFont="1" applyBorder="1" applyAlignment="1">
      <alignment horizontal="center" vertical="center"/>
    </xf>
    <xf numFmtId="0" fontId="33" fillId="0" borderId="12" xfId="4" applyFont="1" applyBorder="1" applyAlignment="1">
      <alignment horizontal="left" vertical="center" shrinkToFit="1"/>
    </xf>
    <xf numFmtId="41" fontId="33" fillId="0" borderId="12" xfId="1" applyFont="1" applyFill="1" applyBorder="1" applyAlignment="1">
      <alignment horizontal="center" vertical="center"/>
    </xf>
    <xf numFmtId="41" fontId="28" fillId="0" borderId="19" xfId="1" applyFont="1" applyFill="1" applyBorder="1" applyAlignment="1">
      <alignment horizontal="center" vertical="center"/>
    </xf>
    <xf numFmtId="9" fontId="28" fillId="0" borderId="19" xfId="0" applyNumberFormat="1" applyFont="1" applyBorder="1">
      <alignment vertical="center"/>
    </xf>
    <xf numFmtId="9" fontId="28" fillId="0" borderId="20" xfId="0" applyNumberFormat="1" applyFont="1" applyBorder="1">
      <alignment vertical="center"/>
    </xf>
    <xf numFmtId="0" fontId="17" fillId="8" borderId="22" xfId="0" applyFont="1" applyFill="1" applyBorder="1" applyAlignment="1">
      <alignment horizontal="center" vertical="center"/>
    </xf>
    <xf numFmtId="0" fontId="33" fillId="8" borderId="22" xfId="0" applyFont="1" applyFill="1" applyBorder="1" applyAlignment="1">
      <alignment horizontal="center" vertical="center"/>
    </xf>
    <xf numFmtId="0" fontId="33" fillId="8" borderId="22" xfId="0" applyFont="1" applyFill="1" applyBorder="1" applyAlignment="1">
      <alignment horizontal="left" vertical="center" shrinkToFit="1"/>
    </xf>
    <xf numFmtId="14" fontId="33" fillId="8" borderId="22" xfId="0" applyNumberFormat="1" applyFont="1" applyFill="1" applyBorder="1" applyAlignment="1">
      <alignment horizontal="center" vertical="center"/>
    </xf>
    <xf numFmtId="41" fontId="28" fillId="8" borderId="22" xfId="1" applyFont="1" applyFill="1" applyBorder="1" applyAlignment="1">
      <alignment horizontal="center" vertical="center"/>
    </xf>
    <xf numFmtId="41" fontId="28" fillId="8" borderId="22" xfId="1" applyFont="1" applyFill="1" applyBorder="1" applyAlignment="1">
      <alignment horizontal="right" vertical="center"/>
    </xf>
    <xf numFmtId="0" fontId="28" fillId="8" borderId="22" xfId="0" applyFont="1" applyFill="1" applyBorder="1" applyAlignment="1">
      <alignment horizontal="center" vertical="center"/>
    </xf>
    <xf numFmtId="9" fontId="28" fillId="8" borderId="22" xfId="0" applyNumberFormat="1" applyFont="1" applyFill="1" applyBorder="1">
      <alignment vertical="center"/>
    </xf>
    <xf numFmtId="9" fontId="28" fillId="8" borderId="23" xfId="0" applyNumberFormat="1" applyFont="1" applyFill="1" applyBorder="1">
      <alignment vertical="center"/>
    </xf>
    <xf numFmtId="9" fontId="28" fillId="0" borderId="2" xfId="0" applyNumberFormat="1" applyFont="1" applyBorder="1">
      <alignment vertical="center"/>
    </xf>
    <xf numFmtId="9" fontId="28" fillId="0" borderId="9" xfId="0" applyNumberFormat="1" applyFont="1" applyBorder="1">
      <alignment vertical="center"/>
    </xf>
    <xf numFmtId="9" fontId="28" fillId="0" borderId="22" xfId="0" applyNumberFormat="1" applyFont="1" applyBorder="1">
      <alignment vertical="center"/>
    </xf>
    <xf numFmtId="0" fontId="17" fillId="8" borderId="19" xfId="0" applyFont="1" applyFill="1" applyBorder="1" applyAlignment="1">
      <alignment horizontal="center" vertical="center"/>
    </xf>
    <xf numFmtId="0" fontId="33" fillId="8" borderId="19" xfId="0" applyFont="1" applyFill="1" applyBorder="1" applyAlignment="1">
      <alignment vertical="center" shrinkToFit="1"/>
    </xf>
    <xf numFmtId="14" fontId="33" fillId="8" borderId="19" xfId="0" applyNumberFormat="1" applyFont="1" applyFill="1" applyBorder="1" applyAlignment="1">
      <alignment horizontal="center" vertical="center"/>
    </xf>
    <xf numFmtId="177" fontId="28" fillId="8" borderId="19" xfId="0" applyNumberFormat="1" applyFont="1" applyFill="1" applyBorder="1">
      <alignment vertical="center"/>
    </xf>
    <xf numFmtId="0" fontId="17" fillId="0" borderId="2" xfId="0" applyFont="1" applyBorder="1" applyAlignment="1">
      <alignment horizontal="center" vertical="center"/>
    </xf>
    <xf numFmtId="177" fontId="28" fillId="0" borderId="2" xfId="0" applyNumberFormat="1" applyFont="1" applyBorder="1">
      <alignment vertical="center"/>
    </xf>
    <xf numFmtId="0" fontId="28" fillId="8" borderId="12" xfId="0" applyFont="1" applyFill="1" applyBorder="1" applyAlignment="1">
      <alignment horizontal="center" vertical="center"/>
    </xf>
    <xf numFmtId="0" fontId="33" fillId="8" borderId="2" xfId="0" applyFont="1" applyFill="1" applyBorder="1" applyAlignment="1">
      <alignment horizontal="center" vertical="center"/>
    </xf>
    <xf numFmtId="0" fontId="33" fillId="8" borderId="2" xfId="0" applyFont="1" applyFill="1" applyBorder="1" applyAlignment="1">
      <alignment horizontal="left" vertical="center" shrinkToFit="1"/>
    </xf>
    <xf numFmtId="14" fontId="33" fillId="8" borderId="2" xfId="0" applyNumberFormat="1" applyFont="1" applyFill="1" applyBorder="1" applyAlignment="1">
      <alignment horizontal="center" vertical="center"/>
    </xf>
    <xf numFmtId="41" fontId="28" fillId="8" borderId="2" xfId="1" applyFont="1" applyFill="1" applyBorder="1" applyAlignment="1">
      <alignment horizontal="center" vertical="center"/>
    </xf>
    <xf numFmtId="41" fontId="28" fillId="8" borderId="2" xfId="1" applyFont="1" applyFill="1" applyBorder="1" applyAlignment="1">
      <alignment horizontal="right" vertical="center"/>
    </xf>
    <xf numFmtId="9" fontId="28" fillId="8" borderId="2" xfId="0" applyNumberFormat="1" applyFont="1" applyFill="1" applyBorder="1">
      <alignment vertical="center"/>
    </xf>
    <xf numFmtId="9" fontId="28" fillId="8" borderId="9" xfId="0" applyNumberFormat="1" applyFont="1" applyFill="1" applyBorder="1">
      <alignment vertical="center"/>
    </xf>
    <xf numFmtId="0" fontId="33" fillId="8" borderId="36" xfId="0" applyFont="1" applyFill="1" applyBorder="1" applyAlignment="1">
      <alignment horizontal="center" vertical="center"/>
    </xf>
    <xf numFmtId="0" fontId="17" fillId="0" borderId="26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3" fillId="0" borderId="2" xfId="0" applyFont="1" applyBorder="1" applyAlignment="1">
      <alignment horizontal="left" vertical="center"/>
    </xf>
    <xf numFmtId="0" fontId="23" fillId="0" borderId="2" xfId="0" applyFont="1" applyBorder="1" applyAlignment="1">
      <alignment horizontal="left" vertical="center" wrapText="1" shrinkToFit="1"/>
    </xf>
    <xf numFmtId="14" fontId="23" fillId="0" borderId="2" xfId="0" applyNumberFormat="1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3" fillId="0" borderId="2" xfId="0" applyFont="1" applyBorder="1" applyAlignment="1">
      <alignment horizontal="left" vertical="center" wrapText="1"/>
    </xf>
    <xf numFmtId="0" fontId="24" fillId="0" borderId="2" xfId="0" applyFont="1" applyBorder="1" applyAlignment="1">
      <alignment horizontal="left" vertical="center"/>
    </xf>
    <xf numFmtId="14" fontId="24" fillId="0" borderId="2" xfId="0" applyNumberFormat="1" applyFont="1" applyBorder="1" applyAlignment="1">
      <alignment horizontal="center" vertical="center"/>
    </xf>
    <xf numFmtId="14" fontId="23" fillId="0" borderId="2" xfId="0" applyNumberFormat="1" applyFont="1" applyBorder="1" applyAlignment="1">
      <alignment horizontal="left" vertical="center" wrapText="1"/>
    </xf>
    <xf numFmtId="0" fontId="23" fillId="5" borderId="2" xfId="0" applyFont="1" applyFill="1" applyBorder="1" applyAlignment="1">
      <alignment horizontal="center" vertical="center"/>
    </xf>
    <xf numFmtId="0" fontId="23" fillId="5" borderId="2" xfId="0" applyFont="1" applyFill="1" applyBorder="1" applyAlignment="1">
      <alignment horizontal="left" vertical="center"/>
    </xf>
    <xf numFmtId="14" fontId="23" fillId="5" borderId="2" xfId="0" applyNumberFormat="1" applyFont="1" applyFill="1" applyBorder="1" applyAlignment="1">
      <alignment horizontal="center" vertical="center"/>
    </xf>
    <xf numFmtId="0" fontId="23" fillId="5" borderId="2" xfId="0" applyFont="1" applyFill="1" applyBorder="1" applyAlignment="1">
      <alignment horizontal="left" vertical="center" wrapText="1" shrinkToFit="1"/>
    </xf>
    <xf numFmtId="177" fontId="15" fillId="0" borderId="7" xfId="2" applyNumberFormat="1" applyFont="1" applyFill="1" applyBorder="1" applyAlignment="1">
      <alignment horizontal="center" vertical="center"/>
    </xf>
    <xf numFmtId="177" fontId="15" fillId="0" borderId="2" xfId="2" applyNumberFormat="1" applyFont="1" applyFill="1" applyBorder="1" applyAlignment="1">
      <alignment horizontal="center" vertical="center"/>
    </xf>
    <xf numFmtId="0" fontId="0" fillId="10" borderId="72" xfId="0" applyFill="1" applyBorder="1">
      <alignment vertical="center"/>
    </xf>
    <xf numFmtId="0" fontId="0" fillId="10" borderId="49" xfId="0" applyFill="1" applyBorder="1">
      <alignment vertical="center"/>
    </xf>
    <xf numFmtId="0" fontId="50" fillId="0" borderId="2" xfId="0" applyFont="1" applyBorder="1" applyAlignment="1">
      <alignment horizontal="center" vertical="center"/>
    </xf>
    <xf numFmtId="0" fontId="23" fillId="16" borderId="2" xfId="0" applyFont="1" applyFill="1" applyBorder="1" applyAlignment="1">
      <alignment horizontal="center" vertical="center"/>
    </xf>
    <xf numFmtId="0" fontId="50" fillId="16" borderId="2" xfId="0" applyFont="1" applyFill="1" applyBorder="1" applyAlignment="1">
      <alignment horizontal="center" vertical="center"/>
    </xf>
    <xf numFmtId="0" fontId="51" fillId="2" borderId="6" xfId="0" applyFont="1" applyFill="1" applyBorder="1" applyAlignment="1">
      <alignment horizontal="center" vertical="center"/>
    </xf>
    <xf numFmtId="0" fontId="51" fillId="2" borderId="6" xfId="0" applyFont="1" applyFill="1" applyBorder="1" applyAlignment="1">
      <alignment horizontal="center" vertical="center" shrinkToFit="1"/>
    </xf>
    <xf numFmtId="0" fontId="51" fillId="2" borderId="29" xfId="0" applyFont="1" applyFill="1" applyBorder="1" applyAlignment="1">
      <alignment horizontal="center" vertical="center"/>
    </xf>
    <xf numFmtId="0" fontId="51" fillId="12" borderId="70" xfId="0" applyFont="1" applyFill="1" applyBorder="1" applyAlignment="1">
      <alignment horizontal="center" vertical="center"/>
    </xf>
    <xf numFmtId="0" fontId="51" fillId="12" borderId="20" xfId="0" applyFont="1" applyFill="1" applyBorder="1" applyAlignment="1">
      <alignment horizontal="center" vertical="center"/>
    </xf>
    <xf numFmtId="0" fontId="51" fillId="2" borderId="0" xfId="0" applyFont="1" applyFill="1" applyAlignment="1">
      <alignment horizontal="center" vertical="center"/>
    </xf>
    <xf numFmtId="0" fontId="51" fillId="12" borderId="60" xfId="0" applyFont="1" applyFill="1" applyBorder="1" applyAlignment="1">
      <alignment horizontal="center" vertical="center"/>
    </xf>
    <xf numFmtId="0" fontId="51" fillId="2" borderId="21" xfId="0" applyFont="1" applyFill="1" applyBorder="1" applyAlignment="1">
      <alignment horizontal="center" vertical="center"/>
    </xf>
    <xf numFmtId="0" fontId="53" fillId="0" borderId="2" xfId="0" applyFont="1" applyBorder="1" applyAlignment="1">
      <alignment horizontal="center" vertical="center"/>
    </xf>
    <xf numFmtId="177" fontId="24" fillId="0" borderId="2" xfId="2" applyNumberFormat="1" applyFont="1" applyFill="1" applyBorder="1" applyAlignment="1">
      <alignment horizontal="center" vertical="center"/>
    </xf>
    <xf numFmtId="0" fontId="53" fillId="5" borderId="2" xfId="0" applyFont="1" applyFill="1" applyBorder="1" applyAlignment="1">
      <alignment horizontal="center" vertical="center"/>
    </xf>
    <xf numFmtId="177" fontId="24" fillId="5" borderId="2" xfId="2" applyNumberFormat="1" applyFont="1" applyFill="1" applyBorder="1" applyAlignment="1">
      <alignment horizontal="center" vertical="center"/>
    </xf>
    <xf numFmtId="177" fontId="30" fillId="0" borderId="2" xfId="2" applyNumberFormat="1" applyFont="1" applyFill="1" applyBorder="1" applyAlignment="1">
      <alignment horizontal="center" vertical="center"/>
    </xf>
    <xf numFmtId="0" fontId="52" fillId="0" borderId="2" xfId="0" applyFont="1" applyBorder="1">
      <alignment vertical="center"/>
    </xf>
    <xf numFmtId="0" fontId="47" fillId="0" borderId="2" xfId="0" applyFont="1" applyBorder="1" applyAlignment="1">
      <alignment vertical="center" wrapText="1"/>
    </xf>
    <xf numFmtId="14" fontId="48" fillId="0" borderId="2" xfId="0" applyNumberFormat="1" applyFont="1" applyBorder="1" applyAlignment="1">
      <alignment horizontal="center" vertical="center" wrapText="1"/>
    </xf>
    <xf numFmtId="0" fontId="47" fillId="0" borderId="2" xfId="0" applyFont="1" applyBorder="1">
      <alignment vertical="center"/>
    </xf>
    <xf numFmtId="14" fontId="49" fillId="0" borderId="2" xfId="0" applyNumberFormat="1" applyFont="1" applyBorder="1" applyAlignment="1">
      <alignment horizontal="center" vertical="center" wrapText="1"/>
    </xf>
    <xf numFmtId="0" fontId="52" fillId="0" borderId="4" xfId="0" applyFont="1" applyBorder="1" applyAlignment="1">
      <alignment horizontal="center" vertical="center"/>
    </xf>
    <xf numFmtId="0" fontId="53" fillId="0" borderId="3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0" borderId="3" xfId="0" applyFont="1" applyBorder="1" applyAlignment="1">
      <alignment horizontal="left" vertical="center"/>
    </xf>
    <xf numFmtId="0" fontId="23" fillId="0" borderId="3" xfId="0" applyFont="1" applyBorder="1" applyAlignment="1">
      <alignment horizontal="left" vertical="center" wrapText="1" shrinkToFit="1"/>
    </xf>
    <xf numFmtId="14" fontId="23" fillId="0" borderId="3" xfId="0" applyNumberFormat="1" applyFont="1" applyBorder="1" applyAlignment="1">
      <alignment horizontal="center" vertical="center"/>
    </xf>
    <xf numFmtId="0" fontId="23" fillId="16" borderId="3" xfId="0" applyFont="1" applyFill="1" applyBorder="1" applyAlignment="1">
      <alignment horizontal="center" vertical="center"/>
    </xf>
    <xf numFmtId="177" fontId="24" fillId="0" borderId="3" xfId="2" applyNumberFormat="1" applyFont="1" applyFill="1" applyBorder="1" applyAlignment="1">
      <alignment horizontal="center" vertical="center"/>
    </xf>
    <xf numFmtId="177" fontId="24" fillId="0" borderId="5" xfId="2" applyNumberFormat="1" applyFont="1" applyFill="1" applyBorder="1" applyAlignment="1">
      <alignment horizontal="center" vertical="center"/>
    </xf>
    <xf numFmtId="0" fontId="52" fillId="0" borderId="8" xfId="0" applyFont="1" applyBorder="1" applyAlignment="1">
      <alignment horizontal="center" vertical="center"/>
    </xf>
    <xf numFmtId="177" fontId="24" fillId="0" borderId="9" xfId="2" applyNumberFormat="1" applyFont="1" applyFill="1" applyBorder="1" applyAlignment="1">
      <alignment horizontal="center" vertical="center"/>
    </xf>
    <xf numFmtId="0" fontId="52" fillId="0" borderId="10" xfId="0" applyFont="1" applyBorder="1" applyAlignment="1">
      <alignment horizontal="center" vertical="center"/>
    </xf>
    <xf numFmtId="0" fontId="53" fillId="5" borderId="11" xfId="0" applyFont="1" applyFill="1" applyBorder="1" applyAlignment="1">
      <alignment horizontal="center" vertical="center"/>
    </xf>
    <xf numFmtId="0" fontId="23" fillId="5" borderId="11" xfId="0" applyFont="1" applyFill="1" applyBorder="1" applyAlignment="1">
      <alignment horizontal="center" vertical="center"/>
    </xf>
    <xf numFmtId="0" fontId="23" fillId="5" borderId="11" xfId="0" applyFont="1" applyFill="1" applyBorder="1" applyAlignment="1">
      <alignment horizontal="left" vertical="center"/>
    </xf>
    <xf numFmtId="0" fontId="23" fillId="5" borderId="11" xfId="0" applyFont="1" applyFill="1" applyBorder="1" applyAlignment="1">
      <alignment horizontal="left" vertical="center" wrapText="1" shrinkToFit="1"/>
    </xf>
    <xf numFmtId="14" fontId="23" fillId="5" borderId="11" xfId="0" applyNumberFormat="1" applyFont="1" applyFill="1" applyBorder="1" applyAlignment="1">
      <alignment horizontal="center" vertical="center"/>
    </xf>
    <xf numFmtId="177" fontId="24" fillId="5" borderId="11" xfId="2" applyNumberFormat="1" applyFont="1" applyFill="1" applyBorder="1" applyAlignment="1">
      <alignment horizontal="center" vertical="center"/>
    </xf>
    <xf numFmtId="177" fontId="24" fillId="5" borderId="1" xfId="2" applyNumberFormat="1" applyFont="1" applyFill="1" applyBorder="1" applyAlignment="1">
      <alignment horizontal="center" vertical="center"/>
    </xf>
    <xf numFmtId="0" fontId="52" fillId="0" borderId="27" xfId="0" applyFont="1" applyBorder="1" applyAlignment="1">
      <alignment horizontal="center" vertical="center"/>
    </xf>
    <xf numFmtId="0" fontId="53" fillId="5" borderId="6" xfId="0" applyFont="1" applyFill="1" applyBorder="1" applyAlignment="1">
      <alignment horizontal="center" vertical="center"/>
    </xf>
    <xf numFmtId="0" fontId="23" fillId="5" borderId="6" xfId="0" applyFont="1" applyFill="1" applyBorder="1" applyAlignment="1">
      <alignment horizontal="center" vertical="center"/>
    </xf>
    <xf numFmtId="0" fontId="23" fillId="5" borderId="6" xfId="0" applyFont="1" applyFill="1" applyBorder="1" applyAlignment="1">
      <alignment horizontal="left" vertical="center"/>
    </xf>
    <xf numFmtId="0" fontId="23" fillId="5" borderId="6" xfId="0" applyFont="1" applyFill="1" applyBorder="1" applyAlignment="1">
      <alignment horizontal="left" vertical="center" wrapText="1" shrinkToFit="1"/>
    </xf>
    <xf numFmtId="14" fontId="23" fillId="5" borderId="6" xfId="0" applyNumberFormat="1" applyFont="1" applyFill="1" applyBorder="1" applyAlignment="1">
      <alignment horizontal="center" vertical="center"/>
    </xf>
    <xf numFmtId="177" fontId="24" fillId="5" borderId="6" xfId="2" applyNumberFormat="1" applyFont="1" applyFill="1" applyBorder="1" applyAlignment="1">
      <alignment horizontal="center" vertical="center"/>
    </xf>
    <xf numFmtId="177" fontId="24" fillId="5" borderId="17" xfId="2" applyNumberFormat="1" applyFont="1" applyFill="1" applyBorder="1" applyAlignment="1">
      <alignment horizontal="center" vertical="center"/>
    </xf>
    <xf numFmtId="177" fontId="24" fillId="5" borderId="9" xfId="2" applyNumberFormat="1" applyFont="1" applyFill="1" applyBorder="1" applyAlignment="1">
      <alignment horizontal="center" vertical="center"/>
    </xf>
    <xf numFmtId="0" fontId="24" fillId="5" borderId="11" xfId="0" applyFont="1" applyFill="1" applyBorder="1" applyAlignment="1">
      <alignment horizontal="center" vertical="center"/>
    </xf>
    <xf numFmtId="0" fontId="23" fillId="0" borderId="3" xfId="0" applyFont="1" applyBorder="1" applyAlignment="1">
      <alignment horizontal="left" vertical="center" wrapText="1"/>
    </xf>
    <xf numFmtId="177" fontId="30" fillId="0" borderId="9" xfId="2" applyNumberFormat="1" applyFont="1" applyFill="1" applyBorder="1" applyAlignment="1">
      <alignment horizontal="center" vertical="center"/>
    </xf>
    <xf numFmtId="0" fontId="53" fillId="0" borderId="11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23" fillId="0" borderId="11" xfId="0" applyFont="1" applyBorder="1" applyAlignment="1">
      <alignment horizontal="left" vertical="center"/>
    </xf>
    <xf numFmtId="14" fontId="23" fillId="0" borderId="11" xfId="0" applyNumberFormat="1" applyFont="1" applyBorder="1" applyAlignment="1">
      <alignment horizontal="center" vertical="center"/>
    </xf>
    <xf numFmtId="177" fontId="24" fillId="0" borderId="11" xfId="2" applyNumberFormat="1" applyFont="1" applyFill="1" applyBorder="1" applyAlignment="1">
      <alignment horizontal="center" vertical="center"/>
    </xf>
    <xf numFmtId="177" fontId="24" fillId="0" borderId="1" xfId="2" applyNumberFormat="1" applyFont="1" applyFill="1" applyBorder="1" applyAlignment="1">
      <alignment horizontal="center" vertical="center"/>
    </xf>
    <xf numFmtId="0" fontId="53" fillId="0" borderId="6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23" fillId="0" borderId="6" xfId="0" applyFont="1" applyBorder="1" applyAlignment="1">
      <alignment horizontal="left" vertical="center"/>
    </xf>
    <xf numFmtId="0" fontId="23" fillId="0" borderId="6" xfId="0" applyFont="1" applyBorder="1" applyAlignment="1">
      <alignment horizontal="left" vertical="center" wrapText="1" shrinkToFit="1"/>
    </xf>
    <xf numFmtId="14" fontId="23" fillId="0" borderId="6" xfId="0" applyNumberFormat="1" applyFont="1" applyBorder="1" applyAlignment="1">
      <alignment horizontal="center" vertical="center"/>
    </xf>
    <xf numFmtId="177" fontId="24" fillId="0" borderId="6" xfId="2" applyNumberFormat="1" applyFont="1" applyFill="1" applyBorder="1" applyAlignment="1">
      <alignment horizontal="center" vertical="center"/>
    </xf>
    <xf numFmtId="177" fontId="24" fillId="0" borderId="17" xfId="2" applyNumberFormat="1" applyFont="1" applyFill="1" applyBorder="1" applyAlignment="1">
      <alignment horizontal="center" vertical="center"/>
    </xf>
    <xf numFmtId="0" fontId="23" fillId="0" borderId="11" xfId="0" applyFont="1" applyBorder="1" applyAlignment="1">
      <alignment horizontal="left" vertical="center" wrapText="1"/>
    </xf>
    <xf numFmtId="0" fontId="23" fillId="5" borderId="11" xfId="0" applyFont="1" applyFill="1" applyBorder="1" applyAlignment="1">
      <alignment horizontal="left" vertical="center" wrapText="1"/>
    </xf>
    <xf numFmtId="10" fontId="39" fillId="0" borderId="0" xfId="2" applyNumberFormat="1" applyFont="1">
      <alignment vertical="center"/>
    </xf>
    <xf numFmtId="0" fontId="0" fillId="5" borderId="0" xfId="0" applyFill="1">
      <alignment vertical="center"/>
    </xf>
    <xf numFmtId="10" fontId="0" fillId="5" borderId="0" xfId="2" applyNumberFormat="1" applyFont="1" applyFill="1">
      <alignment vertical="center"/>
    </xf>
    <xf numFmtId="177" fontId="52" fillId="5" borderId="1" xfId="2" applyNumberFormat="1" applyFont="1" applyFill="1" applyBorder="1" applyAlignment="1">
      <alignment horizontal="center" vertical="center"/>
    </xf>
    <xf numFmtId="0" fontId="4" fillId="5" borderId="0" xfId="0" applyFont="1" applyFill="1">
      <alignment vertical="center"/>
    </xf>
    <xf numFmtId="10" fontId="4" fillId="5" borderId="0" xfId="2" applyNumberFormat="1" applyFont="1" applyFill="1">
      <alignment vertical="center"/>
    </xf>
    <xf numFmtId="0" fontId="52" fillId="0" borderId="24" xfId="0" applyFont="1" applyBorder="1" applyAlignment="1">
      <alignment horizontal="center" vertical="center"/>
    </xf>
    <xf numFmtId="0" fontId="53" fillId="0" borderId="12" xfId="0" applyFont="1" applyBorder="1" applyAlignment="1">
      <alignment horizontal="center" vertical="center"/>
    </xf>
    <xf numFmtId="0" fontId="23" fillId="0" borderId="12" xfId="0" applyFont="1" applyBorder="1" applyAlignment="1">
      <alignment horizontal="center" vertical="center"/>
    </xf>
    <xf numFmtId="0" fontId="23" fillId="0" borderId="12" xfId="0" applyFont="1" applyBorder="1" applyAlignment="1">
      <alignment horizontal="left" vertical="center"/>
    </xf>
    <xf numFmtId="0" fontId="23" fillId="0" borderId="12" xfId="0" applyFont="1" applyBorder="1" applyAlignment="1">
      <alignment horizontal="left" vertical="center" wrapText="1" shrinkToFit="1"/>
    </xf>
    <xf numFmtId="14" fontId="23" fillId="0" borderId="12" xfId="0" applyNumberFormat="1" applyFont="1" applyBorder="1" applyAlignment="1">
      <alignment horizontal="center" vertical="center"/>
    </xf>
    <xf numFmtId="177" fontId="24" fillId="0" borderId="12" xfId="2" applyNumberFormat="1" applyFont="1" applyFill="1" applyBorder="1" applyAlignment="1">
      <alignment horizontal="center" vertical="center"/>
    </xf>
    <xf numFmtId="177" fontId="24" fillId="0" borderId="15" xfId="2" applyNumberFormat="1" applyFont="1" applyFill="1" applyBorder="1" applyAlignment="1">
      <alignment horizontal="center" vertical="center"/>
    </xf>
    <xf numFmtId="0" fontId="52" fillId="0" borderId="2" xfId="0" applyFont="1" applyBorder="1" applyAlignment="1">
      <alignment horizontal="center" vertical="center"/>
    </xf>
    <xf numFmtId="0" fontId="52" fillId="0" borderId="11" xfId="0" applyFont="1" applyBorder="1">
      <alignment vertical="center"/>
    </xf>
    <xf numFmtId="0" fontId="23" fillId="0" borderId="11" xfId="0" applyFont="1" applyBorder="1" applyAlignment="1">
      <alignment horizontal="left" vertical="center" wrapText="1" shrinkToFit="1"/>
    </xf>
    <xf numFmtId="0" fontId="2" fillId="0" borderId="0" xfId="6">
      <alignment vertical="center"/>
    </xf>
    <xf numFmtId="0" fontId="2" fillId="0" borderId="0" xfId="6" applyAlignment="1">
      <alignment horizontal="left" vertical="center"/>
    </xf>
    <xf numFmtId="0" fontId="31" fillId="20" borderId="2" xfId="6" applyFont="1" applyFill="1" applyBorder="1" applyAlignment="1">
      <alignment horizontal="center" vertical="center"/>
    </xf>
    <xf numFmtId="10" fontId="31" fillId="20" borderId="2" xfId="7" applyNumberFormat="1" applyFont="1" applyFill="1" applyBorder="1" applyAlignment="1">
      <alignment horizontal="center" vertical="center"/>
    </xf>
    <xf numFmtId="0" fontId="17" fillId="0" borderId="0" xfId="6" applyFont="1">
      <alignment vertical="center"/>
    </xf>
    <xf numFmtId="0" fontId="26" fillId="5" borderId="2" xfId="6" applyFont="1" applyFill="1" applyBorder="1" applyAlignment="1">
      <alignment horizontal="center" vertical="center" wrapText="1"/>
    </xf>
    <xf numFmtId="0" fontId="54" fillId="0" borderId="0" xfId="6" applyFont="1">
      <alignment vertical="center"/>
    </xf>
    <xf numFmtId="0" fontId="26" fillId="0" borderId="2" xfId="6" applyFont="1" applyBorder="1" applyAlignment="1">
      <alignment horizontal="center" vertical="center" wrapText="1"/>
    </xf>
    <xf numFmtId="0" fontId="26" fillId="0" borderId="2" xfId="6" applyFont="1" applyBorder="1" applyAlignment="1">
      <alignment horizontal="right" vertical="center" wrapText="1"/>
    </xf>
    <xf numFmtId="0" fontId="26" fillId="0" borderId="2" xfId="6" applyFont="1" applyBorder="1" applyAlignment="1">
      <alignment horizontal="left" vertical="center" wrapText="1"/>
    </xf>
    <xf numFmtId="14" fontId="26" fillId="0" borderId="2" xfId="6" applyNumberFormat="1" applyFont="1" applyBorder="1" applyAlignment="1">
      <alignment horizontal="center" vertical="center" wrapText="1"/>
    </xf>
    <xf numFmtId="10" fontId="26" fillId="0" borderId="2" xfId="6" applyNumberFormat="1" applyFont="1" applyBorder="1" applyAlignment="1">
      <alignment horizontal="center" vertical="center"/>
    </xf>
    <xf numFmtId="0" fontId="26" fillId="0" borderId="2" xfId="6" applyFont="1" applyBorder="1" applyAlignment="1">
      <alignment horizontal="center" vertical="center"/>
    </xf>
    <xf numFmtId="0" fontId="26" fillId="0" borderId="2" xfId="6" applyFont="1" applyBorder="1" applyAlignment="1">
      <alignment horizontal="left" vertical="center"/>
    </xf>
    <xf numFmtId="14" fontId="26" fillId="0" borderId="2" xfId="6" applyNumberFormat="1" applyFont="1" applyBorder="1" applyAlignment="1">
      <alignment horizontal="center" vertical="center"/>
    </xf>
    <xf numFmtId="0" fontId="5" fillId="0" borderId="2" xfId="6" applyFont="1" applyBorder="1" applyAlignment="1">
      <alignment horizontal="center" vertical="center"/>
    </xf>
    <xf numFmtId="0" fontId="4" fillId="0" borderId="0" xfId="6" applyFont="1">
      <alignment vertical="center"/>
    </xf>
    <xf numFmtId="0" fontId="26" fillId="7" borderId="2" xfId="6" applyFont="1" applyFill="1" applyBorder="1" applyAlignment="1">
      <alignment horizontal="center" vertical="center" wrapText="1"/>
    </xf>
    <xf numFmtId="0" fontId="26" fillId="7" borderId="2" xfId="6" applyFont="1" applyFill="1" applyBorder="1" applyAlignment="1">
      <alignment horizontal="right" vertical="center" wrapText="1"/>
    </xf>
    <xf numFmtId="0" fontId="26" fillId="7" borderId="2" xfId="6" applyFont="1" applyFill="1" applyBorder="1" applyAlignment="1">
      <alignment horizontal="left" vertical="center" wrapText="1"/>
    </xf>
    <xf numFmtId="14" fontId="5" fillId="7" borderId="2" xfId="6" applyNumberFormat="1" applyFont="1" applyFill="1" applyBorder="1" applyAlignment="1">
      <alignment horizontal="center" vertical="center"/>
    </xf>
    <xf numFmtId="10" fontId="26" fillId="7" borderId="2" xfId="6" applyNumberFormat="1" applyFont="1" applyFill="1" applyBorder="1" applyAlignment="1">
      <alignment horizontal="center" vertical="center"/>
    </xf>
    <xf numFmtId="0" fontId="26" fillId="0" borderId="2" xfId="6" applyFont="1" applyBorder="1" applyAlignment="1">
      <alignment horizontal="right" vertical="center"/>
    </xf>
    <xf numFmtId="0" fontId="5" fillId="0" borderId="0" xfId="6" applyFont="1">
      <alignment vertical="center"/>
    </xf>
    <xf numFmtId="180" fontId="26" fillId="0" borderId="2" xfId="6" applyNumberFormat="1" applyFont="1" applyBorder="1" applyAlignment="1">
      <alignment horizontal="center" vertical="center"/>
    </xf>
    <xf numFmtId="0" fontId="5" fillId="0" borderId="2" xfId="6" applyFont="1" applyBorder="1" applyAlignment="1">
      <alignment horizontal="right" vertical="center"/>
    </xf>
    <xf numFmtId="0" fontId="5" fillId="0" borderId="2" xfId="6" applyFont="1" applyBorder="1" applyAlignment="1">
      <alignment horizontal="left" vertical="center"/>
    </xf>
    <xf numFmtId="0" fontId="56" fillId="0" borderId="2" xfId="6" applyFont="1" applyBorder="1" applyAlignment="1">
      <alignment horizontal="center" vertical="center"/>
    </xf>
    <xf numFmtId="180" fontId="5" fillId="0" borderId="2" xfId="6" applyNumberFormat="1" applyFont="1" applyBorder="1" applyAlignment="1">
      <alignment horizontal="center" vertical="center"/>
    </xf>
    <xf numFmtId="0" fontId="57" fillId="0" borderId="2" xfId="6" applyFont="1" applyBorder="1" applyAlignment="1">
      <alignment horizontal="center" vertical="center"/>
    </xf>
    <xf numFmtId="0" fontId="58" fillId="0" borderId="2" xfId="6" applyFont="1" applyBorder="1" applyAlignment="1">
      <alignment horizontal="center" vertical="center"/>
    </xf>
    <xf numFmtId="0" fontId="29" fillId="0" borderId="2" xfId="6" applyFont="1" applyBorder="1" applyAlignment="1">
      <alignment horizontal="center" vertical="center"/>
    </xf>
    <xf numFmtId="3" fontId="56" fillId="0" borderId="2" xfId="6" applyNumberFormat="1" applyFont="1" applyBorder="1" applyAlignment="1">
      <alignment horizontal="center" vertical="center"/>
    </xf>
    <xf numFmtId="0" fontId="26" fillId="0" borderId="76" xfId="6" applyFont="1" applyBorder="1" applyAlignment="1">
      <alignment horizontal="left" vertical="center"/>
    </xf>
    <xf numFmtId="0" fontId="26" fillId="0" borderId="77" xfId="6" applyFont="1" applyBorder="1" applyAlignment="1">
      <alignment horizontal="center" vertical="center"/>
    </xf>
    <xf numFmtId="0" fontId="26" fillId="0" borderId="78" xfId="6" applyFont="1" applyBorder="1" applyAlignment="1">
      <alignment horizontal="center" vertical="center"/>
    </xf>
    <xf numFmtId="180" fontId="26" fillId="0" borderId="79" xfId="6" applyNumberFormat="1" applyFont="1" applyBorder="1" applyAlignment="1">
      <alignment horizontal="center" vertical="center"/>
    </xf>
    <xf numFmtId="0" fontId="26" fillId="0" borderId="6" xfId="6" applyFont="1" applyBorder="1" applyAlignment="1">
      <alignment horizontal="center" vertical="center"/>
    </xf>
    <xf numFmtId="14" fontId="5" fillId="0" borderId="2" xfId="6" applyNumberFormat="1" applyFont="1" applyBorder="1" applyAlignment="1">
      <alignment horizontal="center" vertical="center"/>
    </xf>
    <xf numFmtId="177" fontId="5" fillId="0" borderId="2" xfId="7" applyNumberFormat="1" applyFont="1" applyFill="1" applyBorder="1" applyAlignment="1">
      <alignment horizontal="center" vertical="center"/>
    </xf>
    <xf numFmtId="3" fontId="26" fillId="0" borderId="2" xfId="6" applyNumberFormat="1" applyFont="1" applyBorder="1" applyAlignment="1">
      <alignment horizontal="center" vertical="center"/>
    </xf>
    <xf numFmtId="10" fontId="26" fillId="0" borderId="2" xfId="6" applyNumberFormat="1" applyFont="1" applyBorder="1" applyAlignment="1">
      <alignment horizontal="center" vertical="center" wrapText="1"/>
    </xf>
    <xf numFmtId="0" fontId="26" fillId="0" borderId="7" xfId="6" applyFont="1" applyBorder="1" applyAlignment="1">
      <alignment horizontal="left" vertical="center"/>
    </xf>
    <xf numFmtId="180" fontId="26" fillId="0" borderId="40" xfId="6" applyNumberFormat="1" applyFont="1" applyBorder="1" applyAlignment="1">
      <alignment horizontal="center" vertical="center"/>
    </xf>
    <xf numFmtId="10" fontId="26" fillId="0" borderId="7" xfId="6" applyNumberFormat="1" applyFont="1" applyBorder="1" applyAlignment="1">
      <alignment horizontal="center" vertical="center"/>
    </xf>
    <xf numFmtId="0" fontId="26" fillId="0" borderId="26" xfId="6" applyFont="1" applyBorder="1" applyAlignment="1">
      <alignment horizontal="center" vertical="center"/>
    </xf>
    <xf numFmtId="14" fontId="26" fillId="0" borderId="40" xfId="6" applyNumberFormat="1" applyFont="1" applyBorder="1" applyAlignment="1">
      <alignment horizontal="center" vertical="center"/>
    </xf>
    <xf numFmtId="180" fontId="26" fillId="0" borderId="80" xfId="6" applyNumberFormat="1" applyFont="1" applyBorder="1" applyAlignment="1">
      <alignment horizontal="center" vertical="center"/>
    </xf>
    <xf numFmtId="180" fontId="26" fillId="0" borderId="78" xfId="6" applyNumberFormat="1" applyFont="1" applyBorder="1" applyAlignment="1">
      <alignment horizontal="center" vertical="center"/>
    </xf>
    <xf numFmtId="180" fontId="26" fillId="0" borderId="77" xfId="6" applyNumberFormat="1" applyFont="1" applyBorder="1" applyAlignment="1">
      <alignment horizontal="center" vertical="center"/>
    </xf>
    <xf numFmtId="3" fontId="26" fillId="0" borderId="77" xfId="6" applyNumberFormat="1" applyFont="1" applyBorder="1" applyAlignment="1">
      <alignment horizontal="center" vertical="center"/>
    </xf>
    <xf numFmtId="0" fontId="26" fillId="0" borderId="6" xfId="6" applyFont="1" applyBorder="1" applyAlignment="1">
      <alignment horizontal="right" vertical="center"/>
    </xf>
    <xf numFmtId="10" fontId="26" fillId="0" borderId="6" xfId="6" applyNumberFormat="1" applyFont="1" applyBorder="1" applyAlignment="1">
      <alignment horizontal="center" vertical="center"/>
    </xf>
    <xf numFmtId="0" fontId="26" fillId="0" borderId="2" xfId="8" applyFont="1" applyBorder="1" applyAlignment="1">
      <alignment horizontal="center" vertical="center" wrapText="1"/>
    </xf>
    <xf numFmtId="0" fontId="26" fillId="0" borderId="2" xfId="8" applyFont="1" applyBorder="1" applyAlignment="1">
      <alignment horizontal="right" vertical="center" wrapText="1"/>
    </xf>
    <xf numFmtId="0" fontId="26" fillId="0" borderId="2" xfId="8" applyFont="1" applyBorder="1" applyAlignment="1">
      <alignment horizontal="left" vertical="center" wrapText="1"/>
    </xf>
    <xf numFmtId="14" fontId="26" fillId="0" borderId="2" xfId="8" applyNumberFormat="1" applyFont="1" applyBorder="1" applyAlignment="1">
      <alignment horizontal="center" vertical="center" wrapText="1"/>
    </xf>
    <xf numFmtId="0" fontId="5" fillId="0" borderId="2" xfId="8" applyFont="1" applyBorder="1" applyAlignment="1">
      <alignment horizontal="left" vertical="center"/>
    </xf>
    <xf numFmtId="0" fontId="5" fillId="0" borderId="2" xfId="8" applyFont="1" applyBorder="1" applyAlignment="1">
      <alignment horizontal="center" vertical="center"/>
    </xf>
    <xf numFmtId="14" fontId="5" fillId="0" borderId="2" xfId="8" applyNumberFormat="1" applyFont="1" applyBorder="1" applyAlignment="1">
      <alignment horizontal="center" vertical="center"/>
    </xf>
    <xf numFmtId="0" fontId="31" fillId="2" borderId="6" xfId="6" applyFont="1" applyFill="1" applyBorder="1" applyAlignment="1">
      <alignment horizontal="center" vertical="center"/>
    </xf>
    <xf numFmtId="0" fontId="55" fillId="2" borderId="6" xfId="6" applyFont="1" applyFill="1" applyBorder="1" applyAlignment="1">
      <alignment horizontal="center" vertical="center"/>
    </xf>
    <xf numFmtId="0" fontId="31" fillId="21" borderId="6" xfId="6" applyFont="1" applyFill="1" applyBorder="1" applyAlignment="1">
      <alignment horizontal="center" vertical="center"/>
    </xf>
    <xf numFmtId="0" fontId="31" fillId="2" borderId="6" xfId="6" applyFont="1" applyFill="1" applyBorder="1" applyAlignment="1">
      <alignment horizontal="center" vertical="center" shrinkToFit="1"/>
    </xf>
    <xf numFmtId="0" fontId="31" fillId="2" borderId="6" xfId="6" applyFont="1" applyFill="1" applyBorder="1">
      <alignment vertical="center"/>
    </xf>
    <xf numFmtId="0" fontId="2" fillId="0" borderId="4" xfId="6" applyBorder="1" applyAlignment="1">
      <alignment horizontal="center" vertical="center"/>
    </xf>
    <xf numFmtId="0" fontId="26" fillId="0" borderId="3" xfId="6" applyFont="1" applyBorder="1" applyAlignment="1">
      <alignment horizontal="center" vertical="center"/>
    </xf>
    <xf numFmtId="0" fontId="26" fillId="0" borderId="3" xfId="6" applyFont="1" applyBorder="1" applyAlignment="1">
      <alignment horizontal="right" vertical="center"/>
    </xf>
    <xf numFmtId="0" fontId="26" fillId="0" borderId="3" xfId="6" applyFont="1" applyBorder="1" applyAlignment="1">
      <alignment horizontal="left" vertical="center"/>
    </xf>
    <xf numFmtId="14" fontId="26" fillId="0" borderId="3" xfId="6" applyNumberFormat="1" applyFont="1" applyBorder="1" applyAlignment="1">
      <alignment horizontal="center" vertical="center"/>
    </xf>
    <xf numFmtId="0" fontId="5" fillId="0" borderId="3" xfId="6" applyFont="1" applyBorder="1" applyAlignment="1">
      <alignment horizontal="center" vertical="center"/>
    </xf>
    <xf numFmtId="177" fontId="5" fillId="0" borderId="3" xfId="7" applyNumberFormat="1" applyFont="1" applyFill="1" applyBorder="1" applyAlignment="1">
      <alignment horizontal="center" vertical="center"/>
    </xf>
    <xf numFmtId="177" fontId="5" fillId="0" borderId="5" xfId="7" applyNumberFormat="1" applyFont="1" applyFill="1" applyBorder="1" applyAlignment="1">
      <alignment horizontal="center" vertical="center"/>
    </xf>
    <xf numFmtId="0" fontId="2" fillId="0" borderId="8" xfId="6" applyBorder="1" applyAlignment="1">
      <alignment horizontal="center" vertical="center"/>
    </xf>
    <xf numFmtId="177" fontId="5" fillId="0" borderId="9" xfId="7" applyNumberFormat="1" applyFont="1" applyFill="1" applyBorder="1" applyAlignment="1">
      <alignment horizontal="center" vertical="center"/>
    </xf>
    <xf numFmtId="0" fontId="2" fillId="0" borderId="10" xfId="6" applyBorder="1" applyAlignment="1">
      <alignment horizontal="center" vertical="center"/>
    </xf>
    <xf numFmtId="0" fontId="26" fillId="0" borderId="11" xfId="6" applyFont="1" applyBorder="1" applyAlignment="1">
      <alignment horizontal="center" vertical="center"/>
    </xf>
    <xf numFmtId="0" fontId="26" fillId="0" borderId="11" xfId="6" applyFont="1" applyBorder="1" applyAlignment="1">
      <alignment horizontal="right" vertical="center"/>
    </xf>
    <xf numFmtId="0" fontId="26" fillId="0" borderId="11" xfId="6" applyFont="1" applyBorder="1" applyAlignment="1">
      <alignment horizontal="left" vertical="center"/>
    </xf>
    <xf numFmtId="0" fontId="5" fillId="0" borderId="11" xfId="6" applyFont="1" applyBorder="1" applyAlignment="1">
      <alignment horizontal="center" vertical="center"/>
    </xf>
    <xf numFmtId="0" fontId="2" fillId="0" borderId="27" xfId="6" applyBorder="1" applyAlignment="1">
      <alignment horizontal="center" vertical="center"/>
    </xf>
    <xf numFmtId="0" fontId="26" fillId="0" borderId="6" xfId="6" applyFont="1" applyBorder="1" applyAlignment="1">
      <alignment horizontal="left" vertical="center"/>
    </xf>
    <xf numFmtId="14" fontId="26" fillId="0" borderId="6" xfId="6" applyNumberFormat="1" applyFont="1" applyBorder="1" applyAlignment="1">
      <alignment horizontal="center" vertical="center"/>
    </xf>
    <xf numFmtId="0" fontId="5" fillId="0" borderId="6" xfId="6" applyFont="1" applyBorder="1" applyAlignment="1">
      <alignment horizontal="center" vertical="center"/>
    </xf>
    <xf numFmtId="177" fontId="5" fillId="0" borderId="6" xfId="7" applyNumberFormat="1" applyFont="1" applyFill="1" applyBorder="1" applyAlignment="1">
      <alignment horizontal="center" vertical="center"/>
    </xf>
    <xf numFmtId="177" fontId="5" fillId="0" borderId="17" xfId="7" applyNumberFormat="1" applyFont="1" applyFill="1" applyBorder="1" applyAlignment="1">
      <alignment horizontal="center" vertical="center"/>
    </xf>
    <xf numFmtId="180" fontId="26" fillId="0" borderId="6" xfId="6" applyNumberFormat="1" applyFont="1" applyBorder="1" applyAlignment="1">
      <alignment horizontal="center" vertical="center"/>
    </xf>
    <xf numFmtId="180" fontId="26" fillId="0" borderId="3" xfId="6" applyNumberFormat="1" applyFont="1" applyBorder="1" applyAlignment="1">
      <alignment horizontal="center" vertical="center"/>
    </xf>
    <xf numFmtId="10" fontId="26" fillId="0" borderId="3" xfId="6" applyNumberFormat="1" applyFont="1" applyBorder="1" applyAlignment="1">
      <alignment horizontal="center" vertical="center"/>
    </xf>
    <xf numFmtId="10" fontId="26" fillId="0" borderId="5" xfId="6" applyNumberFormat="1" applyFont="1" applyBorder="1" applyAlignment="1">
      <alignment horizontal="center" vertical="center"/>
    </xf>
    <xf numFmtId="10" fontId="26" fillId="0" borderId="9" xfId="6" applyNumberFormat="1" applyFont="1" applyBorder="1" applyAlignment="1">
      <alignment horizontal="center" vertical="center"/>
    </xf>
    <xf numFmtId="180" fontId="26" fillId="0" borderId="11" xfId="6" applyNumberFormat="1" applyFont="1" applyBorder="1" applyAlignment="1">
      <alignment horizontal="center" vertical="center"/>
    </xf>
    <xf numFmtId="10" fontId="26" fillId="0" borderId="11" xfId="6" applyNumberFormat="1" applyFont="1" applyBorder="1" applyAlignment="1">
      <alignment horizontal="center" vertical="center"/>
    </xf>
    <xf numFmtId="10" fontId="26" fillId="0" borderId="1" xfId="6" applyNumberFormat="1" applyFont="1" applyBorder="1" applyAlignment="1">
      <alignment horizontal="center" vertical="center"/>
    </xf>
    <xf numFmtId="10" fontId="26" fillId="0" borderId="9" xfId="6" applyNumberFormat="1" applyFont="1" applyBorder="1" applyAlignment="1">
      <alignment horizontal="center" vertical="center" wrapText="1"/>
    </xf>
    <xf numFmtId="10" fontId="26" fillId="0" borderId="17" xfId="6" applyNumberFormat="1" applyFont="1" applyBorder="1" applyAlignment="1">
      <alignment horizontal="center" vertical="center"/>
    </xf>
    <xf numFmtId="0" fontId="5" fillId="0" borderId="3" xfId="6" applyFont="1" applyBorder="1" applyAlignment="1">
      <alignment horizontal="right" vertical="center"/>
    </xf>
    <xf numFmtId="0" fontId="5" fillId="0" borderId="3" xfId="6" applyFont="1" applyBorder="1" applyAlignment="1">
      <alignment horizontal="left" vertical="center"/>
    </xf>
    <xf numFmtId="0" fontId="56" fillId="0" borderId="3" xfId="6" applyFont="1" applyBorder="1" applyAlignment="1">
      <alignment horizontal="center" vertical="center"/>
    </xf>
    <xf numFmtId="180" fontId="5" fillId="0" borderId="3" xfId="6" applyNumberFormat="1" applyFont="1" applyBorder="1" applyAlignment="1">
      <alignment horizontal="center" vertical="center"/>
    </xf>
    <xf numFmtId="0" fontId="57" fillId="0" borderId="3" xfId="6" applyFont="1" applyBorder="1" applyAlignment="1">
      <alignment horizontal="center" vertical="center"/>
    </xf>
    <xf numFmtId="0" fontId="4" fillId="0" borderId="8" xfId="6" applyFont="1" applyBorder="1" applyAlignment="1">
      <alignment horizontal="center" vertical="center"/>
    </xf>
    <xf numFmtId="0" fontId="5" fillId="0" borderId="11" xfId="6" applyFont="1" applyBorder="1" applyAlignment="1">
      <alignment horizontal="right" vertical="center"/>
    </xf>
    <xf numFmtId="0" fontId="5" fillId="0" borderId="11" xfId="6" applyFont="1" applyBorder="1" applyAlignment="1">
      <alignment horizontal="left" vertical="center"/>
    </xf>
    <xf numFmtId="180" fontId="5" fillId="0" borderId="11" xfId="6" applyNumberFormat="1" applyFont="1" applyBorder="1" applyAlignment="1">
      <alignment horizontal="center" vertical="center"/>
    </xf>
    <xf numFmtId="0" fontId="58" fillId="0" borderId="11" xfId="6" applyFont="1" applyBorder="1" applyAlignment="1">
      <alignment horizontal="center" vertical="center"/>
    </xf>
    <xf numFmtId="10" fontId="26" fillId="0" borderId="11" xfId="6" applyNumberFormat="1" applyFont="1" applyBorder="1" applyAlignment="1">
      <alignment horizontal="center" vertical="center" wrapText="1"/>
    </xf>
    <xf numFmtId="10" fontId="26" fillId="0" borderId="1" xfId="6" applyNumberFormat="1" applyFont="1" applyBorder="1" applyAlignment="1">
      <alignment horizontal="center" vertical="center" wrapText="1"/>
    </xf>
    <xf numFmtId="3" fontId="26" fillId="0" borderId="3" xfId="6" applyNumberFormat="1" applyFont="1" applyBorder="1" applyAlignment="1">
      <alignment horizontal="center" vertical="center"/>
    </xf>
    <xf numFmtId="3" fontId="26" fillId="0" borderId="11" xfId="6" applyNumberFormat="1" applyFont="1" applyBorder="1" applyAlignment="1">
      <alignment horizontal="center" vertical="center"/>
    </xf>
    <xf numFmtId="0" fontId="57" fillId="0" borderId="11" xfId="6" applyFont="1" applyBorder="1" applyAlignment="1">
      <alignment horizontal="center" vertical="center"/>
    </xf>
    <xf numFmtId="0" fontId="2" fillId="0" borderId="63" xfId="6" applyBorder="1" applyAlignment="1">
      <alignment horizontal="center" vertical="center"/>
    </xf>
    <xf numFmtId="0" fontId="2" fillId="0" borderId="62" xfId="6" applyBorder="1" applyAlignment="1">
      <alignment horizontal="center" vertical="center"/>
    </xf>
    <xf numFmtId="0" fontId="4" fillId="0" borderId="62" xfId="6" applyFont="1" applyBorder="1" applyAlignment="1">
      <alignment horizontal="center" vertical="center"/>
    </xf>
    <xf numFmtId="0" fontId="2" fillId="0" borderId="73" xfId="6" applyBorder="1" applyAlignment="1">
      <alignment horizontal="center" vertical="center"/>
    </xf>
    <xf numFmtId="0" fontId="2" fillId="0" borderId="81" xfId="6" applyBorder="1" applyAlignment="1">
      <alignment horizontal="center" vertical="center"/>
    </xf>
    <xf numFmtId="0" fontId="26" fillId="0" borderId="6" xfId="6" applyFont="1" applyBorder="1" applyAlignment="1">
      <alignment horizontal="right" vertical="center" wrapText="1"/>
    </xf>
    <xf numFmtId="0" fontId="26" fillId="0" borderId="41" xfId="6" applyFont="1" applyBorder="1" applyAlignment="1">
      <alignment horizontal="left" vertical="center"/>
    </xf>
    <xf numFmtId="3" fontId="26" fillId="0" borderId="18" xfId="6" applyNumberFormat="1" applyFont="1" applyBorder="1" applyAlignment="1">
      <alignment horizontal="center" vertical="center"/>
    </xf>
    <xf numFmtId="180" fontId="26" fillId="0" borderId="39" xfId="6" applyNumberFormat="1" applyFont="1" applyBorder="1" applyAlignment="1">
      <alignment horizontal="center" vertical="center"/>
    </xf>
    <xf numFmtId="10" fontId="26" fillId="0" borderId="41" xfId="6" applyNumberFormat="1" applyFont="1" applyBorder="1" applyAlignment="1">
      <alignment horizontal="center" vertical="center"/>
    </xf>
    <xf numFmtId="0" fontId="26" fillId="0" borderId="82" xfId="6" applyFont="1" applyBorder="1" applyAlignment="1">
      <alignment horizontal="left" vertical="center"/>
    </xf>
    <xf numFmtId="0" fontId="26" fillId="0" borderId="83" xfId="6" applyFont="1" applyBorder="1" applyAlignment="1">
      <alignment horizontal="center" vertical="center"/>
    </xf>
    <xf numFmtId="180" fontId="26" fillId="0" borderId="83" xfId="6" applyNumberFormat="1" applyFont="1" applyBorder="1" applyAlignment="1">
      <alignment horizontal="center" vertical="center"/>
    </xf>
    <xf numFmtId="180" fontId="26" fillId="0" borderId="84" xfId="6" applyNumberFormat="1" applyFont="1" applyBorder="1" applyAlignment="1">
      <alignment horizontal="center" vertical="center"/>
    </xf>
    <xf numFmtId="10" fontId="26" fillId="0" borderId="43" xfId="6" applyNumberFormat="1" applyFont="1" applyBorder="1" applyAlignment="1">
      <alignment horizontal="center" vertical="center"/>
    </xf>
    <xf numFmtId="0" fontId="26" fillId="0" borderId="3" xfId="6" applyFont="1" applyBorder="1" applyAlignment="1">
      <alignment horizontal="center" vertical="center" wrapText="1"/>
    </xf>
    <xf numFmtId="0" fontId="26" fillId="0" borderId="3" xfId="6" applyFont="1" applyBorder="1" applyAlignment="1">
      <alignment horizontal="right" vertical="center" wrapText="1"/>
    </xf>
    <xf numFmtId="0" fontId="26" fillId="0" borderId="3" xfId="6" applyFont="1" applyBorder="1" applyAlignment="1">
      <alignment horizontal="left" vertical="center" wrapText="1"/>
    </xf>
    <xf numFmtId="14" fontId="26" fillId="0" borderId="3" xfId="6" applyNumberFormat="1" applyFont="1" applyBorder="1" applyAlignment="1">
      <alignment horizontal="center" vertical="center" wrapText="1"/>
    </xf>
    <xf numFmtId="0" fontId="26" fillId="0" borderId="11" xfId="6" applyFont="1" applyBorder="1" applyAlignment="1">
      <alignment horizontal="center" vertical="center" wrapText="1"/>
    </xf>
    <xf numFmtId="0" fontId="26" fillId="0" borderId="11" xfId="6" applyFont="1" applyBorder="1" applyAlignment="1">
      <alignment horizontal="right" vertical="center" wrapText="1"/>
    </xf>
    <xf numFmtId="0" fontId="26" fillId="0" borderId="11" xfId="6" applyFont="1" applyBorder="1" applyAlignment="1">
      <alignment horizontal="left" vertical="center" wrapText="1"/>
    </xf>
    <xf numFmtId="14" fontId="26" fillId="0" borderId="11" xfId="6" applyNumberFormat="1" applyFont="1" applyBorder="1" applyAlignment="1">
      <alignment horizontal="center" vertical="center" wrapText="1"/>
    </xf>
    <xf numFmtId="0" fontId="26" fillId="0" borderId="3" xfId="8" applyFont="1" applyBorder="1" applyAlignment="1">
      <alignment horizontal="center" vertical="center" wrapText="1"/>
    </xf>
    <xf numFmtId="0" fontId="26" fillId="0" borderId="3" xfId="8" applyFont="1" applyBorder="1" applyAlignment="1">
      <alignment horizontal="right" vertical="center" wrapText="1"/>
    </xf>
    <xf numFmtId="0" fontId="26" fillId="0" borderId="3" xfId="8" applyFont="1" applyBorder="1" applyAlignment="1">
      <alignment horizontal="left" vertical="center" wrapText="1"/>
    </xf>
    <xf numFmtId="14" fontId="26" fillId="0" borderId="3" xfId="8" applyNumberFormat="1" applyFont="1" applyBorder="1" applyAlignment="1">
      <alignment horizontal="center" vertical="center" wrapText="1"/>
    </xf>
    <xf numFmtId="0" fontId="26" fillId="0" borderId="11" xfId="8" applyFont="1" applyBorder="1" applyAlignment="1">
      <alignment horizontal="center" vertical="center" wrapText="1"/>
    </xf>
    <xf numFmtId="0" fontId="26" fillId="0" borderId="11" xfId="8" applyFont="1" applyBorder="1" applyAlignment="1">
      <alignment horizontal="right" vertical="center" wrapText="1"/>
    </xf>
    <xf numFmtId="0" fontId="5" fillId="0" borderId="11" xfId="8" applyFont="1" applyBorder="1" applyAlignment="1">
      <alignment horizontal="left" vertical="center"/>
    </xf>
    <xf numFmtId="0" fontId="5" fillId="0" borderId="11" xfId="8" applyFont="1" applyBorder="1" applyAlignment="1">
      <alignment horizontal="center" vertical="center"/>
    </xf>
    <xf numFmtId="14" fontId="5" fillId="0" borderId="11" xfId="8" applyNumberFormat="1" applyFont="1" applyBorder="1" applyAlignment="1">
      <alignment horizontal="center" vertical="center"/>
    </xf>
    <xf numFmtId="0" fontId="26" fillId="0" borderId="0" xfId="6" applyFont="1" applyAlignment="1">
      <alignment horizontal="center" vertical="center" wrapText="1"/>
    </xf>
    <xf numFmtId="0" fontId="26" fillId="0" borderId="29" xfId="6" applyFont="1" applyBorder="1" applyAlignment="1">
      <alignment horizontal="center" vertical="center" wrapText="1"/>
    </xf>
    <xf numFmtId="0" fontId="26" fillId="0" borderId="19" xfId="6" applyFont="1" applyBorder="1" applyAlignment="1">
      <alignment horizontal="center" vertical="center" wrapText="1"/>
    </xf>
    <xf numFmtId="0" fontId="26" fillId="0" borderId="45" xfId="6" applyFont="1" applyBorder="1" applyAlignment="1">
      <alignment horizontal="left" vertical="center" wrapText="1"/>
    </xf>
    <xf numFmtId="14" fontId="26" fillId="0" borderId="45" xfId="6" applyNumberFormat="1" applyFont="1" applyBorder="1" applyAlignment="1">
      <alignment horizontal="center" vertical="center" wrapText="1"/>
    </xf>
    <xf numFmtId="14" fontId="26" fillId="0" borderId="19" xfId="6" applyNumberFormat="1" applyFont="1" applyBorder="1" applyAlignment="1">
      <alignment horizontal="center" vertical="center" wrapText="1"/>
    </xf>
    <xf numFmtId="0" fontId="26" fillId="0" borderId="45" xfId="6" applyFont="1" applyBorder="1" applyAlignment="1">
      <alignment horizontal="center" vertical="center" wrapText="1"/>
    </xf>
    <xf numFmtId="10" fontId="26" fillId="0" borderId="19" xfId="6" applyNumberFormat="1" applyFont="1" applyBorder="1" applyAlignment="1">
      <alignment horizontal="center" vertical="center"/>
    </xf>
    <xf numFmtId="10" fontId="26" fillId="0" borderId="20" xfId="6" applyNumberFormat="1" applyFont="1" applyBorder="1" applyAlignment="1">
      <alignment horizontal="center" vertical="center"/>
    </xf>
    <xf numFmtId="10" fontId="26" fillId="7" borderId="9" xfId="6" applyNumberFormat="1" applyFont="1" applyFill="1" applyBorder="1" applyAlignment="1">
      <alignment horizontal="center" vertical="center"/>
    </xf>
    <xf numFmtId="0" fontId="26" fillId="7" borderId="11" xfId="6" applyFont="1" applyFill="1" applyBorder="1" applyAlignment="1">
      <alignment horizontal="center" vertical="center" wrapText="1"/>
    </xf>
    <xf numFmtId="0" fontId="26" fillId="5" borderId="11" xfId="6" applyFont="1" applyFill="1" applyBorder="1" applyAlignment="1">
      <alignment horizontal="center" vertical="center" wrapText="1"/>
    </xf>
    <xf numFmtId="0" fontId="26" fillId="7" borderId="11" xfId="6" applyFont="1" applyFill="1" applyBorder="1" applyAlignment="1">
      <alignment horizontal="right" vertical="center" wrapText="1"/>
    </xf>
    <xf numFmtId="0" fontId="26" fillId="7" borderId="11" xfId="6" applyFont="1" applyFill="1" applyBorder="1" applyAlignment="1">
      <alignment horizontal="left" vertical="center" wrapText="1"/>
    </xf>
    <xf numFmtId="14" fontId="5" fillId="7" borderId="11" xfId="6" applyNumberFormat="1" applyFont="1" applyFill="1" applyBorder="1" applyAlignment="1">
      <alignment horizontal="center" vertical="center"/>
    </xf>
    <xf numFmtId="10" fontId="26" fillId="7" borderId="11" xfId="6" applyNumberFormat="1" applyFont="1" applyFill="1" applyBorder="1" applyAlignment="1">
      <alignment horizontal="center" vertical="center"/>
    </xf>
    <xf numFmtId="10" fontId="26" fillId="7" borderId="1" xfId="6" applyNumberFormat="1" applyFont="1" applyFill="1" applyBorder="1" applyAlignment="1">
      <alignment horizontal="center" vertical="center"/>
    </xf>
    <xf numFmtId="0" fontId="5" fillId="0" borderId="10" xfId="6" applyFont="1" applyBorder="1" applyAlignment="1">
      <alignment horizontal="center" vertical="center"/>
    </xf>
    <xf numFmtId="0" fontId="5" fillId="0" borderId="11" xfId="6" applyFont="1" applyBorder="1" applyAlignment="1">
      <alignment horizontal="center" vertical="center" wrapText="1"/>
    </xf>
    <xf numFmtId="14" fontId="5" fillId="0" borderId="11" xfId="6" applyNumberFormat="1" applyFont="1" applyBorder="1" applyAlignment="1">
      <alignment horizontal="center" vertical="center"/>
    </xf>
    <xf numFmtId="9" fontId="5" fillId="0" borderId="11" xfId="7" applyFont="1" applyBorder="1" applyAlignment="1">
      <alignment horizontal="center" vertical="center"/>
    </xf>
    <xf numFmtId="9" fontId="5" fillId="0" borderId="1" xfId="7" applyFont="1" applyBorder="1" applyAlignment="1">
      <alignment horizontal="center" vertical="center"/>
    </xf>
    <xf numFmtId="177" fontId="5" fillId="0" borderId="0" xfId="7" applyNumberFormat="1" applyFont="1" applyFill="1" applyBorder="1" applyAlignment="1">
      <alignment horizontal="center" vertical="center"/>
    </xf>
    <xf numFmtId="0" fontId="0" fillId="0" borderId="85" xfId="0" applyBorder="1">
      <alignment vertical="center"/>
    </xf>
    <xf numFmtId="0" fontId="0" fillId="0" borderId="86" xfId="0" applyBorder="1">
      <alignment vertical="center"/>
    </xf>
    <xf numFmtId="0" fontId="0" fillId="0" borderId="87" xfId="0" applyBorder="1">
      <alignment vertical="center"/>
    </xf>
    <xf numFmtId="0" fontId="0" fillId="0" borderId="88" xfId="0" applyBorder="1">
      <alignment vertical="center"/>
    </xf>
    <xf numFmtId="0" fontId="0" fillId="0" borderId="89" xfId="0" applyBorder="1">
      <alignment vertical="center"/>
    </xf>
    <xf numFmtId="0" fontId="0" fillId="0" borderId="90" xfId="0" applyBorder="1">
      <alignment vertical="center"/>
    </xf>
    <xf numFmtId="0" fontId="0" fillId="0" borderId="91" xfId="0" applyBorder="1">
      <alignment vertical="center"/>
    </xf>
    <xf numFmtId="0" fontId="0" fillId="0" borderId="92" xfId="0" applyBorder="1">
      <alignment vertical="center"/>
    </xf>
    <xf numFmtId="0" fontId="0" fillId="0" borderId="93" xfId="0" applyBorder="1">
      <alignment vertical="center"/>
    </xf>
    <xf numFmtId="10" fontId="26" fillId="0" borderId="0" xfId="6" applyNumberFormat="1" applyFont="1" applyAlignment="1">
      <alignment horizontal="center" vertical="center"/>
    </xf>
    <xf numFmtId="10" fontId="26" fillId="0" borderId="0" xfId="6" applyNumberFormat="1" applyFont="1" applyAlignment="1">
      <alignment horizontal="center" vertical="center" wrapText="1"/>
    </xf>
    <xf numFmtId="10" fontId="26" fillId="7" borderId="0" xfId="6" applyNumberFormat="1" applyFont="1" applyFill="1" applyAlignment="1">
      <alignment horizontal="center" vertical="center"/>
    </xf>
    <xf numFmtId="0" fontId="5" fillId="0" borderId="0" xfId="7" applyNumberFormat="1" applyFont="1" applyFill="1" applyBorder="1" applyAlignment="1">
      <alignment horizontal="center" vertical="center"/>
    </xf>
    <xf numFmtId="0" fontId="0" fillId="10" borderId="30" xfId="0" applyFill="1" applyBorder="1">
      <alignment vertical="center"/>
    </xf>
    <xf numFmtId="0" fontId="26" fillId="0" borderId="3" xfId="0" applyFont="1" applyBorder="1" applyAlignment="1">
      <alignment horizontal="right" vertical="center" wrapText="1"/>
    </xf>
    <xf numFmtId="10" fontId="26" fillId="0" borderId="5" xfId="0" applyNumberFormat="1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 wrapText="1"/>
    </xf>
    <xf numFmtId="10" fontId="26" fillId="0" borderId="9" xfId="0" applyNumberFormat="1" applyFont="1" applyBorder="1" applyAlignment="1">
      <alignment horizontal="center" vertical="center"/>
    </xf>
    <xf numFmtId="10" fontId="5" fillId="0" borderId="9" xfId="2" applyNumberFormat="1" applyFont="1" applyFill="1" applyBorder="1" applyAlignment="1">
      <alignment horizontal="center" vertical="center"/>
    </xf>
    <xf numFmtId="0" fontId="26" fillId="0" borderId="7" xfId="0" applyFont="1" applyBorder="1" applyAlignment="1">
      <alignment horizontal="center" vertical="center" wrapText="1"/>
    </xf>
    <xf numFmtId="0" fontId="26" fillId="0" borderId="41" xfId="0" applyFont="1" applyBorder="1">
      <alignment vertical="center"/>
    </xf>
    <xf numFmtId="0" fontId="26" fillId="0" borderId="7" xfId="0" applyFont="1" applyBorder="1" applyAlignment="1">
      <alignment horizontal="left" vertical="center" wrapText="1"/>
    </xf>
    <xf numFmtId="0" fontId="26" fillId="0" borderId="7" xfId="0" applyFont="1" applyBorder="1">
      <alignment vertical="center"/>
    </xf>
    <xf numFmtId="14" fontId="26" fillId="0" borderId="7" xfId="0" applyNumberFormat="1" applyFont="1" applyBorder="1" applyAlignment="1">
      <alignment horizontal="center" vertical="center" wrapText="1"/>
    </xf>
    <xf numFmtId="14" fontId="26" fillId="0" borderId="2" xfId="0" applyNumberFormat="1" applyFont="1" applyBorder="1" applyAlignment="1">
      <alignment horizontal="center" vertical="center" wrapText="1"/>
    </xf>
    <xf numFmtId="10" fontId="26" fillId="0" borderId="41" xfId="0" applyNumberFormat="1" applyFont="1" applyBorder="1" applyAlignment="1">
      <alignment horizontal="center" vertical="center"/>
    </xf>
    <xf numFmtId="10" fontId="26" fillId="0" borderId="7" xfId="0" applyNumberFormat="1" applyFont="1" applyBorder="1" applyAlignment="1">
      <alignment horizontal="center" vertical="center"/>
    </xf>
    <xf numFmtId="10" fontId="5" fillId="0" borderId="7" xfId="2" applyNumberFormat="1" applyFont="1" applyFill="1" applyBorder="1" applyAlignment="1">
      <alignment horizontal="center" vertical="center"/>
    </xf>
    <xf numFmtId="0" fontId="31" fillId="20" borderId="6" xfId="6" applyFont="1" applyFill="1" applyBorder="1" applyAlignment="1">
      <alignment horizontal="center" vertical="center"/>
    </xf>
    <xf numFmtId="10" fontId="31" fillId="20" borderId="6" xfId="7" applyNumberFormat="1" applyFont="1" applyFill="1" applyBorder="1" applyAlignment="1">
      <alignment horizontal="center" vertical="center"/>
    </xf>
    <xf numFmtId="0" fontId="31" fillId="2" borderId="30" xfId="6" applyFont="1" applyFill="1" applyBorder="1" applyAlignment="1">
      <alignment horizontal="center" vertical="center"/>
    </xf>
    <xf numFmtId="0" fontId="31" fillId="2" borderId="74" xfId="6" applyFont="1" applyFill="1" applyBorder="1" applyAlignment="1">
      <alignment horizontal="center" vertical="center"/>
    </xf>
    <xf numFmtId="0" fontId="55" fillId="2" borderId="74" xfId="6" applyFont="1" applyFill="1" applyBorder="1" applyAlignment="1">
      <alignment horizontal="center" vertical="center"/>
    </xf>
    <xf numFmtId="0" fontId="31" fillId="21" borderId="74" xfId="6" applyFont="1" applyFill="1" applyBorder="1" applyAlignment="1">
      <alignment horizontal="center" vertical="center"/>
    </xf>
    <xf numFmtId="0" fontId="31" fillId="2" borderId="74" xfId="6" applyFont="1" applyFill="1" applyBorder="1" applyAlignment="1">
      <alignment horizontal="center" vertical="center" shrinkToFit="1"/>
    </xf>
    <xf numFmtId="0" fontId="31" fillId="2" borderId="74" xfId="6" applyFont="1" applyFill="1" applyBorder="1">
      <alignment vertical="center"/>
    </xf>
    <xf numFmtId="0" fontId="31" fillId="2" borderId="28" xfId="6" applyFont="1" applyFill="1" applyBorder="1" applyAlignment="1">
      <alignment horizontal="center" vertical="center"/>
    </xf>
    <xf numFmtId="0" fontId="26" fillId="0" borderId="6" xfId="0" applyFont="1" applyBorder="1" applyAlignment="1">
      <alignment horizontal="right" vertical="center" wrapText="1"/>
    </xf>
    <xf numFmtId="0" fontId="26" fillId="0" borderId="45" xfId="0" applyFont="1" applyBorder="1">
      <alignment vertical="center"/>
    </xf>
    <xf numFmtId="10" fontId="5" fillId="0" borderId="45" xfId="2" applyNumberFormat="1" applyFont="1" applyFill="1" applyBorder="1" applyAlignment="1">
      <alignment horizontal="center" vertical="center"/>
    </xf>
    <xf numFmtId="10" fontId="5" fillId="0" borderId="20" xfId="2" applyNumberFormat="1" applyFont="1" applyFill="1" applyBorder="1" applyAlignment="1">
      <alignment horizontal="center" vertical="center"/>
    </xf>
    <xf numFmtId="10" fontId="26" fillId="0" borderId="2" xfId="0" applyNumberFormat="1" applyFont="1" applyBorder="1" applyAlignment="1">
      <alignment horizontal="center" vertical="center"/>
    </xf>
    <xf numFmtId="0" fontId="1" fillId="0" borderId="4" xfId="6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 wrapText="1"/>
    </xf>
    <xf numFmtId="0" fontId="1" fillId="0" borderId="8" xfId="6" applyFont="1" applyBorder="1" applyAlignment="1">
      <alignment horizontal="center" vertical="center"/>
    </xf>
    <xf numFmtId="0" fontId="1" fillId="0" borderId="10" xfId="6" applyFont="1" applyBorder="1" applyAlignment="1">
      <alignment horizontal="center" vertical="center"/>
    </xf>
    <xf numFmtId="10" fontId="26" fillId="0" borderId="11" xfId="0" applyNumberFormat="1" applyFont="1" applyBorder="1" applyAlignment="1">
      <alignment horizontal="center" vertical="center"/>
    </xf>
    <xf numFmtId="10" fontId="26" fillId="0" borderId="1" xfId="0" applyNumberFormat="1" applyFont="1" applyBorder="1" applyAlignment="1">
      <alignment horizontal="center" vertical="center"/>
    </xf>
    <xf numFmtId="10" fontId="26" fillId="0" borderId="2" xfId="2" applyNumberFormat="1" applyFont="1" applyFill="1" applyBorder="1" applyAlignment="1">
      <alignment horizontal="center" vertical="center"/>
    </xf>
    <xf numFmtId="10" fontId="26" fillId="0" borderId="3" xfId="0" applyNumberFormat="1" applyFont="1" applyBorder="1" applyAlignment="1">
      <alignment horizontal="center" vertical="center"/>
    </xf>
    <xf numFmtId="10" fontId="26" fillId="0" borderId="9" xfId="2" applyNumberFormat="1" applyFont="1" applyFill="1" applyBorder="1" applyAlignment="1">
      <alignment horizontal="center" vertical="center"/>
    </xf>
    <xf numFmtId="0" fontId="15" fillId="4" borderId="30" xfId="0" applyFont="1" applyFill="1" applyBorder="1" applyAlignment="1">
      <alignment horizontal="center" vertical="center"/>
    </xf>
    <xf numFmtId="0" fontId="15" fillId="4" borderId="28" xfId="0" applyFont="1" applyFill="1" applyBorder="1" applyAlignment="1">
      <alignment horizontal="center" vertical="center"/>
    </xf>
    <xf numFmtId="0" fontId="31" fillId="17" borderId="63" xfId="0" applyFont="1" applyFill="1" applyBorder="1" applyAlignment="1">
      <alignment horizontal="center" vertical="center"/>
    </xf>
    <xf numFmtId="0" fontId="31" fillId="17" borderId="39" xfId="0" applyFont="1" applyFill="1" applyBorder="1" applyAlignment="1">
      <alignment horizontal="center" vertical="center"/>
    </xf>
    <xf numFmtId="0" fontId="31" fillId="17" borderId="41" xfId="0" applyFont="1" applyFill="1" applyBorder="1" applyAlignment="1">
      <alignment horizontal="center" vertical="center"/>
    </xf>
    <xf numFmtId="0" fontId="31" fillId="18" borderId="40" xfId="0" applyFont="1" applyFill="1" applyBorder="1" applyAlignment="1">
      <alignment horizontal="center" vertical="center"/>
    </xf>
    <xf numFmtId="0" fontId="31" fillId="18" borderId="7" xfId="0" applyFont="1" applyFill="1" applyBorder="1" applyAlignment="1">
      <alignment horizontal="center" vertical="center"/>
    </xf>
    <xf numFmtId="0" fontId="15" fillId="0" borderId="32" xfId="0" applyFont="1" applyBorder="1" applyAlignment="1">
      <alignment horizontal="left" vertical="center"/>
    </xf>
    <xf numFmtId="0" fontId="31" fillId="14" borderId="37" xfId="0" applyFont="1" applyFill="1" applyBorder="1" applyAlignment="1">
      <alignment horizontal="center" vertical="center"/>
    </xf>
    <xf numFmtId="0" fontId="31" fillId="14" borderId="38" xfId="0" applyFont="1" applyFill="1" applyBorder="1" applyAlignment="1">
      <alignment horizontal="center" vertical="center"/>
    </xf>
    <xf numFmtId="0" fontId="37" fillId="14" borderId="66" xfId="0" applyFont="1" applyFill="1" applyBorder="1" applyAlignment="1">
      <alignment horizontal="center" vertical="center"/>
    </xf>
    <xf numFmtId="0" fontId="37" fillId="14" borderId="35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8" fillId="2" borderId="67" xfId="0" applyFont="1" applyFill="1" applyBorder="1" applyAlignment="1">
      <alignment horizontal="center" vertical="center"/>
    </xf>
    <xf numFmtId="0" fontId="8" fillId="2" borderId="33" xfId="0" applyFont="1" applyFill="1" applyBorder="1" applyAlignment="1">
      <alignment horizontal="center" vertical="center"/>
    </xf>
    <xf numFmtId="0" fontId="8" fillId="2" borderId="58" xfId="0" applyFont="1" applyFill="1" applyBorder="1" applyAlignment="1">
      <alignment horizontal="center" vertical="center"/>
    </xf>
    <xf numFmtId="0" fontId="8" fillId="2" borderId="34" xfId="0" applyFont="1" applyFill="1" applyBorder="1" applyAlignment="1">
      <alignment horizontal="center" vertical="center"/>
    </xf>
    <xf numFmtId="0" fontId="5" fillId="0" borderId="58" xfId="0" applyFont="1" applyBorder="1" applyAlignment="1">
      <alignment horizontal="center" vertical="center"/>
    </xf>
    <xf numFmtId="0" fontId="5" fillId="0" borderId="60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43" fillId="0" borderId="37" xfId="0" applyFont="1" applyBorder="1" applyAlignment="1">
      <alignment horizontal="center" vertical="center"/>
    </xf>
    <xf numFmtId="0" fontId="43" fillId="0" borderId="38" xfId="0" applyFont="1" applyBorder="1" applyAlignment="1">
      <alignment horizontal="center" vertical="center"/>
    </xf>
    <xf numFmtId="0" fontId="43" fillId="0" borderId="72" xfId="0" applyFont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41" fontId="8" fillId="2" borderId="14" xfId="1" applyFont="1" applyFill="1" applyBorder="1" applyAlignment="1">
      <alignment horizontal="center" vertical="center"/>
    </xf>
    <xf numFmtId="41" fontId="8" fillId="2" borderId="22" xfId="1" applyFont="1" applyFill="1" applyBorder="1" applyAlignment="1">
      <alignment horizontal="center" vertical="center"/>
    </xf>
    <xf numFmtId="0" fontId="5" fillId="19" borderId="58" xfId="0" applyFont="1" applyFill="1" applyBorder="1" applyAlignment="1">
      <alignment horizontal="center" vertical="center"/>
    </xf>
    <xf numFmtId="0" fontId="5" fillId="19" borderId="34" xfId="0" applyFont="1" applyFill="1" applyBorder="1" applyAlignment="1">
      <alignment horizontal="center" vertical="center"/>
    </xf>
    <xf numFmtId="0" fontId="8" fillId="2" borderId="44" xfId="0" applyFont="1" applyFill="1" applyBorder="1" applyAlignment="1">
      <alignment horizontal="center" vertical="center"/>
    </xf>
    <xf numFmtId="0" fontId="8" fillId="2" borderId="69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 shrinkToFit="1"/>
    </xf>
    <xf numFmtId="0" fontId="8" fillId="2" borderId="22" xfId="0" applyFont="1" applyFill="1" applyBorder="1" applyAlignment="1">
      <alignment horizontal="center" vertical="center" shrinkToFit="1"/>
    </xf>
    <xf numFmtId="0" fontId="8" fillId="2" borderId="16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8" fillId="2" borderId="24" xfId="0" applyFont="1" applyFill="1" applyBorder="1" applyAlignment="1">
      <alignment horizontal="center" vertical="center"/>
    </xf>
    <xf numFmtId="0" fontId="8" fillId="2" borderId="74" xfId="0" applyFont="1" applyFill="1" applyBorder="1" applyAlignment="1">
      <alignment horizontal="center" vertical="center"/>
    </xf>
    <xf numFmtId="0" fontId="5" fillId="0" borderId="61" xfId="0" applyFont="1" applyBorder="1" applyAlignment="1">
      <alignment horizontal="center" vertical="center"/>
    </xf>
    <xf numFmtId="0" fontId="5" fillId="0" borderId="55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1" fillId="5" borderId="4" xfId="6" applyFont="1" applyFill="1" applyBorder="1" applyAlignment="1">
      <alignment horizontal="center" vertical="center"/>
    </xf>
    <xf numFmtId="0" fontId="26" fillId="5" borderId="3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/>
    </xf>
    <xf numFmtId="10" fontId="5" fillId="5" borderId="3" xfId="2" applyNumberFormat="1" applyFont="1" applyFill="1" applyBorder="1" applyAlignment="1">
      <alignment horizontal="center" vertical="center"/>
    </xf>
    <xf numFmtId="10" fontId="5" fillId="5" borderId="5" xfId="2" applyNumberFormat="1" applyFont="1" applyFill="1" applyBorder="1" applyAlignment="1">
      <alignment horizontal="center" vertical="center"/>
    </xf>
    <xf numFmtId="0" fontId="2" fillId="5" borderId="0" xfId="6" applyFill="1">
      <alignment vertical="center"/>
    </xf>
    <xf numFmtId="0" fontId="1" fillId="5" borderId="8" xfId="6" applyFont="1" applyFill="1" applyBorder="1" applyAlignment="1">
      <alignment horizontal="center" vertical="center"/>
    </xf>
    <xf numFmtId="0" fontId="26" fillId="5" borderId="2" xfId="0" applyFont="1" applyFill="1" applyBorder="1" applyAlignment="1">
      <alignment horizontal="center" vertical="center"/>
    </xf>
    <xf numFmtId="14" fontId="26" fillId="5" borderId="2" xfId="0" applyNumberFormat="1" applyFont="1" applyFill="1" applyBorder="1" applyAlignment="1">
      <alignment horizontal="center" vertical="center"/>
    </xf>
    <xf numFmtId="10" fontId="26" fillId="5" borderId="2" xfId="0" applyNumberFormat="1" applyFont="1" applyFill="1" applyBorder="1" applyAlignment="1">
      <alignment horizontal="center" vertical="center"/>
    </xf>
    <xf numFmtId="10" fontId="26" fillId="5" borderId="9" xfId="0" applyNumberFormat="1" applyFont="1" applyFill="1" applyBorder="1" applyAlignment="1">
      <alignment horizontal="center" vertical="center"/>
    </xf>
    <xf numFmtId="14" fontId="5" fillId="5" borderId="2" xfId="0" applyNumberFormat="1" applyFont="1" applyFill="1" applyBorder="1" applyAlignment="1">
      <alignment horizontal="center" vertical="center"/>
    </xf>
    <xf numFmtId="0" fontId="26" fillId="5" borderId="2" xfId="0" applyFont="1" applyFill="1" applyBorder="1" applyAlignment="1">
      <alignment horizontal="center" vertical="center" wrapText="1"/>
    </xf>
    <xf numFmtId="0" fontId="1" fillId="5" borderId="27" xfId="6" applyFont="1" applyFill="1" applyBorder="1" applyAlignment="1">
      <alignment horizontal="center" vertical="center"/>
    </xf>
    <xf numFmtId="0" fontId="26" fillId="5" borderId="6" xfId="0" applyFont="1" applyFill="1" applyBorder="1" applyAlignment="1">
      <alignment horizontal="center" vertical="center"/>
    </xf>
    <xf numFmtId="0" fontId="26" fillId="5" borderId="6" xfId="0" applyFont="1" applyFill="1" applyBorder="1" applyAlignment="1">
      <alignment horizontal="center" vertical="center" wrapText="1"/>
    </xf>
    <xf numFmtId="14" fontId="26" fillId="5" borderId="6" xfId="0" applyNumberFormat="1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10" fontId="26" fillId="5" borderId="6" xfId="0" applyNumberFormat="1" applyFont="1" applyFill="1" applyBorder="1" applyAlignment="1">
      <alignment horizontal="center" vertical="center"/>
    </xf>
    <xf numFmtId="10" fontId="26" fillId="5" borderId="17" xfId="0" applyNumberFormat="1" applyFont="1" applyFill="1" applyBorder="1" applyAlignment="1">
      <alignment horizontal="center" vertical="center"/>
    </xf>
    <xf numFmtId="0" fontId="2" fillId="5" borderId="4" xfId="6" applyFill="1" applyBorder="1" applyAlignment="1">
      <alignment horizontal="center" vertical="center"/>
    </xf>
    <xf numFmtId="0" fontId="26" fillId="5" borderId="3" xfId="6" applyFont="1" applyFill="1" applyBorder="1" applyAlignment="1">
      <alignment horizontal="center" vertical="center"/>
    </xf>
    <xf numFmtId="0" fontId="26" fillId="5" borderId="3" xfId="6" applyFont="1" applyFill="1" applyBorder="1" applyAlignment="1">
      <alignment horizontal="right" vertical="center"/>
    </xf>
    <xf numFmtId="0" fontId="26" fillId="5" borderId="3" xfId="6" applyFont="1" applyFill="1" applyBorder="1" applyAlignment="1">
      <alignment horizontal="left" vertical="center"/>
    </xf>
    <xf numFmtId="180" fontId="26" fillId="5" borderId="3" xfId="6" applyNumberFormat="1" applyFont="1" applyFill="1" applyBorder="1" applyAlignment="1">
      <alignment horizontal="center" vertical="center"/>
    </xf>
    <xf numFmtId="10" fontId="26" fillId="5" borderId="3" xfId="6" applyNumberFormat="1" applyFont="1" applyFill="1" applyBorder="1" applyAlignment="1">
      <alignment horizontal="center" vertical="center"/>
    </xf>
    <xf numFmtId="10" fontId="26" fillId="5" borderId="5" xfId="6" applyNumberFormat="1" applyFont="1" applyFill="1" applyBorder="1" applyAlignment="1">
      <alignment horizontal="center" vertical="center"/>
    </xf>
    <xf numFmtId="0" fontId="2" fillId="5" borderId="8" xfId="6" applyFill="1" applyBorder="1" applyAlignment="1">
      <alignment horizontal="center" vertical="center"/>
    </xf>
    <xf numFmtId="0" fontId="26" fillId="5" borderId="2" xfId="6" applyFont="1" applyFill="1" applyBorder="1" applyAlignment="1">
      <alignment horizontal="center" vertical="center"/>
    </xf>
    <xf numFmtId="0" fontId="26" fillId="5" borderId="2" xfId="6" applyFont="1" applyFill="1" applyBorder="1" applyAlignment="1">
      <alignment horizontal="right" vertical="center"/>
    </xf>
    <xf numFmtId="0" fontId="26" fillId="5" borderId="2" xfId="6" applyFont="1" applyFill="1" applyBorder="1" applyAlignment="1">
      <alignment horizontal="left" vertical="center"/>
    </xf>
    <xf numFmtId="180" fontId="26" fillId="5" borderId="2" xfId="6" applyNumberFormat="1" applyFont="1" applyFill="1" applyBorder="1" applyAlignment="1">
      <alignment horizontal="center" vertical="center"/>
    </xf>
    <xf numFmtId="10" fontId="26" fillId="5" borderId="2" xfId="6" applyNumberFormat="1" applyFont="1" applyFill="1" applyBorder="1" applyAlignment="1">
      <alignment horizontal="center" vertical="center"/>
    </xf>
    <xf numFmtId="10" fontId="26" fillId="5" borderId="9" xfId="6" applyNumberFormat="1" applyFont="1" applyFill="1" applyBorder="1" applyAlignment="1">
      <alignment horizontal="center" vertical="center"/>
    </xf>
    <xf numFmtId="0" fontId="2" fillId="5" borderId="10" xfId="6" applyFill="1" applyBorder="1" applyAlignment="1">
      <alignment horizontal="center" vertical="center"/>
    </xf>
    <xf numFmtId="0" fontId="26" fillId="5" borderId="11" xfId="6" applyFont="1" applyFill="1" applyBorder="1" applyAlignment="1">
      <alignment horizontal="center" vertical="center"/>
    </xf>
    <xf numFmtId="0" fontId="26" fillId="5" borderId="11" xfId="6" applyFont="1" applyFill="1" applyBorder="1" applyAlignment="1">
      <alignment horizontal="right" vertical="center"/>
    </xf>
    <xf numFmtId="0" fontId="26" fillId="5" borderId="11" xfId="6" applyFont="1" applyFill="1" applyBorder="1" applyAlignment="1">
      <alignment horizontal="left" vertical="center"/>
    </xf>
    <xf numFmtId="180" fontId="26" fillId="5" borderId="11" xfId="6" applyNumberFormat="1" applyFont="1" applyFill="1" applyBorder="1" applyAlignment="1">
      <alignment horizontal="center" vertical="center"/>
    </xf>
    <xf numFmtId="10" fontId="26" fillId="5" borderId="11" xfId="6" applyNumberFormat="1" applyFont="1" applyFill="1" applyBorder="1" applyAlignment="1">
      <alignment horizontal="center" vertical="center"/>
    </xf>
    <xf numFmtId="10" fontId="26" fillId="5" borderId="1" xfId="6" applyNumberFormat="1" applyFont="1" applyFill="1" applyBorder="1" applyAlignment="1">
      <alignment horizontal="center" vertical="center"/>
    </xf>
  </cellXfs>
  <cellStyles count="9">
    <cellStyle name="계산" xfId="3" builtinId="22"/>
    <cellStyle name="백분율" xfId="2" builtinId="5"/>
    <cellStyle name="백분율 2" xfId="7" xr:uid="{CCC6D502-F644-4D33-84A9-46E20885EEEC}"/>
    <cellStyle name="쉼표 [0]" xfId="1" builtinId="6"/>
    <cellStyle name="표준" xfId="0" builtinId="0"/>
    <cellStyle name="표준 2" xfId="4" xr:uid="{00000000-0005-0000-0000-000004000000}"/>
    <cellStyle name="표준 3" xfId="5" xr:uid="{00000000-0005-0000-0000-000005000000}"/>
    <cellStyle name="표준 3 2" xfId="8" xr:uid="{AF7EA69C-6F68-40AC-8DDB-DD0AFEB74054}"/>
    <cellStyle name="표준 4" xfId="6" xr:uid="{530325F9-18B8-4348-8D1E-1F32014AF3B4}"/>
  </cellStyles>
  <dxfs count="5">
    <dxf>
      <numFmt numFmtId="14" formatCode="0.00%"/>
    </dxf>
    <dxf>
      <numFmt numFmtId="177" formatCode="0.0%"/>
    </dxf>
    <dxf>
      <numFmt numFmtId="13" formatCode="0%"/>
    </dxf>
    <dxf>
      <numFmt numFmtId="177" formatCode="0.0%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463.440992476855" createdVersion="6" refreshedVersion="6" minRefreshableVersion="3" recordCount="160" xr:uid="{00000000-000A-0000-FFFF-FFFF01000000}">
  <cacheSource type="worksheet">
    <worksheetSource ref="A3:Q163" sheet="23년"/>
  </cacheSource>
  <cacheFields count="17">
    <cacheField name="연번" numFmtId="0">
      <sharedItems containsSemiMixedTypes="0" containsString="0" containsNumber="1" containsInteger="1" minValue="1" maxValue="160"/>
    </cacheField>
    <cacheField name="구분" numFmtId="0">
      <sharedItems/>
    </cacheField>
    <cacheField name="계열" numFmtId="0">
      <sharedItems count="6">
        <s v="IT"/>
        <s v="게임"/>
        <s v="컴퓨터"/>
        <s v="승무원"/>
        <s v="브랜뉴"/>
        <s v="뷰티"/>
      </sharedItems>
    </cacheField>
    <cacheField name="지점명" numFmtId="0">
      <sharedItems count="17">
        <s v="강남"/>
        <s v="부평"/>
        <s v="부산"/>
        <s v="인천"/>
        <s v="대구"/>
        <s v="노원"/>
        <s v="신촌"/>
        <s v="대전"/>
        <s v="광주"/>
        <s v="구월"/>
        <s v="수원"/>
        <s v="일산"/>
        <s v="홍대"/>
        <s v="안산"/>
        <s v="분당"/>
        <s v="종로"/>
        <s v="울산"/>
      </sharedItems>
    </cacheField>
    <cacheField name="훈련종류" numFmtId="0">
      <sharedItems count="8">
        <s v="국"/>
        <s v="계(혼)"/>
        <s v="계"/>
        <s v="국(혼)"/>
        <s v="KDT"/>
        <s v="과평(국)"/>
        <s v="과평(계)"/>
        <s v="산대특"/>
      </sharedItems>
    </cacheField>
    <cacheField name="직종" numFmtId="0">
      <sharedItems/>
    </cacheField>
    <cacheField name="회차" numFmtId="0">
      <sharedItems containsSemiMixedTypes="0" containsString="0" containsNumber="1" containsInteger="1" minValue="1" maxValue="7"/>
    </cacheField>
    <cacheField name="훈련과정명" numFmtId="0">
      <sharedItems/>
    </cacheField>
    <cacheField name="훈련일" numFmtId="0">
      <sharedItems containsSemiMixedTypes="0" containsString="0" containsNumber="1" containsInteger="1" minValue="0" maxValue="175"/>
    </cacheField>
    <cacheField name="훈련시간" numFmtId="0">
      <sharedItems containsSemiMixedTypes="0" containsString="0" containsNumber="1" containsInteger="1" minValue="130" maxValue="1033"/>
    </cacheField>
    <cacheField name="훈련시작" numFmtId="14">
      <sharedItems containsSemiMixedTypes="0" containsNonDate="0" containsDate="1" containsString="0" minDate="2023-01-18T00:00:00" maxDate="2023-12-30T00:00:00"/>
    </cacheField>
    <cacheField name="훈련종료" numFmtId="14">
      <sharedItems containsSemiMixedTypes="0" containsNonDate="0" containsDate="1" containsString="0" minDate="2023-04-13T00:00:00" maxDate="2024-10-02T00:00:00"/>
    </cacheField>
    <cacheField name="정원" numFmtId="0">
      <sharedItems containsSemiMixedTypes="0" containsString="0" containsNumber="1" containsInteger="1" minValue="8" maxValue="35"/>
    </cacheField>
    <cacheField name="확정인원" numFmtId="0">
      <sharedItems containsSemiMixedTypes="0" containsString="0" containsNumber="1" containsInteger="1" minValue="4" maxValue="29"/>
    </cacheField>
    <cacheField name="신청인원" numFmtId="0">
      <sharedItems containsSemiMixedTypes="0" containsString="0" containsNumber="1" containsInteger="1" minValue="4" maxValue="36"/>
    </cacheField>
    <cacheField name="모집률" numFmtId="9">
      <sharedItems containsSemiMixedTypes="0" containsString="0" containsNumber="1" minValue="0.2" maxValue="1"/>
    </cacheField>
    <cacheField name="신청률" numFmtId="9">
      <sharedItems containsSemiMixedTypes="0" containsString="0" containsNumber="1" minValue="0.2" maxValue="1.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5988.639378935186" createdVersion="6" refreshedVersion="8" minRefreshableVersion="3" recordCount="231" xr:uid="{00000000-000A-0000-FFFF-FFFF00000000}">
  <cacheSource type="worksheet">
    <worksheetSource ref="A4:Q234" sheet="24년"/>
  </cacheSource>
  <cacheFields count="17">
    <cacheField name="연번" numFmtId="0">
      <sharedItems containsString="0" containsBlank="1" containsNumber="1" containsInteger="1" minValue="1" maxValue="173"/>
    </cacheField>
    <cacheField name="월" numFmtId="0">
      <sharedItems containsBlank="1"/>
    </cacheField>
    <cacheField name="계열" numFmtId="0">
      <sharedItems containsBlank="1" count="6">
        <s v="IT"/>
        <s v="컴퓨터"/>
        <s v="게임"/>
        <s v="승무원"/>
        <s v="뷰티"/>
        <m/>
      </sharedItems>
    </cacheField>
    <cacheField name="지점" numFmtId="0">
      <sharedItems containsBlank="1" count="20">
        <s v="부산"/>
        <s v="광주"/>
        <s v="천안"/>
        <s v="노원"/>
        <s v="신촌"/>
        <s v="강남"/>
        <s v="대전"/>
        <s v="부평"/>
        <s v="대구"/>
        <s v="인천"/>
        <s v="구월"/>
        <s v="홍대"/>
        <s v="분당"/>
        <s v="수원"/>
        <s v="안양"/>
        <s v="안산"/>
        <s v="일산"/>
        <s v="종로"/>
        <s v="울산"/>
        <m/>
      </sharedItems>
    </cacheField>
    <cacheField name="종류" numFmtId="0">
      <sharedItems containsBlank="1" count="7">
        <s v="산대특"/>
        <s v="국"/>
        <s v="계"/>
        <s v="KDT"/>
        <s v="과평(국)"/>
        <s v="일반고"/>
        <m/>
      </sharedItems>
    </cacheField>
    <cacheField name="직종" numFmtId="0">
      <sharedItems containsBlank="1"/>
    </cacheField>
    <cacheField name="회차" numFmtId="0">
      <sharedItems containsString="0" containsBlank="1" containsNumber="1" containsInteger="1" minValue="3" maxValue="3"/>
    </cacheField>
    <cacheField name="훈련과정명" numFmtId="0">
      <sharedItems containsBlank="1"/>
    </cacheField>
    <cacheField name="훈련일" numFmtId="0">
      <sharedItems containsNonDate="0" containsString="0" containsBlank="1"/>
    </cacheField>
    <cacheField name="훈련시간" numFmtId="0">
      <sharedItems containsNonDate="0" containsString="0" containsBlank="1"/>
    </cacheField>
    <cacheField name="훈련시작" numFmtId="0">
      <sharedItems containsNonDate="0" containsDate="1" containsString="0" containsBlank="1" minDate="2024-01-18T00:00:00" maxDate="2024-12-31T00:00:00"/>
    </cacheField>
    <cacheField name="훈련종료" numFmtId="0">
      <sharedItems containsNonDate="0" containsDate="1" containsString="0" containsBlank="1" minDate="2024-04-29T00:00:00" maxDate="2025-08-22T00:00:00"/>
    </cacheField>
    <cacheField name="정원" numFmtId="0">
      <sharedItems containsString="0" containsBlank="1" containsNumber="1" containsInteger="1" minValue="10" maxValue="35"/>
    </cacheField>
    <cacheField name="확정인원" numFmtId="0">
      <sharedItems containsString="0" containsBlank="1" containsNumber="1" containsInteger="1" minValue="4" maxValue="30"/>
    </cacheField>
    <cacheField name="신청인원" numFmtId="0">
      <sharedItems containsNonDate="0" containsString="0" containsBlank="1"/>
    </cacheField>
    <cacheField name="모집률" numFmtId="0">
      <sharedItems containsString="0" containsBlank="1" containsNumber="1" minValue="0.14285714285714285" maxValue="1"/>
    </cacheField>
    <cacheField name="신청률" numFmtId="0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045.604911689814" createdVersion="8" refreshedVersion="8" minRefreshableVersion="3" recordCount="180" xr:uid="{5372739E-7CB0-40E3-8E32-4FC7F09348D2}">
  <cacheSource type="worksheet">
    <worksheetSource ref="A3:P183" sheet="25년"/>
  </cacheSource>
  <cacheFields count="16">
    <cacheField name="1월" numFmtId="0">
      <sharedItems/>
    </cacheField>
    <cacheField name="승무원" numFmtId="0">
      <sharedItems/>
    </cacheField>
    <cacheField name="강남" numFmtId="0">
      <sharedItems/>
    </cacheField>
    <cacheField name="계" numFmtId="0">
      <sharedItems/>
    </cacheField>
    <cacheField name="항공여객운송서비스 (09040205)" numFmtId="0">
      <sharedItems/>
    </cacheField>
    <cacheField name="1" numFmtId="0">
      <sharedItems containsSemiMixedTypes="0" containsString="0" containsNumber="1" containsInteger="1" minValue="1" maxValue="5"/>
    </cacheField>
    <cacheField name="항공사지상직CRS(예약발권)/DCS(공항수속)과정" numFmtId="0">
      <sharedItems/>
    </cacheField>
    <cacheField name="47" numFmtId="0">
      <sharedItems containsSemiMixedTypes="0" containsString="0" containsNumber="1" containsInteger="1" minValue="10" maxValue="180"/>
    </cacheField>
    <cacheField name="139" numFmtId="0">
      <sharedItems containsSemiMixedTypes="0" containsString="0" containsNumber="1" containsInteger="1" minValue="30" maxValue="1232"/>
    </cacheField>
    <cacheField name="2025-01-06" numFmtId="0">
      <sharedItems containsSemiMixedTypes="0" containsNonDate="0" containsDate="1" containsString="0" minDate="2025-01-08T00:00:00" maxDate="2026-01-01T00:00:00"/>
    </cacheField>
    <cacheField name="2025-04-04" numFmtId="0">
      <sharedItems containsSemiMixedTypes="0" containsNonDate="0" containsDate="1" containsString="0" minDate="2025-03-11T00:00:00" maxDate="2026-10-28T00:00:00"/>
    </cacheField>
    <cacheField name="20" numFmtId="0">
      <sharedItems containsSemiMixedTypes="0" containsString="0" containsNumber="1" containsInteger="1" minValue="10" maxValue="35"/>
    </cacheField>
    <cacheField name="12" numFmtId="0">
      <sharedItems containsSemiMixedTypes="0" containsString="0" containsNumber="1" containsInteger="1" minValue="3" maxValue="29"/>
    </cacheField>
    <cacheField name="13" numFmtId="0">
      <sharedItems containsSemiMixedTypes="0" containsString="0" containsNumber="1" containsInteger="1" minValue="4" maxValue="42"/>
    </cacheField>
    <cacheField name="60.0%" numFmtId="0">
      <sharedItems containsSemiMixedTypes="0" containsString="0" containsNumber="1" minValue="0.14285714285714285" maxValue="1"/>
    </cacheField>
    <cacheField name="65.0%" numFmtId="0">
      <sharedItems containsSemiMixedTypes="0" containsString="0" containsNumber="1" minValue="0.14285714285714285" maxValue="2.30769230769230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0">
  <r>
    <n v="1"/>
    <s v="1월"/>
    <x v="0"/>
    <x v="0"/>
    <x v="0"/>
    <s v="응용SW엔지니어링(20010202)"/>
    <n v="1"/>
    <s v="(AI 활용 소프트웨어 개발 및 응용)AI 활용 소프트웨어 개발 및 응용과정A"/>
    <n v="162"/>
    <n v="810"/>
    <d v="2023-01-18T00:00:00"/>
    <d v="2023-09-22T00:00:00"/>
    <n v="35"/>
    <n v="27"/>
    <n v="27"/>
    <n v="0.77142857142857146"/>
    <n v="0.77142857142857146"/>
  </r>
  <r>
    <n v="2"/>
    <s v="1월"/>
    <x v="0"/>
    <x v="0"/>
    <x v="0"/>
    <s v="응용SW엔지니어링(20010202)"/>
    <n v="1"/>
    <s v="(AI 활용 소프트웨어 개발 및 응용)AI 활용 소프트웨어 개발 및 응용과정B"/>
    <n v="162"/>
    <n v="810"/>
    <d v="2023-01-18T00:00:00"/>
    <d v="2023-06-22T00:00:00"/>
    <n v="35"/>
    <n v="11"/>
    <n v="13"/>
    <n v="0.31428571428571428"/>
    <n v="0.37142857142857144"/>
  </r>
  <r>
    <n v="3"/>
    <s v="1월"/>
    <x v="1"/>
    <x v="1"/>
    <x v="1"/>
    <s v="게임콘텐츠제작(08030205)"/>
    <n v="1"/>
    <s v="(스마트혼합) 유니티 게임프로그래머 양성과정"/>
    <n v="110"/>
    <n v="370"/>
    <d v="2023-01-30T00:00:00"/>
    <d v="2023-07-05T00:00:00"/>
    <n v="20"/>
    <n v="17"/>
    <n v="17"/>
    <n v="0.85"/>
    <n v="0.85"/>
  </r>
  <r>
    <n v="4"/>
    <s v="1월"/>
    <x v="0"/>
    <x v="2"/>
    <x v="2"/>
    <s v="UI/UX엔지니어링(20010207)"/>
    <n v="1"/>
    <s v="UI/UX기반 프론트엔드 개발자 양성 과정B"/>
    <n v="88"/>
    <n v="350"/>
    <d v="2023-01-31T00:00:00"/>
    <d v="2023-05-25T00:00:00"/>
    <n v="20"/>
    <n v="10"/>
    <n v="10"/>
    <n v="0.5"/>
    <n v="0.5"/>
  </r>
  <r>
    <n v="5"/>
    <s v="2월"/>
    <x v="0"/>
    <x v="3"/>
    <x v="2"/>
    <s v="응용SW엔지니어링(20010202)"/>
    <n v="1"/>
    <s v="자바(JAVA)기반 스프링 응용SW개발자 양성과정A"/>
    <n v="70"/>
    <n v="280"/>
    <d v="2023-02-01T00:00:00"/>
    <d v="2023-05-11T00:00:00"/>
    <n v="30"/>
    <n v="12"/>
    <n v="13"/>
    <n v="0.4"/>
    <n v="0.43333333333333335"/>
  </r>
  <r>
    <n v="6"/>
    <s v="2월"/>
    <x v="1"/>
    <x v="4"/>
    <x v="0"/>
    <s v="게임콘텐츠제작(08030205)"/>
    <n v="1"/>
    <s v="(게임콘텐츠제작) 게임콘텐츠 개발자 양성 (게임기획&amp;게임프로그래밍)"/>
    <n v="170"/>
    <n v="870"/>
    <d v="2023-02-06T00:00:00"/>
    <d v="2023-10-06T00:00:00"/>
    <n v="20"/>
    <n v="20"/>
    <n v="20"/>
    <n v="1"/>
    <n v="1"/>
  </r>
  <r>
    <n v="7"/>
    <s v="2월"/>
    <x v="0"/>
    <x v="2"/>
    <x v="2"/>
    <s v="응용SW엔지니어링(20010202)"/>
    <n v="1"/>
    <s v="[계]자바기반 백엔드 개발자 양성 과정A"/>
    <n v="70"/>
    <n v="280"/>
    <d v="2023-02-22T00:00:00"/>
    <d v="2023-06-02T00:00:00"/>
    <n v="30"/>
    <n v="18"/>
    <n v="18"/>
    <n v="0.6"/>
    <n v="0.6"/>
  </r>
  <r>
    <n v="8"/>
    <s v="2월"/>
    <x v="0"/>
    <x v="5"/>
    <x v="2"/>
    <s v="응용SW엔지니어링(20010202)"/>
    <n v="1"/>
    <s v="자바기반 백엔드 개발자 양성과정A"/>
    <n v="56"/>
    <n v="280"/>
    <d v="2023-02-23T00:00:00"/>
    <d v="2023-04-13T00:00:00"/>
    <n v="28"/>
    <n v="10"/>
    <n v="10"/>
    <n v="0.35714285714285715"/>
    <n v="0.35714285714285715"/>
  </r>
  <r>
    <n v="9"/>
    <s v="2월"/>
    <x v="0"/>
    <x v="4"/>
    <x v="3"/>
    <s v="응용SW엔지니어링(20010202)"/>
    <n v="1"/>
    <s v="(디지털컨버전스) 임베디드 소프트웨어 융합 풀스택 개발자 양성 과정C"/>
    <n v="109"/>
    <n v="808"/>
    <d v="2023-02-27T00:00:00"/>
    <d v="2023-08-01T00:00:00"/>
    <n v="22"/>
    <n v="22"/>
    <n v="22"/>
    <n v="1"/>
    <n v="1"/>
  </r>
  <r>
    <n v="10"/>
    <s v="2월"/>
    <x v="0"/>
    <x v="6"/>
    <x v="0"/>
    <s v="응용SW엔지니어링(20010202)"/>
    <n v="1"/>
    <s v="[과정평가형 자격] 정보처리산업기사 취득과정A"/>
    <n v="118"/>
    <n v="820"/>
    <d v="2023-02-27T00:00:00"/>
    <d v="2023-08-14T00:00:00"/>
    <n v="30"/>
    <n v="26"/>
    <n v="28"/>
    <n v="0.8666666666666667"/>
    <n v="0.93333333333333335"/>
  </r>
  <r>
    <n v="11"/>
    <s v="2월"/>
    <x v="2"/>
    <x v="4"/>
    <x v="3"/>
    <s v="디지털디자인(08020104)"/>
    <n v="1"/>
    <s v="(스마트혼합)[디지털디자인]스마트UIUX 반응형 웹디자인(웹퍼블리셔)_A"/>
    <n v="131"/>
    <n v="692"/>
    <d v="2023-02-27T00:00:00"/>
    <d v="2023-09-01T00:00:00"/>
    <n v="25"/>
    <n v="18"/>
    <n v="36"/>
    <n v="0.72"/>
    <n v="1.44"/>
  </r>
  <r>
    <n v="12"/>
    <s v="2월"/>
    <x v="2"/>
    <x v="1"/>
    <x v="2"/>
    <s v="편집디자인(22010102)"/>
    <n v="1"/>
    <s v="편집디자인(포토샵,일러스트,인디자인)실무자 양성과정"/>
    <n v="64"/>
    <n v="320"/>
    <d v="2023-02-27T00:00:00"/>
    <d v="2023-05-30T00:00:00"/>
    <n v="20"/>
    <n v="12"/>
    <n v="12"/>
    <n v="0.6"/>
    <n v="0.6"/>
  </r>
  <r>
    <n v="13"/>
    <s v="2월"/>
    <x v="2"/>
    <x v="1"/>
    <x v="1"/>
    <s v="실내건축설계(14030104)"/>
    <n v="1"/>
    <s v="[스마트혼합] 실내건축설계 실무자 양성과정 (캐드, 맥스) "/>
    <n v="51"/>
    <n v="280"/>
    <d v="2023-02-27T00:00:00"/>
    <d v="2023-05-18T00:00:00"/>
    <n v="20"/>
    <n v="7"/>
    <n v="10"/>
    <n v="0.35"/>
    <n v="0.5"/>
  </r>
  <r>
    <n v="14"/>
    <s v="2월"/>
    <x v="0"/>
    <x v="7"/>
    <x v="2"/>
    <s v=" 응용SW엔지니어링(20010202)"/>
    <n v="1"/>
    <s v="자바 백엔드 개발자 양성과정A"/>
    <n v="56"/>
    <n v="280"/>
    <d v="2023-02-28T00:00:00"/>
    <d v="2023-05-18T00:00:00"/>
    <n v="30"/>
    <n v="12"/>
    <n v="14"/>
    <n v="0.4"/>
    <n v="0.46666666666666667"/>
  </r>
  <r>
    <n v="15"/>
    <s v="2월"/>
    <x v="2"/>
    <x v="7"/>
    <x v="3"/>
    <s v=" 응용SW엔지니어링(20010202)"/>
    <n v="1"/>
    <s v="(디지털컨버전스) 임베디드 소프트웨어 융합 풀스택 개발자 양성과정 A"/>
    <n v="123"/>
    <n v="670"/>
    <d v="2023-02-28T00:00:00"/>
    <d v="2023-08-24T00:00:00"/>
    <n v="20"/>
    <n v="20"/>
    <n v="24"/>
    <n v="1"/>
    <n v="1.2"/>
  </r>
  <r>
    <n v="16"/>
    <s v="2월"/>
    <x v="3"/>
    <x v="0"/>
    <x v="2"/>
    <s v="국내여행안내(12030103)"/>
    <n v="1"/>
    <s v="관광통역안내사/국내여행안내사(필기)자격증과정 "/>
    <n v="38"/>
    <n v="150"/>
    <d v="2023-02-04T00:00:00"/>
    <d v="2023-06-17T00:00:00"/>
    <n v="20"/>
    <n v="9"/>
    <n v="9"/>
    <n v="0.45"/>
    <n v="0.45"/>
  </r>
  <r>
    <n v="17"/>
    <s v="2월"/>
    <x v="3"/>
    <x v="0"/>
    <x v="2"/>
    <s v="항공여객운송서비스(09040205)"/>
    <n v="1"/>
    <s v="항공사CRS(예약발권)/DCS(탑승수속)과정"/>
    <n v="47"/>
    <n v="139"/>
    <d v="2023-02-13T00:00:00"/>
    <d v="2023-05-04T00:00:00"/>
    <n v="20"/>
    <n v="12"/>
    <n v="12"/>
    <n v="0.6"/>
    <n v="0.6"/>
  </r>
  <r>
    <n v="18"/>
    <s v="3월"/>
    <x v="0"/>
    <x v="0"/>
    <x v="4"/>
    <s v=" 인공지능플랫폼구축(20010701)"/>
    <n v="3"/>
    <s v="[K-DIGITAL]AI기반 챗봇 및 OCR 개발 전문가 과정 (3회차)"/>
    <n v="118"/>
    <n v="944"/>
    <d v="2023-03-02T00:00:00"/>
    <d v="2023-08-29T00:00:00"/>
    <n v="35"/>
    <n v="18"/>
    <n v="19"/>
    <n v="0.51428571428571423"/>
    <n v="0.54285714285714282"/>
  </r>
  <r>
    <n v="19"/>
    <s v="3월"/>
    <x v="0"/>
    <x v="3"/>
    <x v="2"/>
    <s v="응용SW엔지니어링(20010202)"/>
    <n v="2"/>
    <s v="자바(JAVA)기반 스프링 응용SW개발자 양성과정A"/>
    <n v="70"/>
    <n v="280"/>
    <d v="2023-03-07T00:00:00"/>
    <d v="2023-06-14T00:00:00"/>
    <n v="30"/>
    <n v="16"/>
    <n v="20"/>
    <n v="0.53333333333333333"/>
    <n v="0.66666666666666663"/>
  </r>
  <r>
    <n v="20"/>
    <s v="3월"/>
    <x v="0"/>
    <x v="4"/>
    <x v="5"/>
    <s v=" 정보보호관리·운영(20010601)"/>
    <n v="1"/>
    <s v="[과정평가형] 정보보안산업기사 취득과정A"/>
    <n v="107"/>
    <n v="856"/>
    <d v="2023-03-09T00:00:00"/>
    <d v="2023-08-08T00:00:00"/>
    <n v="20"/>
    <n v="20"/>
    <n v="16"/>
    <n v="1"/>
    <n v="0.8"/>
  </r>
  <r>
    <n v="21"/>
    <s v="3월"/>
    <x v="2"/>
    <x v="1"/>
    <x v="2"/>
    <s v="응용SW엔지니어링(20010202)"/>
    <n v="1"/>
    <s v="자바기반 웹개발자 양성과정"/>
    <n v="56"/>
    <n v="280"/>
    <d v="2023-03-13T00:00:00"/>
    <d v="2023-05-31T00:00:00"/>
    <n v="20"/>
    <n v="9"/>
    <n v="20"/>
    <n v="0.45"/>
    <n v="1"/>
  </r>
  <r>
    <n v="22"/>
    <s v="3월"/>
    <x v="1"/>
    <x v="8"/>
    <x v="0"/>
    <s v="게임콘텐츠제작(08030205)"/>
    <n v="1"/>
    <s v="(게임콘텐츠제작) 게임프로그래머양성과정"/>
    <n v="145"/>
    <n v="870"/>
    <d v="2023-03-14T00:00:00"/>
    <d v="2023-12-05T00:00:00"/>
    <n v="20"/>
    <n v="17"/>
    <n v="13"/>
    <n v="0.85"/>
    <n v="0.65"/>
  </r>
  <r>
    <n v="23"/>
    <s v="3월"/>
    <x v="1"/>
    <x v="5"/>
    <x v="2"/>
    <s v=" 게임콘텐츠제작(08030205)"/>
    <n v="1"/>
    <s v="게임프로그래머 유니티 양성과정 "/>
    <n v="124"/>
    <n v="370"/>
    <d v="2023-03-14T00:00:00"/>
    <d v="2023-09-11T00:00:00"/>
    <n v="20"/>
    <n v="13"/>
    <n v="10"/>
    <n v="0.65"/>
    <n v="0.5"/>
  </r>
  <r>
    <n v="24"/>
    <s v="3월"/>
    <x v="1"/>
    <x v="1"/>
    <x v="2"/>
    <s v="게임콘텐츠제작(08030205)"/>
    <n v="1"/>
    <s v="게임기획 전문 실무자 양성과정"/>
    <n v="74"/>
    <n v="370"/>
    <d v="2023-03-14T00:00:00"/>
    <d v="2023-06-27T00:00:00"/>
    <n v="20"/>
    <n v="9"/>
    <n v="22"/>
    <n v="0.45"/>
    <n v="1.1000000000000001"/>
  </r>
  <r>
    <n v="25"/>
    <s v="3월"/>
    <x v="4"/>
    <x v="0"/>
    <x v="2"/>
    <s v="광고콘텐츠제작(08030204)"/>
    <n v="1"/>
    <s v="모션그래픽 광고콘텐츠(영상제작,편집,CG) 제작 과정"/>
    <n v="58"/>
    <n v="290"/>
    <d v="2023-03-14T00:00:00"/>
    <d v="2023-06-22T00:00:00"/>
    <n v="20"/>
    <n v="7"/>
    <n v="9"/>
    <n v="0.35"/>
    <n v="0.45"/>
  </r>
  <r>
    <n v="26"/>
    <s v="3월"/>
    <x v="2"/>
    <x v="8"/>
    <x v="2"/>
    <s v=" 디지털디자인(08020104)"/>
    <n v="1"/>
    <s v="웹디자이너 양성과정 "/>
    <n v="73"/>
    <n v="290"/>
    <d v="2023-03-14T00:00:00"/>
    <d v="2023-06-27T00:00:00"/>
    <n v="10"/>
    <n v="9"/>
    <n v="8"/>
    <n v="0.9"/>
    <n v="0.8"/>
  </r>
  <r>
    <n v="27"/>
    <s v="3월"/>
    <x v="2"/>
    <x v="9"/>
    <x v="2"/>
    <s v="UI/UX엔지니어링(20010207)"/>
    <n v="1"/>
    <s v="프론트엔드(UIUX) 개발자 양성과정 "/>
    <n v="0"/>
    <n v="350"/>
    <d v="2023-03-14T00:00:00"/>
    <d v="2023-06-22T00:00:00"/>
    <n v="21"/>
    <n v="6"/>
    <n v="10"/>
    <n v="0.2857142857142857"/>
    <n v="0.47619047619047616"/>
  </r>
  <r>
    <n v="28"/>
    <s v="3월"/>
    <x v="2"/>
    <x v="10"/>
    <x v="2"/>
    <s v="실내건축설계(14030104)"/>
    <n v="1"/>
    <s v="실내건축 인테리어 설계(AutoCAD)와 디자인(3ds MAX) "/>
    <n v="70"/>
    <n v="280"/>
    <d v="2023-03-14T00:00:00"/>
    <d v="2023-06-26T00:00:00"/>
    <n v="14"/>
    <n v="12"/>
    <n v="6"/>
    <n v="0.8571428571428571"/>
    <n v="0.42857142857142855"/>
  </r>
  <r>
    <n v="29"/>
    <s v="3월"/>
    <x v="2"/>
    <x v="0"/>
    <x v="2"/>
    <s v=" UI/UX엔지니어링(20010207)"/>
    <n v="1"/>
    <s v="스마트 웹 콘텐츠개발 UIUX&amp;웹퍼블리셔(프론트엔드) "/>
    <n v="87"/>
    <n v="348"/>
    <d v="2023-03-20T00:00:00"/>
    <d v="2023-07-25T00:00:00"/>
    <n v="20"/>
    <n v="8"/>
    <n v="7"/>
    <n v="0.4"/>
    <n v="0.35"/>
  </r>
  <r>
    <n v="30"/>
    <s v="3월"/>
    <x v="2"/>
    <x v="4"/>
    <x v="5"/>
    <s v="실내디자인(08020107)"/>
    <n v="1"/>
    <s v="(과정평가형자격) 실내건축산업기사 취득과정_A"/>
    <n v="151"/>
    <n v="752"/>
    <d v="2023-03-20T00:00:00"/>
    <d v="2023-10-27T00:00:00"/>
    <n v="20"/>
    <n v="18"/>
    <n v="29"/>
    <n v="0.9"/>
    <n v="1.45"/>
  </r>
  <r>
    <n v="31"/>
    <s v="3월"/>
    <x v="2"/>
    <x v="9"/>
    <x v="2"/>
    <s v="편집디자인(22010102)"/>
    <n v="1"/>
    <s v="편집디자인(포토샵, 일러스트, 인디자인) 실무자 양성과정"/>
    <n v="64"/>
    <n v="320"/>
    <d v="2023-03-21T00:00:00"/>
    <d v="2023-06-21T00:00:00"/>
    <n v="20"/>
    <n v="6"/>
    <n v="24"/>
    <n v="0.3"/>
    <n v="1.2"/>
  </r>
  <r>
    <n v="32"/>
    <s v="3월"/>
    <x v="2"/>
    <x v="7"/>
    <x v="3"/>
    <s v=" 실내건축설계(14030104)"/>
    <n v="1"/>
    <s v="(BIM) BIM건축설계&amp;실내건축설계 실무 양성과정 A "/>
    <n v="123"/>
    <n v="650"/>
    <d v="2023-03-23T00:00:00"/>
    <d v="2023-09-15T00:00:00"/>
    <n v="20"/>
    <n v="19"/>
    <n v="23"/>
    <n v="0.95"/>
    <n v="1.1499999999999999"/>
  </r>
  <r>
    <n v="33"/>
    <s v="3월"/>
    <x v="2"/>
    <x v="11"/>
    <x v="2"/>
    <s v="디지털디자인(08020104)"/>
    <n v="1"/>
    <s v="디지털디자인 UI/UX 웹디자인&amp;웹퍼블리셔 "/>
    <n v="71"/>
    <n v="283"/>
    <d v="2023-03-27T00:00:00"/>
    <d v="2023-07-06T00:00:00"/>
    <n v="12"/>
    <n v="5"/>
    <n v="12"/>
    <n v="0.41666666666666669"/>
    <n v="1"/>
  </r>
  <r>
    <n v="34"/>
    <s v="3월"/>
    <x v="5"/>
    <x v="7"/>
    <x v="2"/>
    <s v="피부미용(12010102)"/>
    <n v="1"/>
    <s v="미용사(피부)국가자격증 취득과정 "/>
    <n v="44"/>
    <n v="220"/>
    <d v="2023-03-28T00:00:00"/>
    <d v="2023-08-31T00:00:00"/>
    <n v="10"/>
    <n v="8"/>
    <n v="12"/>
    <n v="0.8"/>
    <n v="1.2"/>
  </r>
  <r>
    <n v="35"/>
    <s v="3월"/>
    <x v="2"/>
    <x v="12"/>
    <x v="2"/>
    <s v="디지털디자인(08020104)"/>
    <n v="1"/>
    <s v="UIUX기반 웹디자인&amp;웹퍼블리셔 양성과정 "/>
    <n v="58"/>
    <n v="290"/>
    <d v="2023-03-28T00:00:00"/>
    <d v="2023-06-20T00:00:00"/>
    <n v="20"/>
    <n v="9"/>
    <n v="6"/>
    <n v="0.45"/>
    <n v="0.3"/>
  </r>
  <r>
    <n v="36"/>
    <s v="3월"/>
    <x v="1"/>
    <x v="6"/>
    <x v="2"/>
    <s v="게임콘텐츠제작(08030205)"/>
    <n v="1"/>
    <s v="게임엔진 및 게임 네트워크 프로그래밍(Unity 활용) 개발자 양성"/>
    <n v="94"/>
    <n v="370"/>
    <d v="2023-03-29T00:00:00"/>
    <d v="2023-08-25T00:00:00"/>
    <n v="22"/>
    <n v="8"/>
    <n v="16"/>
    <n v="0.36363636363636365"/>
    <n v="0.72727272727272729"/>
  </r>
  <r>
    <n v="37"/>
    <s v="3월"/>
    <x v="2"/>
    <x v="2"/>
    <x v="0"/>
    <s v=" 실내건축설계(14030104)"/>
    <n v="1"/>
    <s v="(BIM)건축설계&amp;실내건축설계양성과정(CAD,MAX)A"/>
    <n v="149"/>
    <n v="634"/>
    <d v="2023-03-29T00:00:00"/>
    <d v="2023-11-17T00:00:00"/>
    <n v="20"/>
    <n v="17"/>
    <n v="9"/>
    <n v="0.85"/>
    <n v="0.45"/>
  </r>
  <r>
    <n v="38"/>
    <s v="3월"/>
    <x v="3"/>
    <x v="0"/>
    <x v="2"/>
    <s v="여행상품상담(12030102)"/>
    <n v="1"/>
    <s v="여행사예약발권(CRS)/오퍼레이터(OP)과정 "/>
    <n v="31"/>
    <n v="152"/>
    <d v="2023-03-11T00:00:00"/>
    <d v="2023-06-25T00:00:00"/>
    <n v="20"/>
    <n v="8"/>
    <n v="8"/>
    <n v="0.4"/>
    <n v="0.4"/>
  </r>
  <r>
    <n v="39"/>
    <s v="3월"/>
    <x v="3"/>
    <x v="2"/>
    <x v="2"/>
    <s v=" 항공여객운송서비스(09040205)"/>
    <n v="1"/>
    <s v="항공사지상직/CRS예약발권 "/>
    <n v="33"/>
    <n v="130"/>
    <d v="2023-03-27T00:00:00"/>
    <d v="2023-05-15T00:00:00"/>
    <n v="20"/>
    <n v="4"/>
    <n v="4"/>
    <n v="0.2"/>
    <n v="0.2"/>
  </r>
  <r>
    <n v="40"/>
    <s v="4월"/>
    <x v="0"/>
    <x v="5"/>
    <x v="2"/>
    <s v="UI/UX엔지니어링(20010207)"/>
    <n v="1"/>
    <s v="UI/UX기반 프론트엔드 개발자 양성 과정A"/>
    <n v="70"/>
    <n v="350"/>
    <d v="2023-04-03T00:00:00"/>
    <d v="2023-07-14T00:00:00"/>
    <n v="27"/>
    <n v="10"/>
    <n v="10"/>
    <n v="0.37037037037037035"/>
    <n v="0.37037037037037035"/>
  </r>
  <r>
    <n v="41"/>
    <s v="4월"/>
    <x v="2"/>
    <x v="13"/>
    <x v="2"/>
    <s v=" 광고콘텐츠제작(08030204)"/>
    <n v="1"/>
    <s v="모션그래픽 광고콘텐츠(영상제작,편집,CG) 제작과정"/>
    <n v="60"/>
    <n v="300"/>
    <d v="2023-04-11T00:00:00"/>
    <d v="2023-07-06T00:00:00"/>
    <n v="22"/>
    <n v="12"/>
    <n v="12"/>
    <n v="0.54545454545454541"/>
    <n v="0.54545454545454541"/>
  </r>
  <r>
    <n v="42"/>
    <s v="4월"/>
    <x v="2"/>
    <x v="5"/>
    <x v="2"/>
    <s v=" 디지털디자인(08020104)"/>
    <n v="1"/>
    <s v="[UIUX] 반응형웹디자인&amp;웹퍼블리셔(프론트엔드) 양성 과정 "/>
    <n v="58"/>
    <n v="290"/>
    <d v="2023-04-11T00:00:00"/>
    <d v="2023-07-04T00:00:00"/>
    <n v="20"/>
    <n v="12"/>
    <n v="12"/>
    <n v="0.6"/>
    <n v="0.6"/>
  </r>
  <r>
    <n v="43"/>
    <s v="4월"/>
    <x v="1"/>
    <x v="2"/>
    <x v="2"/>
    <s v="게임콘텐츠제작(08030205)"/>
    <n v="1"/>
    <s v="게임프로그래머 양성과정(유니티) A"/>
    <n v="120"/>
    <n v="370"/>
    <d v="2023-04-11T00:00:00"/>
    <d v="2023-10-06T00:00:00"/>
    <n v="10"/>
    <n v="9"/>
    <n v="10"/>
    <n v="0.9"/>
    <n v="1"/>
  </r>
  <r>
    <n v="44"/>
    <s v="4월"/>
    <x v="1"/>
    <x v="14"/>
    <x v="2"/>
    <s v="게임콘텐츠제작(08030205)"/>
    <n v="1"/>
    <s v="게임프로그래머 양성과정(유니티) "/>
    <n v="74"/>
    <n v="370"/>
    <d v="2023-04-11T00:00:00"/>
    <d v="2023-07-25T00:00:00"/>
    <n v="14"/>
    <n v="8"/>
    <n v="9"/>
    <n v="0.5714285714285714"/>
    <n v="0.6428571428571429"/>
  </r>
  <r>
    <n v="45"/>
    <s v="4월"/>
    <x v="0"/>
    <x v="3"/>
    <x v="2"/>
    <s v="UI/UX엔지니어링(20010207)"/>
    <n v="1"/>
    <s v="웹(퍼블리셔) 프론트엔드(Javascript,React) 양성과정"/>
    <n v="50"/>
    <n v="350"/>
    <d v="2023-04-13T00:00:00"/>
    <d v="2023-06-23T00:00:00"/>
    <n v="30"/>
    <n v="14"/>
    <n v="15"/>
    <n v="0.46666666666666667"/>
    <n v="0.5"/>
  </r>
  <r>
    <n v="46"/>
    <s v="4월"/>
    <x v="0"/>
    <x v="4"/>
    <x v="0"/>
    <s v=" 응용SW엔지니어링(20010202)"/>
    <n v="1"/>
    <s v="(디지털컨버전스) 임베디드 소프트웨어 융합 풀스택 개발자 양성 과정B"/>
    <n v="127"/>
    <n v="808"/>
    <d v="2023-04-17T00:00:00"/>
    <d v="2023-10-04T00:00:00"/>
    <n v="33"/>
    <n v="29"/>
    <n v="30"/>
    <n v="0.87878787878787878"/>
    <n v="0.90909090909090906"/>
  </r>
  <r>
    <n v="47"/>
    <s v="4월"/>
    <x v="2"/>
    <x v="12"/>
    <x v="2"/>
    <s v="편집디자인(22010102)"/>
    <n v="1"/>
    <s v="편집(포토샵, 일러스트, 인디자인) 디자이너 양성과정"/>
    <n v="80"/>
    <n v="320"/>
    <d v="2023-04-18T00:00:00"/>
    <d v="2023-08-14T00:00:00"/>
    <n v="20"/>
    <n v="8"/>
    <n v="12"/>
    <n v="0.4"/>
    <n v="0.6"/>
  </r>
  <r>
    <n v="48"/>
    <s v="4월"/>
    <x v="1"/>
    <x v="11"/>
    <x v="2"/>
    <s v="게임콘텐츠제작(08030205)"/>
    <n v="1"/>
    <s v="유니티(Unity)게임 프로그래머 양성과정"/>
    <n v="124"/>
    <n v="370"/>
    <d v="2023-04-18T00:00:00"/>
    <d v="2023-10-18T00:00:00"/>
    <n v="17"/>
    <n v="14"/>
    <n v="14"/>
    <n v="0.82352941176470584"/>
    <n v="0.82352941176470584"/>
  </r>
  <r>
    <n v="49"/>
    <s v="4월"/>
    <x v="0"/>
    <x v="0"/>
    <x v="5"/>
    <s v="응용SW엔지니어링(20010202)"/>
    <n v="1"/>
    <s v="[과정평가형]정보처리산업기사 취득과정A "/>
    <n v="142"/>
    <n v="850"/>
    <d v="2023-04-19T00:00:00"/>
    <d v="2023-11-03T00:00:00"/>
    <n v="35"/>
    <n v="24"/>
    <n v="24"/>
    <n v="0.68571428571428572"/>
    <n v="0.68571428571428572"/>
  </r>
  <r>
    <n v="50"/>
    <s v="4월"/>
    <x v="0"/>
    <x v="5"/>
    <x v="2"/>
    <s v=" 응용SW엔지니어링(20010202)"/>
    <n v="1"/>
    <s v="자바기반 백엔드 개발자 양성과정B "/>
    <n v="56"/>
    <n v="280"/>
    <d v="2023-04-20T00:00:00"/>
    <d v="2023-07-13T00:00:00"/>
    <n v="28"/>
    <n v="19"/>
    <n v="19"/>
    <n v="0.6785714285714286"/>
    <n v="0.6785714285714286"/>
  </r>
  <r>
    <n v="51"/>
    <s v="4월"/>
    <x v="0"/>
    <x v="2"/>
    <x v="6"/>
    <s v=" 응용SW엔지니어링(20010202)"/>
    <n v="1"/>
    <s v="(과정평가형 자격) 정보처리기능사 취득과정A"/>
    <n v="86"/>
    <n v="600"/>
    <d v="2023-04-20T00:00:00"/>
    <d v="2023-08-24T00:00:00"/>
    <n v="20"/>
    <n v="20"/>
    <n v="20"/>
    <n v="1"/>
    <n v="1"/>
  </r>
  <r>
    <n v="52"/>
    <s v="4월"/>
    <x v="2"/>
    <x v="10"/>
    <x v="2"/>
    <s v=" 디지털디자인(08020104)"/>
    <n v="1"/>
    <s v="웹디자인&amp;퍼블리싱 실무자 양성과정"/>
    <n v="73"/>
    <n v="290"/>
    <d v="2023-04-28T00:00:00"/>
    <d v="2023-08-18T00:00:00"/>
    <n v="14"/>
    <n v="11"/>
    <n v="12"/>
    <n v="0.7857142857142857"/>
    <n v="0.8571428571428571"/>
  </r>
  <r>
    <n v="53"/>
    <s v="4월"/>
    <x v="3"/>
    <x v="0"/>
    <x v="2"/>
    <s v="국내여행안내(12030103)"/>
    <n v="2"/>
    <s v="관광통역안내사/국내여행안내사(필기)자격증과정 "/>
    <n v="51"/>
    <n v="150"/>
    <d v="2023-04-10T00:00:00"/>
    <d v="2023-08-07T00:00:00"/>
    <n v="20"/>
    <n v="6"/>
    <n v="6"/>
    <n v="0.3"/>
    <n v="0.3"/>
  </r>
  <r>
    <n v="54"/>
    <s v="5월"/>
    <x v="1"/>
    <x v="8"/>
    <x v="2"/>
    <s v="게임콘텐츠제작(08030205)"/>
    <n v="1"/>
    <s v="게임 3D그래픽 디자이너 양성과정(모델링,애니메이션) "/>
    <n v="93"/>
    <n v="370"/>
    <d v="2023-05-02T00:00:00"/>
    <d v="2023-10-24T00:00:00"/>
    <n v="10"/>
    <n v="9"/>
    <n v="9"/>
    <n v="0.9"/>
    <n v="0.9"/>
  </r>
  <r>
    <n v="55"/>
    <s v="5월"/>
    <x v="0"/>
    <x v="0"/>
    <x v="4"/>
    <s v="핀테크엔지니어링(20010210)"/>
    <n v="1"/>
    <s v="[KDT] (핀테크) Spring 및 Ai 기반 핀테크 프로젝트 구축 "/>
    <n v="121"/>
    <n v="963"/>
    <d v="2023-05-02T00:00:00"/>
    <d v="2023-11-06T00:00:00"/>
    <n v="30"/>
    <n v="24"/>
    <n v="27"/>
    <n v="0.8"/>
    <n v="0.9"/>
  </r>
  <r>
    <n v="56"/>
    <s v="5월"/>
    <x v="2"/>
    <x v="12"/>
    <x v="2"/>
    <s v=" 광고콘텐츠제작(08030204)"/>
    <n v="1"/>
    <s v="모션그래픽(영상편집 디자인) 실무자 양성과정 1회차"/>
    <n v="68"/>
    <n v="272"/>
    <d v="2023-05-03T00:00:00"/>
    <d v="2023-08-10T00:00:00"/>
    <n v="20"/>
    <n v="12"/>
    <n v="17"/>
    <n v="0.6"/>
    <n v="0.85"/>
  </r>
  <r>
    <n v="57"/>
    <s v="5월"/>
    <x v="0"/>
    <x v="6"/>
    <x v="4"/>
    <s v="응용SW엔지니어링(20010202)"/>
    <n v="2"/>
    <s v="(KDT)스마트팩토리 MES 구축 전문가 양성과정"/>
    <n v="95"/>
    <n v="756"/>
    <d v="2023-05-08T00:00:00"/>
    <d v="2023-09-20T00:00:00"/>
    <n v="30"/>
    <n v="8"/>
    <n v="8"/>
    <n v="0.26666666666666666"/>
    <n v="0.26666666666666666"/>
  </r>
  <r>
    <n v="58"/>
    <s v="5월"/>
    <x v="2"/>
    <x v="0"/>
    <x v="2"/>
    <s v="광고콘텐츠제작(08030204)"/>
    <n v="1"/>
    <s v="광고콘텐츠 3D모션그래픽제작(에프터이펙트, 프리미어, C4D)과정 "/>
    <n v="45"/>
    <n v="300"/>
    <d v="2023-05-11T00:00:00"/>
    <d v="2023-08-29T00:00:00"/>
    <n v="20"/>
    <n v="13"/>
    <n v="14"/>
    <n v="0.65"/>
    <n v="0.7"/>
  </r>
  <r>
    <n v="59"/>
    <s v="5월"/>
    <x v="1"/>
    <x v="10"/>
    <x v="2"/>
    <s v="게임콘텐츠제작(08030205)"/>
    <n v="1"/>
    <s v="게임기획 실무자 양성과정A"/>
    <n v="122"/>
    <n v="370"/>
    <d v="2023-05-16T00:00:00"/>
    <d v="2023-11-14T00:00:00"/>
    <n v="21"/>
    <n v="15"/>
    <n v="16"/>
    <n v="0.7142857142857143"/>
    <n v="0.76190476190476186"/>
  </r>
  <r>
    <n v="60"/>
    <s v="5월"/>
    <x v="0"/>
    <x v="7"/>
    <x v="2"/>
    <s v="응용SW엔지니어링(20010202)"/>
    <n v="2"/>
    <s v="자바 백엔드 개발자 양성과정A "/>
    <n v="47"/>
    <n v="280"/>
    <d v="2023-05-25T00:00:00"/>
    <d v="2023-08-01T00:00:00"/>
    <n v="30"/>
    <n v="8"/>
    <n v="8"/>
    <n v="0.26666666666666666"/>
    <n v="0.26666666666666666"/>
  </r>
  <r>
    <n v="61"/>
    <s v="5월"/>
    <x v="0"/>
    <x v="0"/>
    <x v="5"/>
    <s v="정보보호관리·운영(20010601)"/>
    <n v="1"/>
    <s v="[과정평가형]정보보안산업기사 취득과정A"/>
    <n v="94"/>
    <n v="752"/>
    <d v="2023-05-30T00:00:00"/>
    <d v="2023-10-26T00:00:00"/>
    <n v="21"/>
    <n v="14"/>
    <n v="14"/>
    <n v="0.66666666666666663"/>
    <n v="0.66666666666666663"/>
  </r>
  <r>
    <n v="62"/>
    <s v="5월"/>
    <x v="0"/>
    <x v="6"/>
    <x v="0"/>
    <s v="보안엔지니어링(20010206)"/>
    <n v="1"/>
    <s v="(정보시스템 구축) 정보시스템 보안운영 및 보안사고 분석A"/>
    <n v="98"/>
    <n v="784"/>
    <d v="2023-05-30T00:00:00"/>
    <d v="2023-10-20T00:00:00"/>
    <n v="22"/>
    <n v="10"/>
    <n v="10"/>
    <n v="0.45454545454545453"/>
    <n v="0.45454545454545453"/>
  </r>
  <r>
    <n v="63"/>
    <s v="5월"/>
    <x v="0"/>
    <x v="3"/>
    <x v="2"/>
    <s v="응용SW엔지니어링(20010202)"/>
    <n v="1"/>
    <s v="자바(JAVA)기반 스프링 응용SW개발자 양성과정B "/>
    <n v="70"/>
    <n v="280"/>
    <d v="2023-05-30T00:00:00"/>
    <d v="2023-09-06T00:00:00"/>
    <n v="30"/>
    <n v="20"/>
    <n v="20"/>
    <n v="0.66666666666666663"/>
    <n v="0.66666666666666663"/>
  </r>
  <r>
    <n v="64"/>
    <s v="5월"/>
    <x v="3"/>
    <x v="0"/>
    <x v="2"/>
    <s v="항공여객운송서비스(09040205)"/>
    <n v="2"/>
    <s v="항공사CRS(예약발권)/DCS(탑승수속)과정 "/>
    <n v="47"/>
    <n v="139"/>
    <d v="2023-05-08T00:00:00"/>
    <d v="2023-07-31T00:00:00"/>
    <n v="20"/>
    <n v="11"/>
    <n v="11"/>
    <n v="0.55000000000000004"/>
    <n v="0.55000000000000004"/>
  </r>
  <r>
    <n v="65"/>
    <s v="5월"/>
    <x v="3"/>
    <x v="0"/>
    <x v="2"/>
    <s v="국내여행안내(12030103)"/>
    <n v="3"/>
    <s v="관광통역안내사/국내여행안내사(필기)자격증과정 "/>
    <n v="41"/>
    <n v="150"/>
    <d v="2023-05-16T00:00:00"/>
    <d v="2023-08-22T00:00:00"/>
    <n v="20"/>
    <n v="12"/>
    <n v="12"/>
    <n v="0.6"/>
    <n v="0.6"/>
  </r>
  <r>
    <n v="66"/>
    <s v="6월"/>
    <x v="2"/>
    <x v="7"/>
    <x v="0"/>
    <s v="응용SW엔지니어링(20010202)"/>
    <n v="1"/>
    <s v="(디지털컨버전스) 임베디드 소프트웨어 융합 풀스택 개발자 양성과정 B "/>
    <n v="123"/>
    <n v="670"/>
    <d v="2023-06-12T00:00:00"/>
    <d v="2023-12-06T00:00:00"/>
    <n v="20"/>
    <n v="16"/>
    <n v="18"/>
    <n v="0.8"/>
    <n v="0.9"/>
  </r>
  <r>
    <n v="67"/>
    <s v="6월"/>
    <x v="2"/>
    <x v="15"/>
    <x v="2"/>
    <s v="UI/UX엔지니어링(20010207)"/>
    <n v="1"/>
    <s v="UIUX 웹퍼블리셔 양성과정"/>
    <n v="88"/>
    <n v="350"/>
    <d v="2023-06-12T00:00:00"/>
    <d v="2023-09-18T00:00:00"/>
    <n v="20"/>
    <n v="8"/>
    <n v="9"/>
    <n v="0.4"/>
    <n v="0.45"/>
  </r>
  <r>
    <n v="68"/>
    <s v="6월"/>
    <x v="0"/>
    <x v="5"/>
    <x v="2"/>
    <s v="응용SW엔지니어링(20010202)"/>
    <n v="1"/>
    <s v="UI/UX기반 프론트엔드 개발자 양성과정B"/>
    <n v="88"/>
    <n v="350"/>
    <d v="2023-06-14T00:00:00"/>
    <d v="2023-10-24T00:00:00"/>
    <n v="28"/>
    <n v="9"/>
    <n v="9"/>
    <n v="0.32142857142857145"/>
    <n v="0.32142857142857145"/>
  </r>
  <r>
    <n v="69"/>
    <s v="6월"/>
    <x v="0"/>
    <x v="6"/>
    <x v="0"/>
    <s v="응용SW엔지니어링(20010202)"/>
    <n v="1"/>
    <s v="(AI 활용 소프트웨어 개발 및 응용) 자바 파이썬 기반 AI개발 및 응용 "/>
    <n v="117"/>
    <n v="930"/>
    <d v="2023-06-19T00:00:00"/>
    <d v="2023-12-05T00:00:00"/>
    <n v="20"/>
    <n v="15"/>
    <n v="16"/>
    <n v="0.75"/>
    <n v="0.8"/>
  </r>
  <r>
    <n v="70"/>
    <s v="6월"/>
    <x v="2"/>
    <x v="4"/>
    <x v="0"/>
    <s v="디지털디자인(08020104)"/>
    <n v="1"/>
    <s v="(스마트혼합)[디지털디자인]스마트UIUX 반응형 웹디자인(웹퍼블리셔)_B"/>
    <n v="110"/>
    <n v="692"/>
    <d v="2023-06-19T00:00:00"/>
    <d v="2023-11-28T00:00:00"/>
    <n v="25"/>
    <n v="11"/>
    <n v="21"/>
    <n v="0.44"/>
    <n v="0.84"/>
  </r>
  <r>
    <n v="71"/>
    <s v="6월"/>
    <x v="2"/>
    <x v="1"/>
    <x v="2"/>
    <s v="디지털디자인(08020104)"/>
    <n v="1"/>
    <s v="웹디자이너 양성과정"/>
    <n v="58"/>
    <n v="290"/>
    <d v="2023-06-21T00:00:00"/>
    <d v="2023-09-13T00:00:00"/>
    <n v="20"/>
    <n v="6"/>
    <n v="9"/>
    <n v="0.3"/>
    <n v="0.45"/>
  </r>
  <r>
    <n v="72"/>
    <s v="6월"/>
    <x v="0"/>
    <x v="2"/>
    <x v="7"/>
    <s v=" 정보기술개발(200102)"/>
    <n v="2"/>
    <s v="AWS(클라우드) 기반 공공ㆍ빅데이터 활용 웹서비스 개발자 양성"/>
    <n v="110"/>
    <n v="880"/>
    <d v="2023-06-23T00:00:00"/>
    <d v="2023-11-30T00:00:00"/>
    <n v="17"/>
    <n v="17"/>
    <n v="20"/>
    <n v="1"/>
    <n v="1.1764705882352942"/>
  </r>
  <r>
    <n v="73"/>
    <s v="6월"/>
    <x v="0"/>
    <x v="4"/>
    <x v="0"/>
    <s v="응용SW엔지니어링(20010202)"/>
    <n v="1"/>
    <s v="(스마트웹콘텐츠개발) 스마트웹 응용 프로그래밍 개발자 양성 과정A"/>
    <n v="103"/>
    <n v="872"/>
    <d v="2023-06-26T00:00:00"/>
    <d v="2023-11-30T00:00:00"/>
    <n v="25"/>
    <n v="17"/>
    <n v="16"/>
    <n v="0.68"/>
    <n v="0.64"/>
  </r>
  <r>
    <n v="74"/>
    <s v="6월"/>
    <x v="0"/>
    <x v="0"/>
    <x v="4"/>
    <s v="인공지능플랫폼구축(20010701)"/>
    <n v="4"/>
    <s v="[KDT] AI기반 챗봇 및 OCR 개발 전문가 과정"/>
    <n v="118"/>
    <n v="944"/>
    <d v="2023-06-28T00:00:00"/>
    <d v="2023-12-22T00:00:00"/>
    <n v="35"/>
    <n v="12"/>
    <n v="16"/>
    <n v="0.34285714285714286"/>
    <n v="0.45714285714285713"/>
  </r>
  <r>
    <n v="75"/>
    <s v="6월"/>
    <x v="3"/>
    <x v="0"/>
    <x v="2"/>
    <s v=" 여행상품상담(12030102)"/>
    <n v="2"/>
    <s v="여행사예약발권(CRS)/오퍼레이터(OP)과정 "/>
    <n v="39"/>
    <n v="152"/>
    <d v="2023-06-05T00:00:00"/>
    <d v="2023-07-28T00:00:00"/>
    <n v="20"/>
    <n v="8"/>
    <n v="8"/>
    <n v="0.4"/>
    <n v="0.4"/>
  </r>
  <r>
    <n v="76"/>
    <s v="7월"/>
    <x v="2"/>
    <x v="9"/>
    <x v="2"/>
    <s v=" 디지털디자인(08020104)"/>
    <n v="1"/>
    <s v="웹디자이너 실무자 양성과정"/>
    <n v="58"/>
    <n v="290"/>
    <d v="2023-07-04T00:00:00"/>
    <d v="2023-09-22T00:00:00"/>
    <n v="21"/>
    <n v="12"/>
    <n v="15"/>
    <n v="0.5714285714285714"/>
    <n v="0.7142857142857143"/>
  </r>
  <r>
    <n v="77"/>
    <s v="7월"/>
    <x v="1"/>
    <x v="2"/>
    <x v="2"/>
    <s v="게임콘텐츠제작(08030205)"/>
    <n v="1"/>
    <s v="게임 2D/3D그래픽 디자이너 과정"/>
    <n v="120"/>
    <n v="370"/>
    <d v="2023-07-12T00:00:00"/>
    <d v="2024-01-04T00:00:00"/>
    <n v="10"/>
    <n v="9"/>
    <n v="11"/>
    <n v="0.9"/>
    <n v="1.1000000000000001"/>
  </r>
  <r>
    <n v="78"/>
    <s v="7월"/>
    <x v="1"/>
    <x v="0"/>
    <x v="0"/>
    <s v="게임콘텐츠제작(08030205)"/>
    <n v="1"/>
    <s v="(게임콘텐츠제작)유니티프로그래밍전문가양성과정"/>
    <n v="145"/>
    <n v="870"/>
    <d v="2023-07-19T00:00:00"/>
    <d v="2024-02-20T00:00:00"/>
    <n v="20"/>
    <n v="15"/>
    <n v="16"/>
    <n v="0.75"/>
    <n v="0.8"/>
  </r>
  <r>
    <n v="79"/>
    <s v="7월"/>
    <x v="1"/>
    <x v="1"/>
    <x v="2"/>
    <s v="게임콘텐츠제작(08030205)"/>
    <n v="2"/>
    <s v="(스마트혼합) 유니티 게임프로그래머 양성과정"/>
    <n v="110"/>
    <n v="370"/>
    <d v="2023-07-19T00:00:00"/>
    <d v="2023-12-27T00:00:00"/>
    <n v="20"/>
    <n v="7"/>
    <n v="7"/>
    <n v="0.35"/>
    <n v="0.35"/>
  </r>
  <r>
    <n v="80"/>
    <s v="7월"/>
    <x v="0"/>
    <x v="6"/>
    <x v="4"/>
    <s v="보안엔지니어링(20010206)"/>
    <n v="2"/>
    <s v="클라우드를 활용한 보안 전문가 양성과정"/>
    <n v="125"/>
    <n v="1000"/>
    <d v="2023-07-24T00:00:00"/>
    <d v="2024-01-23T00:00:00"/>
    <n v="22"/>
    <n v="18"/>
    <n v="18"/>
    <n v="0.81818181818181823"/>
    <n v="0.81818181818181823"/>
  </r>
  <r>
    <n v="81"/>
    <s v="7월"/>
    <x v="0"/>
    <x v="5"/>
    <x v="2"/>
    <s v="응용SW엔지니어링(20010202)"/>
    <n v="1"/>
    <s v="자바기반 백엔드 개발자 양성과정C"/>
    <n v="56"/>
    <n v="280"/>
    <d v="2023-07-25T00:00:00"/>
    <d v="2023-09-11T00:00:00"/>
    <n v="28"/>
    <n v="11"/>
    <n v="11"/>
    <n v="0.39285714285714285"/>
    <n v="0.39285714285714285"/>
  </r>
  <r>
    <n v="82"/>
    <s v="7월"/>
    <x v="1"/>
    <x v="0"/>
    <x v="0"/>
    <s v="게임콘텐츠제작(08030205)"/>
    <n v="1"/>
    <s v="(게임콘텐츠제작)유니티게임프로그레머양성과정"/>
    <n v="145"/>
    <n v="870"/>
    <d v="2023-07-25T00:00:00"/>
    <d v="2024-02-26T00:00:00"/>
    <n v="20"/>
    <n v="16"/>
    <n v="17"/>
    <n v="0.8"/>
    <n v="0.85"/>
  </r>
  <r>
    <n v="83"/>
    <s v="7월"/>
    <x v="2"/>
    <x v="13"/>
    <x v="2"/>
    <s v="광고콘텐츠제작(08030204)"/>
    <n v="1"/>
    <s v="[스마트혼합훈련] 2D모션그래픽(영상디자인) 양성과정 "/>
    <n v="52"/>
    <n v="290"/>
    <d v="2023-07-25T00:00:00"/>
    <d v="2023-10-19T00:00:00"/>
    <n v="22"/>
    <n v="11"/>
    <n v="11"/>
    <n v="0.5"/>
    <n v="0.5"/>
  </r>
  <r>
    <n v="84"/>
    <s v="8월"/>
    <x v="1"/>
    <x v="1"/>
    <x v="2"/>
    <s v="게임콘텐츠제작(08030205)"/>
    <n v="2"/>
    <s v="게임기획 전문 실무자 양성과정"/>
    <n v="123"/>
    <n v="370"/>
    <d v="2023-08-09T00:00:00"/>
    <d v="2024-02-06T00:00:00"/>
    <n v="20"/>
    <n v="10"/>
    <n v="10"/>
    <n v="0.5"/>
    <n v="0.5"/>
  </r>
  <r>
    <n v="85"/>
    <s v="8월"/>
    <x v="2"/>
    <x v="5"/>
    <x v="2"/>
    <s v="광고콘텐츠제작(08030204)"/>
    <n v="1"/>
    <s v="모션그래픽&amp;영상편집 전문가(영상제작자 과정) "/>
    <n v="60"/>
    <n v="300"/>
    <d v="2023-08-09T00:00:00"/>
    <d v="2023-11-07T00:00:00"/>
    <n v="20"/>
    <n v="9"/>
    <n v="10"/>
    <n v="0.45"/>
    <n v="0.5"/>
  </r>
  <r>
    <n v="86"/>
    <s v="8월"/>
    <x v="0"/>
    <x v="3"/>
    <x v="2"/>
    <s v="응용SW엔지니어링(20010202)"/>
    <n v="2"/>
    <s v="자바(JAVA)기반 스프링 응용SW개발자 양성과정B"/>
    <n v="70"/>
    <n v="280"/>
    <d v="2023-08-16T00:00:00"/>
    <d v="2023-11-27T00:00:00"/>
    <n v="30"/>
    <n v="17"/>
    <n v="18"/>
    <n v="0.56666666666666665"/>
    <n v="0.6"/>
  </r>
  <r>
    <n v="87"/>
    <s v="8월"/>
    <x v="5"/>
    <x v="2"/>
    <x v="2"/>
    <s v="네일미용(12010104)"/>
    <n v="1"/>
    <s v="미용사(네일)국가자격증 취득과정 "/>
    <n v="60"/>
    <n v="300"/>
    <d v="2023-08-22T00:00:00"/>
    <d v="2023-12-07T00:00:00"/>
    <n v="17"/>
    <n v="7"/>
    <n v="9"/>
    <n v="0.41176470588235292"/>
    <n v="0.52941176470588236"/>
  </r>
  <r>
    <n v="88"/>
    <s v="8월"/>
    <x v="0"/>
    <x v="0"/>
    <x v="4"/>
    <s v="핀테크엔지니어링(20010210)"/>
    <n v="3"/>
    <s v="(핀테크) Spring 및 Ai 기반 핀테크 프로젝트 구축"/>
    <n v="122"/>
    <n v="963"/>
    <d v="2023-08-23T00:00:00"/>
    <d v="2024-02-28T00:00:00"/>
    <n v="30"/>
    <n v="20"/>
    <n v="21"/>
    <n v="0.66666666666666663"/>
    <n v="0.7"/>
  </r>
  <r>
    <n v="89"/>
    <s v="8월"/>
    <x v="0"/>
    <x v="4"/>
    <x v="0"/>
    <s v="정보보호관리·운영(20010601)"/>
    <n v="1"/>
    <s v="[과정평가형]정보보안산업기사 취득과정B "/>
    <n v="107"/>
    <n v="856"/>
    <d v="2023-08-25T00:00:00"/>
    <d v="2024-01-30T00:00:00"/>
    <n v="20"/>
    <n v="20"/>
    <n v="24"/>
    <n v="1"/>
    <n v="1.2"/>
  </r>
  <r>
    <n v="90"/>
    <s v="8월"/>
    <x v="0"/>
    <x v="6"/>
    <x v="5"/>
    <s v="응용SW엔지니어링(20010202)"/>
    <n v="1"/>
    <s v="[과정평가형 자격] 정보처리산업기사 취득과정B "/>
    <n v="112"/>
    <n v="820"/>
    <d v="2023-08-28T00:00:00"/>
    <d v="2024-02-07T00:00:00"/>
    <n v="30"/>
    <n v="18"/>
    <n v="19"/>
    <n v="0.6"/>
    <n v="0.6333333333333333"/>
  </r>
  <r>
    <n v="91"/>
    <s v="8월"/>
    <x v="0"/>
    <x v="0"/>
    <x v="4"/>
    <s v="인공지능플랫폼구축(20010701)"/>
    <n v="5"/>
    <s v="[KDT] AI기반 챗봇 및 OCR 개발 전문가 과정"/>
    <n v="118"/>
    <n v="944"/>
    <d v="2023-08-31T00:00:00"/>
    <d v="2024-03-05T00:00:00"/>
    <n v="35"/>
    <n v="17"/>
    <n v="18"/>
    <n v="0.48571428571428571"/>
    <n v="0.51428571428571423"/>
  </r>
  <r>
    <n v="92"/>
    <s v="8월"/>
    <x v="0"/>
    <x v="7"/>
    <x v="7"/>
    <s v="응용SW엔지니어링(20010202)"/>
    <n v="1"/>
    <s v="데이터사이언스(AI)를 활용한 웹서비스 융합 개발자 양성 과정"/>
    <n v="110"/>
    <n v="880"/>
    <d v="2023-08-30T00:00:00"/>
    <d v="2024-02-08T00:00:00"/>
    <n v="25"/>
    <n v="17"/>
    <n v="19"/>
    <n v="0.68"/>
    <n v="0.76"/>
  </r>
  <r>
    <n v="93"/>
    <s v="8월"/>
    <x v="3"/>
    <x v="0"/>
    <x v="2"/>
    <s v="항공여객운송서비스(09040205)"/>
    <n v="3"/>
    <s v="항공사CRS(예약발권)/DCS(탑승수속)과정"/>
    <n v="47"/>
    <n v="139"/>
    <d v="2023-08-01T00:00:00"/>
    <d v="2023-11-03T00:00:00"/>
    <n v="20"/>
    <n v="10"/>
    <n v="10"/>
    <n v="0.5"/>
    <n v="0.5"/>
  </r>
  <r>
    <n v="94"/>
    <s v="8월"/>
    <x v="3"/>
    <x v="0"/>
    <x v="2"/>
    <s v="여행상품상담(12030102)"/>
    <n v="3"/>
    <s v="여행사예약발권(CRS)/오퍼레이터(OP)과정 "/>
    <n v="51"/>
    <n v="152"/>
    <d v="2023-08-16T00:00:00"/>
    <d v="2023-11-20T00:00:00"/>
    <n v="20"/>
    <n v="6"/>
    <n v="6"/>
    <n v="0.3"/>
    <n v="0.3"/>
  </r>
  <r>
    <n v="95"/>
    <s v="8월"/>
    <x v="3"/>
    <x v="2"/>
    <x v="2"/>
    <s v=" 항공여객운송서비스(09040205)"/>
    <n v="2"/>
    <s v="항공사지상직/CRS예약발권 "/>
    <n v="33"/>
    <n v="130"/>
    <d v="2023-08-28T00:00:00"/>
    <d v="2023-10-17T00:00:00"/>
    <n v="20"/>
    <n v="5"/>
    <n v="5"/>
    <n v="0.25"/>
    <n v="0.25"/>
  </r>
  <r>
    <n v="96"/>
    <s v="9월"/>
    <x v="0"/>
    <x v="0"/>
    <x v="4"/>
    <s v="핀테크엔지니어링(20010210)"/>
    <n v="3"/>
    <s v="(핀테크) Spring 및 Ai 기반 핀테크 프로젝트 구축"/>
    <n v="122"/>
    <n v="963"/>
    <d v="2023-09-07T00:00:00"/>
    <d v="2024-03-15T00:00:00"/>
    <n v="35"/>
    <n v="27"/>
    <n v="27"/>
    <n v="0.77142857142857146"/>
    <n v="0.77142857142857146"/>
  </r>
  <r>
    <n v="97"/>
    <s v="9월"/>
    <x v="0"/>
    <x v="5"/>
    <x v="2"/>
    <s v="UI/UX엔지니어링(20010207)"/>
    <n v="2"/>
    <s v="UI/UX기반 프론트엔드 개발자 양성 과정A"/>
    <n v="70"/>
    <n v="350"/>
    <d v="2023-09-18T00:00:00"/>
    <d v="2023-12-29T00:00:00"/>
    <n v="27"/>
    <n v="7"/>
    <n v="7"/>
    <n v="0.25925925925925924"/>
    <n v="0.25925925925925924"/>
  </r>
  <r>
    <n v="98"/>
    <s v="9월"/>
    <x v="0"/>
    <x v="5"/>
    <x v="2"/>
    <s v="응용SW엔지니어링(20010202)"/>
    <n v="2"/>
    <s v="자바기반 백엔드 개발자 양성과정A"/>
    <n v="70"/>
    <n v="280"/>
    <d v="2023-09-20T00:00:00"/>
    <d v="2024-01-03T00:00:00"/>
    <n v="28"/>
    <n v="7"/>
    <n v="7"/>
    <n v="0.25"/>
    <n v="0.25"/>
  </r>
  <r>
    <n v="99"/>
    <s v="9월"/>
    <x v="0"/>
    <x v="4"/>
    <x v="0"/>
    <s v=" 응용SW엔지니어링(20010202)"/>
    <n v="2"/>
    <s v="(스마트웹콘텐츠개발) 스마트웹 응용 프로그래밍 개발자 양성 과정A_2회차"/>
    <n v="103"/>
    <n v="872"/>
    <d v="2023-09-26T00:00:00"/>
    <d v="2024-03-12T00:00:00"/>
    <n v="8"/>
    <n v="8"/>
    <n v="14"/>
    <n v="1"/>
    <n v="1.75"/>
  </r>
  <r>
    <n v="100"/>
    <s v="9월"/>
    <x v="0"/>
    <x v="2"/>
    <x v="5"/>
    <s v=" 응용SW엔지니어링(20010202)"/>
    <n v="1"/>
    <s v="(과정평가형 자격) 정보처리기능사 취득과정B "/>
    <n v="86"/>
    <n v="600"/>
    <d v="2023-09-07T00:00:00"/>
    <d v="2024-01-17T00:00:00"/>
    <n v="20"/>
    <n v="20"/>
    <n v="22"/>
    <n v="1"/>
    <n v="1.1000000000000001"/>
  </r>
  <r>
    <n v="101"/>
    <s v="9월"/>
    <x v="0"/>
    <x v="3"/>
    <x v="2"/>
    <s v="UI/UX엔지니어링(20010207)"/>
    <n v="1"/>
    <s v="UIUX 웹퍼블리셔 양성과정"/>
    <n v="50"/>
    <n v="350"/>
    <d v="2023-09-25T00:00:00"/>
    <d v="2023-12-08T00:00:00"/>
    <n v="30"/>
    <n v="6"/>
    <n v="7"/>
    <n v="0.2"/>
    <n v="0.23333333333333334"/>
  </r>
  <r>
    <n v="102"/>
    <s v="9월"/>
    <x v="1"/>
    <x v="7"/>
    <x v="0"/>
    <s v=" 게임콘텐츠제작(08030205)"/>
    <n v="1"/>
    <s v="(게임콘텐츠제작) 유니티 게임 프로그래머 개발자 양성과정"/>
    <n v="175"/>
    <n v="870"/>
    <d v="2023-09-18T00:00:00"/>
    <d v="2024-06-11T00:00:00"/>
    <n v="20"/>
    <n v="18"/>
    <n v="18"/>
    <n v="0.9"/>
    <n v="0.9"/>
  </r>
  <r>
    <n v="103"/>
    <s v="9월"/>
    <x v="5"/>
    <x v="2"/>
    <x v="2"/>
    <s v="피부미용(12010102)"/>
    <n v="1"/>
    <s v="미용사(피부)국가자격증 취득과정 "/>
    <n v="60"/>
    <n v="300"/>
    <d v="2023-09-06T00:00:00"/>
    <d v="2024-02-02T00:00:00"/>
    <n v="18"/>
    <n v="10"/>
    <n v="10"/>
    <n v="0.55555555555555558"/>
    <n v="0.55555555555555558"/>
  </r>
  <r>
    <n v="104"/>
    <s v="9월"/>
    <x v="5"/>
    <x v="10"/>
    <x v="2"/>
    <s v=" 네일미용(12010104)"/>
    <n v="1"/>
    <s v="미용사(네일)국가자격증 취득과정"/>
    <n v="60"/>
    <n v="300"/>
    <d v="2023-09-07T00:00:00"/>
    <d v="2023-12-06T00:00:00"/>
    <n v="11"/>
    <n v="11"/>
    <n v="11"/>
    <n v="1"/>
    <n v="1"/>
  </r>
  <r>
    <n v="105"/>
    <s v="9월"/>
    <x v="2"/>
    <x v="8"/>
    <x v="2"/>
    <s v="디지털디자인(08020104)"/>
    <n v="2"/>
    <s v="웹디자이너 양성과정_2회차"/>
    <n v="73"/>
    <n v="290"/>
    <d v="2023-09-11T00:00:00"/>
    <d v="2023-12-28T00:00:00"/>
    <n v="10"/>
    <n v="6"/>
    <n v="8"/>
    <n v="0.6"/>
    <n v="0.8"/>
  </r>
  <r>
    <n v="106"/>
    <s v="9월"/>
    <x v="2"/>
    <x v="9"/>
    <x v="2"/>
    <s v="편집디자인(22010102)"/>
    <n v="2"/>
    <s v="편집디자인(포토샵, 일러스트, 인디자인) 실무자 양성과정 "/>
    <n v="64"/>
    <n v="320"/>
    <d v="2023-09-19T00:00:00"/>
    <d v="2023-12-22T00:00:00"/>
    <n v="20"/>
    <n v="8"/>
    <n v="9"/>
    <n v="0.4"/>
    <n v="0.45"/>
  </r>
  <r>
    <n v="107"/>
    <s v="9월"/>
    <x v="2"/>
    <x v="4"/>
    <x v="5"/>
    <s v=" 실내디자인(08020107)"/>
    <n v="1"/>
    <s v="(과정평가형 자격) 실내건축산업기사 취득과정_B"/>
    <n v="137"/>
    <n v="752"/>
    <d v="2023-09-18T00:00:00"/>
    <d v="2024-04-12T00:00:00"/>
    <n v="20"/>
    <n v="16"/>
    <n v="29"/>
    <n v="0.8"/>
    <n v="1.45"/>
  </r>
  <r>
    <n v="108"/>
    <s v="9월"/>
    <x v="2"/>
    <x v="7"/>
    <x v="2"/>
    <s v="광고콘텐츠제작(08030204)"/>
    <n v="1"/>
    <s v="영상편집&amp;모션그래픽제작(프리미어,에프터이펙트)실무자 양성 과정"/>
    <n v="73"/>
    <n v="289"/>
    <d v="2023-09-01T00:00:00"/>
    <d v="2023-12-18T00:00:00"/>
    <n v="20"/>
    <n v="16"/>
    <n v="16"/>
    <n v="0.8"/>
    <n v="0.8"/>
  </r>
  <r>
    <n v="109"/>
    <s v="9월"/>
    <x v="2"/>
    <x v="7"/>
    <x v="0"/>
    <s v="응용SW엔지니어링(20010202)"/>
    <n v="1"/>
    <s v="(디지털컨버전스) 임베디드 소프트웨어 융합 풀스택 개발자 양성과정 C"/>
    <n v="123"/>
    <n v="670"/>
    <d v="2023-09-08T00:00:00"/>
    <d v="2024-03-13T00:00:00"/>
    <n v="20"/>
    <n v="13"/>
    <n v="15"/>
    <n v="0.65"/>
    <n v="0.75"/>
  </r>
  <r>
    <n v="110"/>
    <s v="9월"/>
    <x v="2"/>
    <x v="2"/>
    <x v="0"/>
    <s v="편집디자인(22010102)"/>
    <n v="1"/>
    <s v="(출판)디지털퍼블리싱 실무자양성과정A "/>
    <n v="118"/>
    <n v="626"/>
    <d v="2023-09-14T00:00:00"/>
    <d v="2024-03-26T00:00:00"/>
    <n v="20"/>
    <n v="20"/>
    <n v="20"/>
    <n v="1"/>
    <n v="1"/>
  </r>
  <r>
    <n v="111"/>
    <s v="9월"/>
    <x v="2"/>
    <x v="1"/>
    <x v="6"/>
    <s v="건축설계(14030101)"/>
    <n v="1"/>
    <s v="[과정평가형] 전산응용건축제도기능사 취득과정 "/>
    <n v="80"/>
    <n v="400"/>
    <d v="2023-09-07T00:00:00"/>
    <d v="2024-01-04T00:00:00"/>
    <n v="20"/>
    <n v="7"/>
    <n v="7"/>
    <n v="0.35"/>
    <n v="0.35"/>
  </r>
  <r>
    <n v="112"/>
    <s v="9월"/>
    <x v="2"/>
    <x v="14"/>
    <x v="2"/>
    <s v="광고콘텐츠제작(08030204)"/>
    <n v="1"/>
    <s v="모션그래픽&amp;영상편집 전문가(영상제작 과정)"/>
    <n v="60"/>
    <n v="300"/>
    <d v="2023-09-21T00:00:00"/>
    <d v="2023-12-05T00:00:00"/>
    <n v="21"/>
    <n v="6"/>
    <n v="6"/>
    <n v="0.2857142857142857"/>
    <n v="0.2857142857142857"/>
  </r>
  <r>
    <n v="113"/>
    <s v="9월"/>
    <x v="2"/>
    <x v="10"/>
    <x v="2"/>
    <s v="실내건축설계(14030104)"/>
    <n v="2"/>
    <s v="실내건축 인테리어 설계(AutoCAD)와 디자인(3ds MAX)"/>
    <n v="70"/>
    <n v="280"/>
    <d v="2023-09-14T00:00:00"/>
    <d v="2023-12-28T00:00:00"/>
    <n v="14"/>
    <n v="10"/>
    <n v="10"/>
    <n v="0.7142857142857143"/>
    <n v="0.7142857142857143"/>
  </r>
  <r>
    <n v="114"/>
    <s v="9월"/>
    <x v="2"/>
    <x v="11"/>
    <x v="2"/>
    <s v="디지털디자인(08020104)"/>
    <n v="2"/>
    <s v="디지털디자인 UI/UX 웹디자인&amp;웹퍼블리셔"/>
    <n v="71"/>
    <n v="283"/>
    <d v="2023-09-13T00:00:00"/>
    <d v="2023-12-27T00:00:00"/>
    <n v="12"/>
    <n v="6"/>
    <n v="7"/>
    <n v="0.5"/>
    <n v="0.58333333333333337"/>
  </r>
  <r>
    <n v="115"/>
    <s v="9월"/>
    <x v="2"/>
    <x v="12"/>
    <x v="2"/>
    <s v="광고콘텐츠제작(08030204)"/>
    <n v="2"/>
    <s v="모션그래픽(영상편집 디자인) 실무자 양성과정 2회차"/>
    <n v="68"/>
    <n v="272"/>
    <d v="2023-09-08T00:00:00"/>
    <d v="2023-12-18T00:00:00"/>
    <n v="20"/>
    <n v="10"/>
    <n v="10"/>
    <n v="0.5"/>
    <n v="0.5"/>
  </r>
  <r>
    <n v="116"/>
    <s v="9월"/>
    <x v="2"/>
    <x v="12"/>
    <x v="2"/>
    <s v="편집디자인(22010102)"/>
    <n v="2"/>
    <s v="편집(포토샵, 일러스트, 인디자인) 디자이너 양성과정 2회차"/>
    <n v="80"/>
    <n v="320"/>
    <d v="2023-09-21T00:00:00"/>
    <d v="2024-01-15T00:00:00"/>
    <n v="20"/>
    <n v="8"/>
    <n v="12"/>
    <n v="0.4"/>
    <n v="0.6"/>
  </r>
  <r>
    <n v="117"/>
    <s v="10월"/>
    <x v="0"/>
    <x v="6"/>
    <x v="5"/>
    <s v="응용SW엔지니어링(20010202)"/>
    <n v="1"/>
    <s v="[과정평가형 자격] 정보처리기능사 취득과정A"/>
    <n v="75"/>
    <n v="600"/>
    <d v="2023-10-05T00:00:00"/>
    <d v="2024-01-22T00:00:00"/>
    <n v="30"/>
    <n v="10"/>
    <n v="19"/>
    <n v="0.33333333333333331"/>
    <n v="0.6333333333333333"/>
  </r>
  <r>
    <n v="118"/>
    <s v="10월"/>
    <x v="2"/>
    <x v="2"/>
    <x v="5"/>
    <s v="실내디자인(08020107)"/>
    <n v="1"/>
    <s v="[과정평가형]실내건축산업기사 취득과정A"/>
    <n v="167"/>
    <n v="668"/>
    <d v="2023-10-05T00:00:00"/>
    <d v="2024-06-28T00:00:00"/>
    <n v="20"/>
    <n v="14"/>
    <n v="14"/>
    <n v="0.7"/>
    <n v="0.7"/>
  </r>
  <r>
    <n v="119"/>
    <s v="10월"/>
    <x v="2"/>
    <x v="1"/>
    <x v="2"/>
    <s v="편집디자인(22010102)"/>
    <n v="2"/>
    <s v="편집디자인(포토샵,일러스트,인디자인)실무자 양성과정"/>
    <n v="64"/>
    <n v="320"/>
    <d v="2023-10-05T00:00:00"/>
    <d v="2024-01-05T00:00:00"/>
    <n v="20"/>
    <n v="8"/>
    <n v="10"/>
    <n v="0.4"/>
    <n v="0.5"/>
  </r>
  <r>
    <n v="120"/>
    <s v="10월"/>
    <x v="2"/>
    <x v="11"/>
    <x v="2"/>
    <s v="실내건축설계(14030104)"/>
    <n v="1"/>
    <s v="실내건축설계(Auto CAD, 3DsMax)양성과정 "/>
    <n v="56"/>
    <n v="280"/>
    <d v="2023-10-05T00:00:00"/>
    <d v="2023-12-22T00:00:00"/>
    <n v="12"/>
    <n v="10"/>
    <n v="10"/>
    <n v="0.83333333333333337"/>
    <n v="0.83333333333333337"/>
  </r>
  <r>
    <n v="121"/>
    <s v="10월"/>
    <x v="1"/>
    <x v="14"/>
    <x v="2"/>
    <s v="게임콘텐츠제작(08030205)"/>
    <n v="1"/>
    <s v="게임기획 실무자양성과정"/>
    <n v="74"/>
    <n v="370"/>
    <d v="2023-10-11T00:00:00"/>
    <d v="2024-01-24T00:00:00"/>
    <n v="14"/>
    <n v="7"/>
    <n v="11"/>
    <n v="0.5"/>
    <n v="0.7857142857142857"/>
  </r>
  <r>
    <n v="122"/>
    <s v="10월"/>
    <x v="1"/>
    <x v="14"/>
    <x v="2"/>
    <s v="게임콘텐츠제작(08030205)"/>
    <n v="2"/>
    <s v="게임프로그래머 양성과정(유니티)"/>
    <n v="74"/>
    <n v="370"/>
    <d v="2023-10-11T00:00:00"/>
    <d v="2024-01-24T00:00:00"/>
    <n v="14"/>
    <n v="7"/>
    <n v="7"/>
    <n v="0.5"/>
    <n v="0.5"/>
  </r>
  <r>
    <n v="123"/>
    <s v="10월"/>
    <x v="2"/>
    <x v="9"/>
    <x v="2"/>
    <s v="UI/UX엔지니어링(20010207)"/>
    <n v="2"/>
    <s v="프론트엔드(UIUX) 개발자 양성과정"/>
    <n v="70"/>
    <n v="350"/>
    <d v="2023-10-11T00:00:00"/>
    <d v="2024-01-18T00:00:00"/>
    <n v="21"/>
    <n v="10"/>
    <n v="10"/>
    <n v="0.47619047619047616"/>
    <n v="0.47619047619047616"/>
  </r>
  <r>
    <n v="124"/>
    <s v="10월"/>
    <x v="2"/>
    <x v="4"/>
    <x v="0"/>
    <s v="디지털디자인(08020104)"/>
    <n v="1"/>
    <s v="(스마트혼합)[디지털디자인]스마트UIUX 반응형 웹디자인(웹퍼블리셔)_C"/>
    <n v="131"/>
    <n v="692"/>
    <d v="2023-10-16T00:00:00"/>
    <d v="2024-04-23T00:00:00"/>
    <n v="20"/>
    <n v="13"/>
    <n v="21"/>
    <n v="0.65"/>
    <n v="1.05"/>
  </r>
  <r>
    <n v="125"/>
    <s v="10월"/>
    <x v="2"/>
    <x v="16"/>
    <x v="2"/>
    <s v="UI/UX엔지니어링(20010207)"/>
    <n v="1"/>
    <s v="[계좌제]UIUX 웹퍼블리셔 양성과정 "/>
    <n v="59"/>
    <n v="350"/>
    <d v="2023-10-16T00:00:00"/>
    <d v="2023-12-29T00:00:00"/>
    <n v="20"/>
    <n v="5"/>
    <n v="5"/>
    <n v="0.25"/>
    <n v="0.25"/>
  </r>
  <r>
    <n v="126"/>
    <s v="10월"/>
    <x v="0"/>
    <x v="0"/>
    <x v="4"/>
    <s v=" 인공지능플랫폼구축(20010701)"/>
    <n v="6"/>
    <s v="AI기반 챗봇 및 OCR 개발 전문가 과정"/>
    <n v="118"/>
    <n v="944"/>
    <d v="2023-10-26T00:00:00"/>
    <d v="2024-04-19T00:00:00"/>
    <n v="35"/>
    <n v="11"/>
    <n v="11"/>
    <n v="0.31428571428571428"/>
    <n v="0.31428571428571428"/>
  </r>
  <r>
    <n v="127"/>
    <s v="10월"/>
    <x v="0"/>
    <x v="6"/>
    <x v="0"/>
    <s v="보안엔지니어링(20010206)"/>
    <n v="1"/>
    <s v="(정보시스템 구축) 정보시스템 보안운영 및 보안사고 분석B"/>
    <n v="98"/>
    <n v="784"/>
    <d v="2023-10-30T00:00:00"/>
    <d v="2024-03-20T00:00:00"/>
    <n v="22"/>
    <n v="10"/>
    <n v="10"/>
    <n v="0.45454545454545453"/>
    <n v="0.45454545454545453"/>
  </r>
  <r>
    <n v="128"/>
    <s v="10월"/>
    <x v="1"/>
    <x v="6"/>
    <x v="2"/>
    <s v=" 게임콘텐츠제작(08030205)"/>
    <n v="1"/>
    <s v="게임 프로그래밍(Unity 활용) 개발자 양성"/>
    <n v="95"/>
    <n v="370"/>
    <d v="2023-10-31T00:00:00"/>
    <d v="2024-03-27T00:00:00"/>
    <n v="22"/>
    <n v="6"/>
    <n v="10"/>
    <n v="0.27272727272727271"/>
    <n v="0.45454545454545453"/>
  </r>
  <r>
    <n v="129"/>
    <s v="10월"/>
    <x v="3"/>
    <x v="0"/>
    <x v="2"/>
    <s v="항공여객운송서비스(09040205)"/>
    <n v="4"/>
    <s v="항공사CRS(예약발권)/DCS(탑승수속)과정"/>
    <n v="35"/>
    <n v="139"/>
    <d v="2023-10-16T00:00:00"/>
    <d v="2023-12-01T00:00:00"/>
    <n v="20"/>
    <n v="6"/>
    <n v="6"/>
    <n v="0.3"/>
    <n v="0.3"/>
  </r>
  <r>
    <n v="130"/>
    <s v="10월"/>
    <x v="3"/>
    <x v="0"/>
    <x v="2"/>
    <s v="여행상품상담(12030102)"/>
    <n v="4"/>
    <s v="여행사예약발권(CRS)/오퍼레이터(OP)과정"/>
    <n v="39"/>
    <n v="152"/>
    <d v="2023-10-31T00:00:00"/>
    <d v="2023-12-22T00:00:00"/>
    <n v="20"/>
    <n v="6"/>
    <n v="6"/>
    <n v="0.3"/>
    <n v="0.3"/>
  </r>
  <r>
    <n v="131"/>
    <s v="11월"/>
    <x v="0"/>
    <x v="0"/>
    <x v="5"/>
    <s v="정보보호관리·운영(20010601)"/>
    <n v="1"/>
    <s v="[과정평가형] 정보보안산업기사 취득과정B"/>
    <n v="94"/>
    <n v="752"/>
    <d v="2023-11-01T00:00:00"/>
    <d v="2024-03-25T00:00:00"/>
    <n v="21"/>
    <n v="14"/>
    <n v="14"/>
    <n v="0.66666666666666663"/>
    <n v="0.66666666666666663"/>
  </r>
  <r>
    <n v="132"/>
    <s v="11월"/>
    <x v="1"/>
    <x v="6"/>
    <x v="2"/>
    <s v=" 게임콘텐츠제작(08030205)"/>
    <n v="1"/>
    <s v="게임 디자인 2D그래픽 디자이너 양성(포토샵과 일러스트 활용)"/>
    <n v="124"/>
    <n v="370"/>
    <d v="2023-11-01T00:00:00"/>
    <d v="2024-04-30T00:00:00"/>
    <n v="22"/>
    <n v="9"/>
    <n v="20"/>
    <n v="0.40909090909090912"/>
    <n v="0.90909090909090906"/>
  </r>
  <r>
    <n v="133"/>
    <s v="11월"/>
    <x v="1"/>
    <x v="4"/>
    <x v="2"/>
    <s v="게임콘텐츠제작(08030205)"/>
    <n v="1"/>
    <s v="게임 프로그래머 개발자 양성 (유니티)"/>
    <n v="74"/>
    <n v="370"/>
    <d v="2023-11-06T00:00:00"/>
    <d v="2024-02-20T00:00:00"/>
    <n v="19"/>
    <n v="8"/>
    <n v="8"/>
    <n v="0.42105263157894735"/>
    <n v="0.42105263157894735"/>
  </r>
  <r>
    <n v="134"/>
    <s v="11월"/>
    <x v="1"/>
    <x v="4"/>
    <x v="2"/>
    <s v="게임콘텐츠제작(08030205)"/>
    <n v="1"/>
    <s v="게임 콘텐츠 기획 실무자 양성"/>
    <n v="93"/>
    <n v="370"/>
    <d v="2023-11-06T00:00:00"/>
    <d v="2024-03-28T00:00:00"/>
    <n v="19"/>
    <n v="14"/>
    <n v="14"/>
    <n v="0.73684210526315785"/>
    <n v="0.73684210526315785"/>
  </r>
  <r>
    <n v="135"/>
    <s v="11월"/>
    <x v="1"/>
    <x v="5"/>
    <x v="2"/>
    <s v="게임콘텐츠제작(08030205)"/>
    <n v="1"/>
    <s v="게임기획 실무자 양성과정"/>
    <n v="124"/>
    <n v="370"/>
    <d v="2023-11-07T00:00:00"/>
    <d v="2024-05-08T00:00:00"/>
    <n v="20"/>
    <n v="8"/>
    <n v="8"/>
    <n v="0.4"/>
    <n v="0.4"/>
  </r>
  <r>
    <n v="136"/>
    <s v="11월"/>
    <x v="1"/>
    <x v="2"/>
    <x v="2"/>
    <s v=" 게임콘텐츠제작(08030205)"/>
    <n v="1"/>
    <s v="게임프로그래머 양성과정(유니티) B"/>
    <n v="120"/>
    <n v="370"/>
    <d v="2023-11-08T00:00:00"/>
    <d v="2024-05-01T00:00:00"/>
    <n v="10"/>
    <n v="8"/>
    <n v="8"/>
    <n v="0.8"/>
    <n v="0.8"/>
  </r>
  <r>
    <n v="137"/>
    <s v="11월"/>
    <x v="1"/>
    <x v="5"/>
    <x v="2"/>
    <s v="게임콘텐츠제작(08030205)"/>
    <n v="2"/>
    <s v="게임프로그래머 유니티 양성과정"/>
    <n v="124"/>
    <n v="370"/>
    <d v="2023-11-14T00:00:00"/>
    <d v="2024-05-16T00:00:00"/>
    <n v="20"/>
    <n v="13"/>
    <n v="13"/>
    <n v="0.65"/>
    <n v="0.65"/>
  </r>
  <r>
    <n v="138"/>
    <s v="11월"/>
    <x v="0"/>
    <x v="3"/>
    <x v="2"/>
    <s v=" 응용SW엔지니어링(20010202)"/>
    <n v="3"/>
    <s v="자바(JAVA)기반 스프링 응용SW개발자 양성과정A"/>
    <n v="70"/>
    <n v="280"/>
    <d v="2023-11-20T00:00:00"/>
    <d v="2024-02-29T00:00:00"/>
    <n v="30"/>
    <n v="21"/>
    <n v="21"/>
    <n v="0.7"/>
    <n v="0.7"/>
  </r>
  <r>
    <n v="139"/>
    <s v="11월"/>
    <x v="2"/>
    <x v="7"/>
    <x v="0"/>
    <s v="응용SW엔지니어링(20010202)"/>
    <n v="1"/>
    <s v="(디지털컨버전스) 임베디드 소프트웨어 융합 풀스택 개발자 양성과정 D"/>
    <n v="123"/>
    <n v="670"/>
    <d v="2023-11-20T00:00:00"/>
    <d v="2024-05-20T00:00:00"/>
    <n v="20"/>
    <n v="10"/>
    <n v="13"/>
    <n v="0.5"/>
    <n v="0.65"/>
  </r>
  <r>
    <n v="140"/>
    <s v="11월"/>
    <x v="0"/>
    <x v="0"/>
    <x v="4"/>
    <s v=" 핀테크엔지니어링(20010210)"/>
    <n v="2"/>
    <s v="(핀테크) Spring 기반 핀테크 개발자 양성과정"/>
    <n v="121"/>
    <n v="963"/>
    <d v="2023-11-21T00:00:00"/>
    <d v="2024-05-24T00:00:00"/>
    <n v="30"/>
    <n v="27"/>
    <n v="27"/>
    <n v="0.9"/>
    <n v="0.9"/>
  </r>
  <r>
    <n v="141"/>
    <s v="12월"/>
    <x v="0"/>
    <x v="4"/>
    <x v="3"/>
    <s v="응용SW엔지니어링(20010202)"/>
    <n v="1"/>
    <s v="(디지털컨버전스) 임베디드 소프트웨어 융합 풀스택 개발자 양성 과정A "/>
    <n v="152"/>
    <n v="808"/>
    <d v="2023-12-05T00:00:00"/>
    <d v="2024-07-16T00:00:00"/>
    <n v="25"/>
    <n v="18"/>
    <n v="19"/>
    <n v="0.72"/>
    <n v="0.76"/>
  </r>
  <r>
    <n v="142"/>
    <s v="12월"/>
    <x v="0"/>
    <x v="4"/>
    <x v="3"/>
    <s v=" 응용SW엔지니어링(20010202)"/>
    <n v="3"/>
    <s v="(스마트웹콘텐츠개발) 스마트웹 응용 프로그래밍 개발자 양성 과정A"/>
    <n v="162"/>
    <n v="872"/>
    <d v="2023-12-05T00:00:00"/>
    <d v="2024-07-30T00:00:00"/>
    <n v="25"/>
    <n v="9"/>
    <n v="10"/>
    <n v="0.36"/>
    <n v="0.4"/>
  </r>
  <r>
    <n v="143"/>
    <s v="12월"/>
    <x v="1"/>
    <x v="10"/>
    <x v="2"/>
    <s v="게임콘텐츠제작(08030205)"/>
    <n v="1"/>
    <s v="게임프로그래밍 개발자 양성과정B"/>
    <n v="123"/>
    <n v="370"/>
    <d v="2023-12-06T00:00:00"/>
    <d v="2024-06-10T00:00:00"/>
    <n v="21"/>
    <n v="7"/>
    <n v="8"/>
    <n v="0.33333333333333331"/>
    <n v="0.38095238095238093"/>
  </r>
  <r>
    <n v="144"/>
    <s v="12월"/>
    <x v="0"/>
    <x v="7"/>
    <x v="7"/>
    <s v=" 응용SW엔지니어링(20010202)"/>
    <n v="1"/>
    <s v="프롬프트AI &amp; Open API &amp; 공공데이터를 활용한 웹/앱 개발자 양성 과정"/>
    <n v="110"/>
    <n v="880"/>
    <d v="2023-12-07T00:00:00"/>
    <d v="2024-05-20T00:00:00"/>
    <n v="30"/>
    <n v="22"/>
    <n v="22"/>
    <n v="0.73333333333333328"/>
    <n v="0.73333333333333328"/>
  </r>
  <r>
    <n v="145"/>
    <s v="12월"/>
    <x v="2"/>
    <x v="7"/>
    <x v="3"/>
    <s v="실내건축설계(14030104)"/>
    <n v="1"/>
    <s v="(BIM) BIM건축설계&amp;실내건축설계 실무 양성과정 B"/>
    <n v="100"/>
    <n v="400"/>
    <d v="2023-12-21T00:00:00"/>
    <d v="2024-06-21T00:00:00"/>
    <n v="20"/>
    <n v="17"/>
    <n v="20"/>
    <n v="0.85"/>
    <n v="1"/>
  </r>
  <r>
    <n v="146"/>
    <s v="12월"/>
    <x v="0"/>
    <x v="4"/>
    <x v="7"/>
    <s v=" 응용SW엔지니어링(20010202)"/>
    <n v="1"/>
    <s v="(산대특) 공공데이터 Open API 기반의 모바일 애플리케이션 개발"/>
    <n v="118"/>
    <n v="820"/>
    <d v="2023-12-27T00:00:00"/>
    <d v="2024-06-18T00:00:00"/>
    <n v="20"/>
    <n v="15"/>
    <n v="20"/>
    <n v="0.75"/>
    <n v="1"/>
  </r>
  <r>
    <n v="147"/>
    <s v="12월"/>
    <x v="0"/>
    <x v="7"/>
    <x v="7"/>
    <s v="응용SW엔지니어링(20010202)"/>
    <n v="2"/>
    <s v="[산대특] 데이터 사이언스(AI)를 활용한 웹서비스 융합개발자 양성 과정"/>
    <n v="110"/>
    <n v="880"/>
    <d v="2023-12-27T00:00:00"/>
    <d v="2024-06-07T00:00:00"/>
    <n v="19"/>
    <n v="16"/>
    <n v="16"/>
    <n v="0.84210526315789469"/>
    <n v="0.84210526315789469"/>
  </r>
  <r>
    <n v="148"/>
    <s v="12월"/>
    <x v="0"/>
    <x v="6"/>
    <x v="7"/>
    <s v="인공지능플랫폼구축(20010701)"/>
    <n v="1"/>
    <s v="(산대특)_빅데이터를 활용한 AI챗봇&amp;광학기술 개발자 과정_육성"/>
    <n v="119"/>
    <n v="950"/>
    <d v="2023-12-27T00:00:00"/>
    <d v="2024-05-20T00:00:00"/>
    <n v="20"/>
    <n v="15"/>
    <n v="15"/>
    <n v="0.75"/>
    <n v="0.75"/>
  </r>
  <r>
    <n v="149"/>
    <s v="12월"/>
    <x v="1"/>
    <x v="8"/>
    <x v="0"/>
    <s v="게임콘텐츠제작(08030205)"/>
    <n v="2"/>
    <s v="(게임콘텐츠제작) 게임프로그래머양성과정"/>
    <n v="145"/>
    <n v="870"/>
    <d v="2023-12-27T00:00:00"/>
    <d v="2024-10-01T00:00:00"/>
    <n v="20"/>
    <n v="13"/>
    <n v="16"/>
    <n v="0.65"/>
    <n v="0.8"/>
  </r>
  <r>
    <n v="150"/>
    <s v="12월"/>
    <x v="1"/>
    <x v="13"/>
    <x v="2"/>
    <s v=" 게임콘텐츠제작(08030205)"/>
    <n v="1"/>
    <s v="게임 프로그래밍(Unity) 개발자 양성과정"/>
    <n v="74"/>
    <n v="370"/>
    <d v="2023-12-27T00:00:00"/>
    <d v="2024-06-27T00:00:00"/>
    <n v="20"/>
    <n v="9"/>
    <n v="11"/>
    <n v="0.45"/>
    <n v="0.55000000000000004"/>
  </r>
  <r>
    <n v="151"/>
    <s v="12월"/>
    <x v="2"/>
    <x v="12"/>
    <x v="2"/>
    <s v="광고콘텐츠제작(08030204)"/>
    <n v="3"/>
    <s v="모션그래픽(영상편집 디자인) 실무자 양성과정"/>
    <n v="68"/>
    <n v="272"/>
    <d v="2023-12-27T00:00:00"/>
    <d v="2024-04-04T00:00:00"/>
    <n v="20"/>
    <n v="8"/>
    <n v="18"/>
    <n v="0.4"/>
    <n v="0.9"/>
  </r>
  <r>
    <n v="152"/>
    <s v="12월"/>
    <x v="0"/>
    <x v="0"/>
    <x v="4"/>
    <s v="인공지능플랫폼구축(20010701)"/>
    <n v="7"/>
    <s v="[KDT] AI기반 챗봇 및 OCR 개발 전문가 과정"/>
    <n v="119"/>
    <n v="944"/>
    <d v="2023-12-28T00:00:00"/>
    <d v="2024-06-27T00:00:00"/>
    <n v="35"/>
    <n v="23"/>
    <n v="23"/>
    <n v="0.65714285714285714"/>
    <n v="0.65714285714285714"/>
  </r>
  <r>
    <n v="153"/>
    <s v="12월"/>
    <x v="0"/>
    <x v="0"/>
    <x v="4"/>
    <s v="보안엔지니어링(20010206)"/>
    <n v="1"/>
    <s v="(정보보안)웹서버 개발 및 웹보안 솔루션 구축 융합"/>
    <n v="130"/>
    <n v="1033"/>
    <d v="2023-12-28T00:00:00"/>
    <d v="2024-07-25T00:00:00"/>
    <n v="35"/>
    <n v="23"/>
    <n v="24"/>
    <n v="0.65714285714285714"/>
    <n v="0.68571428571428572"/>
  </r>
  <r>
    <n v="154"/>
    <s v="12월"/>
    <x v="0"/>
    <x v="4"/>
    <x v="0"/>
    <s v="응용SW엔지니어링(20010202)"/>
    <n v="2"/>
    <s v="(디지털컨버전스) 임베디드 소프트웨어 융합 풀스택 개발자 양성 과정B"/>
    <n v="126"/>
    <n v="808"/>
    <d v="2023-12-28T00:00:00"/>
    <d v="2024-07-02T00:00:00"/>
    <n v="33"/>
    <n v="20"/>
    <n v="25"/>
    <n v="0.60606060606060608"/>
    <n v="0.75757575757575757"/>
  </r>
  <r>
    <n v="155"/>
    <s v="12월"/>
    <x v="1"/>
    <x v="11"/>
    <x v="2"/>
    <s v=" 게임콘텐츠제작(08030205"/>
    <n v="1"/>
    <s v="게임 프로그래밍 개발자 양성과정_유니티(Unity)"/>
    <n v="124"/>
    <n v="370"/>
    <d v="2023-12-28T00:00:00"/>
    <d v="2024-06-25T00:00:00"/>
    <n v="17"/>
    <n v="6"/>
    <n v="12"/>
    <n v="0.35294117647058826"/>
    <n v="0.70588235294117652"/>
  </r>
  <r>
    <n v="156"/>
    <s v="12월"/>
    <x v="0"/>
    <x v="2"/>
    <x v="7"/>
    <s v="응용SW엔지니어링(20010202)"/>
    <n v="1"/>
    <s v="빅데이터·AI 기반 시니어 디지털 헬스케어 웰니스 플랫폼 개발"/>
    <n v="91"/>
    <n v="720"/>
    <d v="2023-12-28T00:00:00"/>
    <d v="2024-05-17T00:00:00"/>
    <n v="30"/>
    <n v="28"/>
    <n v="28"/>
    <n v="0.93333333333333335"/>
    <n v="0.93333333333333335"/>
  </r>
  <r>
    <n v="157"/>
    <s v="12월"/>
    <x v="0"/>
    <x v="3"/>
    <x v="7"/>
    <s v="응용SW엔지니어링(20010202)"/>
    <n v="1"/>
    <s v="(산대특) Node.js와 React.js를 활용한 풀스택 개발자 양성과정_육성"/>
    <n v="100"/>
    <n v="700"/>
    <d v="2023-12-29T00:00:00"/>
    <d v="2024-05-27T00:00:00"/>
    <n v="20"/>
    <n v="18"/>
    <n v="22"/>
    <n v="0.9"/>
    <n v="1.1000000000000001"/>
  </r>
  <r>
    <n v="158"/>
    <s v="12월"/>
    <x v="2"/>
    <x v="4"/>
    <x v="3"/>
    <s v="실내건축설계(14030104)"/>
    <n v="1"/>
    <s v="(스마트혼합)(BIM)BIM실내건축설계과정_A "/>
    <n v="120"/>
    <n v="640"/>
    <d v="2023-12-29T00:00:00"/>
    <d v="2024-06-28T00:00:00"/>
    <n v="20"/>
    <n v="13"/>
    <n v="32"/>
    <n v="0.65"/>
    <n v="1.6"/>
  </r>
  <r>
    <n v="159"/>
    <s v="12월"/>
    <x v="3"/>
    <x v="0"/>
    <x v="2"/>
    <s v=" 여행상품상담(12030102)"/>
    <n v="5"/>
    <s v="여행사예약발권(CRS)/오퍼레이터(OP)과정"/>
    <n v="39"/>
    <n v="152"/>
    <d v="2023-12-29T00:00:00"/>
    <d v="2024-02-26T00:00:00"/>
    <n v="20"/>
    <n v="7"/>
    <n v="8"/>
    <n v="0.35"/>
    <n v="0.4"/>
  </r>
  <r>
    <n v="160"/>
    <s v="12월"/>
    <x v="3"/>
    <x v="0"/>
    <x v="2"/>
    <s v="항공여객운송서비스(09040205)"/>
    <n v="5"/>
    <s v="항공사CRS(예약발권)/DCS(탑승수속)과정"/>
    <n v="47"/>
    <n v="139"/>
    <d v="2023-12-28T00:00:00"/>
    <d v="2024-03-25T00:00:00"/>
    <n v="20"/>
    <n v="13"/>
    <n v="14"/>
    <n v="0.65"/>
    <n v="0.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1">
  <r>
    <n v="1"/>
    <s v="1월"/>
    <x v="0"/>
    <x v="0"/>
    <x v="0"/>
    <s v="정보기술개발(200102)"/>
    <m/>
    <s v="(2023)AWS(클라우드) 기반 공공ㆍ빅데이터 활용 웹서비스 개발자 양성"/>
    <m/>
    <m/>
    <d v="2024-01-18T00:00:00"/>
    <d v="2024-07-05T00:00:00"/>
    <n v="30"/>
    <n v="25"/>
    <m/>
    <n v="0.83333333333333337"/>
    <n v="0"/>
  </r>
  <r>
    <n v="2"/>
    <s v="1월"/>
    <x v="1"/>
    <x v="1"/>
    <x v="1"/>
    <s v="디지털디자인(08020104)"/>
    <m/>
    <s v="(디지털디자인) 스마트기기 UXUI 웹디자이너 양성과정 "/>
    <m/>
    <m/>
    <d v="2024-01-22T00:00:00"/>
    <d v="2024-06-19T00:00:00"/>
    <n v="20"/>
    <n v="17"/>
    <m/>
    <n v="0.85"/>
    <n v="0"/>
  </r>
  <r>
    <n v="3"/>
    <s v="1월"/>
    <x v="2"/>
    <x v="2"/>
    <x v="2"/>
    <s v="게임콘텐츠제작(08030205)"/>
    <m/>
    <s v="게임 프로그래머 개발자 양성 (유니티)"/>
    <m/>
    <m/>
    <d v="2024-01-24T00:00:00"/>
    <d v="2024-07-31T00:00:00"/>
    <n v="20"/>
    <n v="8"/>
    <m/>
    <n v="0.4"/>
    <n v="0"/>
  </r>
  <r>
    <n v="4"/>
    <s v="1월"/>
    <x v="0"/>
    <x v="3"/>
    <x v="2"/>
    <s v="응용SW엔지니어링(20010202)"/>
    <m/>
    <s v="자바기반 백엔드 개발자 양성과정A "/>
    <m/>
    <m/>
    <d v="2024-01-25T00:00:00"/>
    <d v="2024-05-10T00:00:00"/>
    <n v="28"/>
    <n v="6"/>
    <m/>
    <n v="0.21428571428571427"/>
    <n v="0"/>
  </r>
  <r>
    <n v="6"/>
    <s v="1월"/>
    <x v="0"/>
    <x v="4"/>
    <x v="3"/>
    <s v="보안엔지니어링(20010206)"/>
    <m/>
    <s v="[KDT] 클라우드를 활용한 보안 전문가 양성과정"/>
    <m/>
    <m/>
    <d v="2024-01-29T00:00:00"/>
    <d v="2024-08-01T00:00:00"/>
    <n v="22"/>
    <n v="20"/>
    <m/>
    <n v="0.90909090909090906"/>
    <n v="0"/>
  </r>
  <r>
    <n v="5"/>
    <s v="1월"/>
    <x v="3"/>
    <x v="5"/>
    <x v="2"/>
    <s v="항공여객운송서비스(09040205)"/>
    <m/>
    <s v="관광통역안내사/국내여행안내사 필기 자격증과정"/>
    <m/>
    <m/>
    <d v="2024-01-28T00:00:00"/>
    <d v="2024-07-25T00:00:00"/>
    <n v="20"/>
    <n v="9"/>
    <m/>
    <n v="0.45"/>
    <n v="0"/>
  </r>
  <r>
    <n v="7"/>
    <s v="2월"/>
    <x v="2"/>
    <x v="6"/>
    <x v="2"/>
    <s v="게임콘텐츠제작(08030205)"/>
    <m/>
    <s v="(게임콘텐츠제작) 게임 3D그래픽 디자이너 양성과정(MAX)"/>
    <m/>
    <m/>
    <d v="2024-02-14T00:00:00"/>
    <d v="2024-08-19T00:00:00"/>
    <n v="13"/>
    <n v="13"/>
    <m/>
    <n v="1"/>
    <n v="0"/>
  </r>
  <r>
    <n v="8"/>
    <s v="2월"/>
    <x v="2"/>
    <x v="7"/>
    <x v="2"/>
    <s v="게임콘텐츠제작(08030205)"/>
    <m/>
    <s v="게임기획 전문 실무자 양성과정"/>
    <m/>
    <m/>
    <d v="2024-02-19T00:00:00"/>
    <d v="2024-07-02T00:00:00"/>
    <n v="15"/>
    <n v="11"/>
    <m/>
    <n v="0.73333333333333328"/>
    <n v="0"/>
  </r>
  <r>
    <n v="9"/>
    <s v="2월"/>
    <x v="0"/>
    <x v="4"/>
    <x v="4"/>
    <m/>
    <m/>
    <s v="[과정평가형 자격] 정보처리산업기사 취득과정A"/>
    <m/>
    <m/>
    <d v="2024-02-20T00:00:00"/>
    <d v="2024-08-13T00:00:00"/>
    <n v="30"/>
    <n v="24"/>
    <m/>
    <n v="0.8"/>
    <n v="0"/>
  </r>
  <r>
    <n v="10"/>
    <s v="2월"/>
    <x v="2"/>
    <x v="4"/>
    <x v="1"/>
    <s v="게임콘텐츠제작(08030205)"/>
    <m/>
    <s v="(게임콘텐츠제작)게임 개발자 양성 (유니티엔진 활용) "/>
    <m/>
    <m/>
    <d v="2024-02-26T00:00:00"/>
    <d v="2024-11-15T00:00:00"/>
    <n v="22"/>
    <n v="15"/>
    <m/>
    <n v="0.68181818181818177"/>
    <n v="0"/>
  </r>
  <r>
    <n v="11"/>
    <s v="2월"/>
    <x v="1"/>
    <x v="6"/>
    <x v="1"/>
    <s v="응용SW엔지니어링(20010202)"/>
    <m/>
    <s v="(디지털컨버전스) 스프링 기반 웹솔루션 풀스택 개발자 양성과정 A"/>
    <m/>
    <m/>
    <d v="2024-02-27T00:00:00"/>
    <d v="2024-09-04T00:00:00"/>
    <n v="20"/>
    <n v="18"/>
    <m/>
    <n v="0.9"/>
    <n v="0"/>
  </r>
  <r>
    <n v="12"/>
    <s v="2월"/>
    <x v="1"/>
    <x v="5"/>
    <x v="1"/>
    <s v="광고콘텐츠제작(08030204)"/>
    <m/>
    <s v="[멀티미디어] 멀티미디어콘텐츠제작(에펙, 프리미어, 시네마4D) "/>
    <m/>
    <m/>
    <d v="2024-02-27T00:00:00"/>
    <d v="2024-09-23T00:00:00"/>
    <n v="20"/>
    <n v="20"/>
    <m/>
    <n v="1"/>
    <n v="0"/>
  </r>
  <r>
    <n v="15"/>
    <s v="2월"/>
    <x v="0"/>
    <x v="8"/>
    <x v="0"/>
    <s v="정보보호관리·운영(20010601)"/>
    <m/>
    <s v="(산대특)AI 빅데이터 시스템 보안 전문가 양성과정"/>
    <m/>
    <m/>
    <d v="2024-02-27T00:00:00"/>
    <d v="2024-07-29T00:00:00"/>
    <n v="20"/>
    <n v="14"/>
    <m/>
    <n v="0.7"/>
    <n v="0"/>
  </r>
  <r>
    <n v="16"/>
    <s v="2월"/>
    <x v="0"/>
    <x v="8"/>
    <x v="4"/>
    <s v="정보보호관리·운영(20010601)"/>
    <m/>
    <s v="[과정평가형] 정보보안산업기사 취득과정A"/>
    <m/>
    <m/>
    <d v="2024-02-28T00:00:00"/>
    <d v="2024-08-01T00:00:00"/>
    <n v="22"/>
    <n v="21"/>
    <m/>
    <n v="0.95454545454545459"/>
    <n v="0"/>
  </r>
  <r>
    <n v="17"/>
    <s v="2월"/>
    <x v="0"/>
    <x v="9"/>
    <x v="0"/>
    <s v="응용SW엔지니어링(20010202)"/>
    <m/>
    <s v="(산대특) Node.js와 React.js를 활용한 풀스택 개발자 양성과정_육성 "/>
    <m/>
    <m/>
    <d v="2024-02-28T00:00:00"/>
    <d v="2024-07-24T00:00:00"/>
    <n v="12"/>
    <n v="12"/>
    <m/>
    <n v="1"/>
    <n v="0"/>
  </r>
  <r>
    <n v="18"/>
    <s v="2월"/>
    <x v="0"/>
    <x v="6"/>
    <x v="0"/>
    <s v="응용SW엔지니어링(20010202)"/>
    <m/>
    <s v="(산대특) 프롬프트AI &amp; Open API &amp; 공공데이터를 활용한 웹/앱 개발자 양성 과정 "/>
    <m/>
    <m/>
    <d v="2024-02-29T00:00:00"/>
    <d v="2024-08-07T00:00:00"/>
    <n v="30"/>
    <n v="22"/>
    <m/>
    <n v="0.73333333333333328"/>
    <n v="0"/>
  </r>
  <r>
    <n v="13"/>
    <s v="2월"/>
    <x v="3"/>
    <x v="5"/>
    <x v="2"/>
    <s v="항공여객운송서비스(09040205)"/>
    <m/>
    <s v="항공사지상직CRS(예약발권)/DCS(탑승수속)과정"/>
    <m/>
    <m/>
    <d v="2024-02-23T00:00:00"/>
    <d v="2024-05-17T00:00:00"/>
    <n v="20"/>
    <n v="12"/>
    <m/>
    <n v="0.6"/>
    <n v="0"/>
  </r>
  <r>
    <n v="14"/>
    <s v="2월"/>
    <x v="3"/>
    <x v="5"/>
    <x v="2"/>
    <s v="여행상품상담(12030102)"/>
    <m/>
    <s v="여행사CRS(예약발권)/OP(오퍼레이터)과정"/>
    <m/>
    <m/>
    <d v="2024-02-27T00:00:00"/>
    <d v="2024-04-29T00:00:00"/>
    <n v="20"/>
    <n v="13"/>
    <m/>
    <n v="0.65"/>
    <n v="0"/>
  </r>
  <r>
    <n v="19"/>
    <s v="3월"/>
    <x v="0"/>
    <x v="5"/>
    <x v="1"/>
    <s v="응용SW엔지니어링(20010202)"/>
    <m/>
    <s v="(디지털컨버전스)공공데이터를 융합한 자바기반 Spring 웹개발자 양성 과정B"/>
    <m/>
    <m/>
    <d v="2024-03-04T00:00:00"/>
    <d v="2024-07-26T00:00:00"/>
    <n v="35"/>
    <n v="11"/>
    <m/>
    <n v="0.31428571428571428"/>
    <n v="0"/>
  </r>
  <r>
    <n v="20"/>
    <s v="3월"/>
    <x v="1"/>
    <x v="0"/>
    <x v="1"/>
    <s v="실내건축설계(14030104)"/>
    <m/>
    <s v="(BIM)건축설계&amp;실내건축설계양성과정(CAD,MAX)A"/>
    <m/>
    <m/>
    <d v="2024-03-04T00:00:00"/>
    <d v="2024-10-30T00:00:00"/>
    <n v="20"/>
    <n v="17"/>
    <m/>
    <n v="0.85"/>
    <n v="0"/>
  </r>
  <r>
    <n v="21"/>
    <s v="3월"/>
    <x v="1"/>
    <x v="10"/>
    <x v="1"/>
    <s v="UI/UX엔지니어링(20010207)"/>
    <m/>
    <s v="(스마트웹&amp;콘텐츠개발) 프론트엔드(UIUX)개발자 양성과정 "/>
    <m/>
    <m/>
    <d v="2024-03-05T00:00:00"/>
    <d v="2024-11-08T00:00:00"/>
    <n v="21"/>
    <n v="16"/>
    <m/>
    <n v="0.76190476190476186"/>
    <n v="0"/>
  </r>
  <r>
    <n v="22"/>
    <s v="3월"/>
    <x v="0"/>
    <x v="5"/>
    <x v="2"/>
    <s v="응용SW엔지니어링(20010202)"/>
    <m/>
    <s v="자바(JAVA)기반 스프링 응용SW개발자 양성과정"/>
    <m/>
    <m/>
    <d v="2024-03-08T00:00:00"/>
    <d v="2024-06-03T00:00:00"/>
    <n v="21"/>
    <n v="7"/>
    <m/>
    <n v="0.33333333333333331"/>
    <n v="0"/>
  </r>
  <r>
    <n v="23"/>
    <s v="3월"/>
    <x v="0"/>
    <x v="5"/>
    <x v="3"/>
    <s v="인공지능플랫폼구축(20010701)"/>
    <m/>
    <s v="AI기반 챗봇 및 OCR 개발 전문가 과정"/>
    <m/>
    <m/>
    <d v="2024-03-08T00:00:00"/>
    <d v="2024-09-03T00:00:00"/>
    <n v="35"/>
    <n v="28"/>
    <m/>
    <n v="0.8"/>
    <n v="0"/>
  </r>
  <r>
    <n v="24"/>
    <s v="3월"/>
    <x v="1"/>
    <x v="10"/>
    <x v="5"/>
    <s v="시각디자인(08020101)"/>
    <m/>
    <s v="[일반고] 시각디자이너 양성 과정"/>
    <m/>
    <m/>
    <d v="2024-03-11T00:00:00"/>
    <d v="2024-12-27T00:00:00"/>
    <n v="14"/>
    <n v="7"/>
    <m/>
    <n v="0.5"/>
    <n v="0"/>
  </r>
  <r>
    <n v="25"/>
    <s v="3월"/>
    <x v="1"/>
    <x v="2"/>
    <x v="2"/>
    <s v="응용SW엔지니어링(20010202)"/>
    <m/>
    <s v="자바기반 웹,앱개발자 양성"/>
    <m/>
    <m/>
    <d v="2024-03-11T00:00:00"/>
    <d v="2024-06-20T00:00:00"/>
    <n v="23"/>
    <n v="13"/>
    <m/>
    <n v="0.56521739130434778"/>
    <n v="0"/>
  </r>
  <r>
    <n v="26"/>
    <s v="3월"/>
    <x v="1"/>
    <x v="11"/>
    <x v="1"/>
    <s v="편집디자인(22010102)"/>
    <m/>
    <s v="[출판] 디지털편집디자인(일러스트,포토샵,인디자인) 실무양성과정A "/>
    <m/>
    <m/>
    <d v="2024-03-11T00:00:00"/>
    <d v="2024-09-25T00:00:00"/>
    <n v="20"/>
    <n v="16"/>
    <m/>
    <n v="0.8"/>
    <n v="0"/>
  </r>
  <r>
    <n v="27"/>
    <s v="3월"/>
    <x v="2"/>
    <x v="12"/>
    <x v="2"/>
    <s v="게임콘텐츠제작(08030205)"/>
    <m/>
    <s v="게임기획 실무자양성과정"/>
    <m/>
    <m/>
    <d v="2024-03-12T00:00:00"/>
    <d v="2024-06-27T00:00:00"/>
    <n v="14"/>
    <n v="12"/>
    <m/>
    <n v="0.8571428571428571"/>
    <n v="0"/>
  </r>
  <r>
    <n v="28"/>
    <s v="3월"/>
    <x v="1"/>
    <x v="7"/>
    <x v="2"/>
    <s v="광고콘텐츠제작(08030204)"/>
    <m/>
    <s v="광고콘텐츠 3D모션그래픽제작(에프터이펙트, 프리미어, C4D)과정 "/>
    <m/>
    <m/>
    <d v="2024-03-12T00:00:00"/>
    <d v="2024-06-10T00:00:00"/>
    <n v="17"/>
    <n v="8"/>
    <m/>
    <n v="0.47058823529411764"/>
    <n v="0"/>
  </r>
  <r>
    <n v="29"/>
    <s v="3월"/>
    <x v="0"/>
    <x v="0"/>
    <x v="4"/>
    <s v="응용SW엔지니어링(20010202)"/>
    <m/>
    <s v="(과정평가형 자격) 정보처리기능사 취득과정A"/>
    <m/>
    <m/>
    <d v="2024-03-12T00:00:00"/>
    <d v="2024-07-17T00:00:00"/>
    <n v="20"/>
    <n v="15"/>
    <m/>
    <n v="0.75"/>
    <n v="0"/>
  </r>
  <r>
    <n v="30"/>
    <s v="3월"/>
    <x v="1"/>
    <x v="13"/>
    <x v="2"/>
    <s v="건축설계(14030101)"/>
    <m/>
    <s v="[과정평가형] 전산응용건축제도기능사 취득과정"/>
    <m/>
    <m/>
    <d v="2024-03-19T00:00:00"/>
    <d v="2024-08-20T00:00:00"/>
    <n v="20"/>
    <n v="12"/>
    <m/>
    <n v="0.6"/>
    <n v="0"/>
  </r>
  <r>
    <n v="31"/>
    <s v="3월"/>
    <x v="1"/>
    <x v="14"/>
    <x v="2"/>
    <s v="광고콘텐츠제작(08030204)"/>
    <m/>
    <s v="모션그래픽 실무자 양성과정(프리미어,에펙,포토샵,일러스트)"/>
    <m/>
    <m/>
    <d v="2024-03-19T00:00:00"/>
    <d v="2024-06-17T00:00:00"/>
    <n v="20"/>
    <n v="10"/>
    <m/>
    <n v="0.5"/>
    <n v="0"/>
  </r>
  <r>
    <n v="32"/>
    <s v="3월"/>
    <x v="1"/>
    <x v="12"/>
    <x v="2"/>
    <s v="실내건축설계(14030104)"/>
    <m/>
    <s v="실내건축 인테리어 과정"/>
    <m/>
    <m/>
    <d v="2024-03-20T00:00:00"/>
    <d v="2024-06-12T00:00:00"/>
    <n v="21"/>
    <n v="6"/>
    <m/>
    <n v="0.2857142857142857"/>
    <n v="0"/>
  </r>
  <r>
    <n v="33"/>
    <s v="3월"/>
    <x v="4"/>
    <x v="0"/>
    <x v="2"/>
    <s v="네일미용(12010104)"/>
    <m/>
    <s v="네일 국가자격증 취득과정 "/>
    <m/>
    <m/>
    <d v="2024-03-20T00:00:00"/>
    <d v="2024-07-09T00:00:00"/>
    <n v="17"/>
    <n v="9"/>
    <m/>
    <n v="0.52941176470588236"/>
    <n v="0"/>
  </r>
  <r>
    <n v="34"/>
    <s v="3월"/>
    <x v="0"/>
    <x v="5"/>
    <x v="1"/>
    <s v="응용SW엔지니어링(20010202)"/>
    <m/>
    <s v="(디지털컨버전스)공공데이터를 융합한 자바기반 Spring 웹개발자 양성 과정C "/>
    <m/>
    <m/>
    <d v="2024-03-26T00:00:00"/>
    <d v="2024-08-30T00:00:00"/>
    <n v="35"/>
    <n v="30"/>
    <m/>
    <n v="0.8571428571428571"/>
    <n v="0"/>
  </r>
  <r>
    <n v="35"/>
    <s v="3월"/>
    <x v="1"/>
    <x v="15"/>
    <x v="2"/>
    <m/>
    <m/>
    <s v="모션그래픽(영상편집 디자인) 실무자 양성과정"/>
    <m/>
    <m/>
    <d v="2024-03-26T00:00:00"/>
    <d v="2024-06-27T00:00:00"/>
    <n v="20"/>
    <n v="7"/>
    <m/>
    <n v="0.35"/>
    <n v="0"/>
  </r>
  <r>
    <n v="36"/>
    <s v="3월"/>
    <x v="1"/>
    <x v="16"/>
    <x v="2"/>
    <s v="실내건축설계(14030104)"/>
    <m/>
    <s v="실내건축설계(Auto CAD, 3DsMax) 양성과정"/>
    <m/>
    <m/>
    <d v="2024-03-26T00:00:00"/>
    <d v="2024-07-09T00:00:00"/>
    <n v="12"/>
    <n v="6"/>
    <m/>
    <n v="0.5"/>
    <n v="0"/>
  </r>
  <r>
    <n v="37"/>
    <s v="3월"/>
    <x v="1"/>
    <x v="6"/>
    <x v="1"/>
    <s v="디지털디자인(08020104)"/>
    <m/>
    <s v="[디지털디자인]스마트UIUX 반응형 웹퍼블리셔 양성과정"/>
    <m/>
    <m/>
    <d v="2024-03-28T00:00:00"/>
    <d v="2024-10-02T00:00:00"/>
    <n v="20"/>
    <n v="20"/>
    <m/>
    <n v="1"/>
    <n v="0"/>
  </r>
  <r>
    <n v="38"/>
    <s v="3월"/>
    <x v="1"/>
    <x v="0"/>
    <x v="1"/>
    <s v="편집디자인(22010102)"/>
    <m/>
    <s v="(출판) 디지털퍼블리싱 실무자양성과정A"/>
    <m/>
    <m/>
    <d v="2024-03-28T00:00:00"/>
    <d v="2024-11-22T00:00:00"/>
    <n v="20"/>
    <n v="17"/>
    <m/>
    <n v="0.85"/>
    <n v="0"/>
  </r>
  <r>
    <n v="39"/>
    <s v="3월"/>
    <x v="0"/>
    <x v="4"/>
    <x v="1"/>
    <s v="응용SW엔지니어링(20010202)"/>
    <m/>
    <s v="(스마트웹&amp;콘텐츠개발) UI/UX 스마트콘텐츠 융합 응용SW개발자 양성과정A"/>
    <m/>
    <m/>
    <d v="2024-03-29T00:00:00"/>
    <d v="2024-09-19T00:00:00"/>
    <n v="30"/>
    <n v="16"/>
    <m/>
    <n v="0.53333333333333333"/>
    <n v="0"/>
  </r>
  <r>
    <n v="40"/>
    <s v="3월"/>
    <x v="3"/>
    <x v="5"/>
    <x v="2"/>
    <s v="국내여행안내(12030103))"/>
    <m/>
    <s v="관광통역안내사/국내여행안내사 필기 자격증과정"/>
    <m/>
    <m/>
    <d v="2024-03-28T00:00:00"/>
    <d v="2024-07-25T00:00:00"/>
    <n v="20"/>
    <n v="9"/>
    <m/>
    <n v="0.45"/>
    <n v="0"/>
  </r>
  <r>
    <n v="41"/>
    <s v="4월"/>
    <x v="0"/>
    <x v="4"/>
    <x v="1"/>
    <s v="응용SW엔지니어링(20010202)"/>
    <m/>
    <s v="(정보시스템구축 개발,운영) 정보시스템 보안운영 및 보안사고 분석A"/>
    <m/>
    <m/>
    <d v="2024-04-01T00:00:00"/>
    <d v="2024-08-23T00:00:00"/>
    <n v="22"/>
    <n v="16"/>
    <m/>
    <n v="0.72727272727272729"/>
    <n v="0"/>
  </r>
  <r>
    <n v="42"/>
    <s v="4월"/>
    <x v="1"/>
    <x v="7"/>
    <x v="1"/>
    <s v="실내건축설계(14030104)"/>
    <m/>
    <s v="(BIM) 실내건축설계 인테리어(캐드,맥스,레빗,스케치업)과정 A "/>
    <m/>
    <m/>
    <d v="2024-04-09T00:00:00"/>
    <d v="2024-09-25T00:00:00"/>
    <n v="20"/>
    <n v="11"/>
    <m/>
    <n v="0.55000000000000004"/>
    <n v="0"/>
  </r>
  <r>
    <n v="43"/>
    <s v="4월"/>
    <x v="1"/>
    <x v="3"/>
    <x v="2"/>
    <s v="디지털디자인(08020104)"/>
    <m/>
    <s v="[UIUX] 반응형웹디자인&amp;웹퍼블리셔(프론트엔드) 양성 과정 "/>
    <m/>
    <m/>
    <d v="2024-04-09T00:00:00"/>
    <d v="2024-07-04T00:00:00"/>
    <n v="20"/>
    <n v="11"/>
    <m/>
    <n v="0.55000000000000004"/>
    <n v="0"/>
  </r>
  <r>
    <n v="44"/>
    <s v="4월"/>
    <x v="1"/>
    <x v="17"/>
    <x v="2"/>
    <s v="세무(02030202)"/>
    <m/>
    <s v="전산세무회계(전산회계1급, 전산세무2급)취득과정"/>
    <m/>
    <m/>
    <d v="2024-04-09T00:00:00"/>
    <d v="2024-05-29T00:00:00"/>
    <n v="20"/>
    <n v="10"/>
    <m/>
    <n v="0.5"/>
    <n v="0"/>
  </r>
  <r>
    <n v="45"/>
    <s v="4월"/>
    <x v="1"/>
    <x v="5"/>
    <x v="2"/>
    <s v="실내건축설계(14030104)"/>
    <m/>
    <s v="실내건축설계(CAD, 스케치업) 인테리어디자이너 양성과정 "/>
    <m/>
    <m/>
    <d v="2024-04-10T00:00:00"/>
    <d v="2024-07-25T00:00:00"/>
    <n v="20"/>
    <n v="13"/>
    <m/>
    <n v="0.65"/>
    <n v="0"/>
  </r>
  <r>
    <n v="46"/>
    <s v="4월"/>
    <x v="2"/>
    <x v="5"/>
    <x v="2"/>
    <s v="게임콘텐츠제작(08030205)"/>
    <m/>
    <s v="유니티게임프로그램개발자양성과정 "/>
    <m/>
    <m/>
    <d v="2024-04-16T00:00:00"/>
    <d v="2024-09-03T00:00:00"/>
    <n v="20"/>
    <n v="4"/>
    <m/>
    <n v="0.2"/>
    <n v="0"/>
  </r>
  <r>
    <n v="47"/>
    <s v="4월"/>
    <x v="2"/>
    <x v="6"/>
    <x v="2"/>
    <s v="게임콘텐츠제작(08030205)"/>
    <m/>
    <s v="(게임콘텐츠제작) 게임 기획 실무자 양성과정"/>
    <m/>
    <m/>
    <d v="2024-04-16T00:00:00"/>
    <d v="2024-10-23T00:00:00"/>
    <n v="13"/>
    <n v="12"/>
    <m/>
    <n v="0.92307692307692313"/>
    <n v="0"/>
  </r>
  <r>
    <n v="48"/>
    <s v="4월"/>
    <x v="1"/>
    <x v="6"/>
    <x v="1"/>
    <s v="실내건축설계(14030104)"/>
    <m/>
    <s v="(BIM) BIM건축설계&amp;실내건축설계 실무 양성과정 A"/>
    <m/>
    <m/>
    <d v="2024-04-23T00:00:00"/>
    <d v="2024-10-31T00:00:00"/>
    <n v="20"/>
    <n v="20"/>
    <m/>
    <n v="1"/>
    <n v="0"/>
  </r>
  <r>
    <n v="49"/>
    <s v="4월"/>
    <x v="0"/>
    <x v="6"/>
    <x v="0"/>
    <s v="응용SW엔지니어링(20010202)"/>
    <m/>
    <s v="국가연구데이터셋 &amp; Kaggle 등을 활용한 데이터 분석 및 시각화 플랫폼 개발 과정"/>
    <m/>
    <m/>
    <d v="2024-04-23T00:00:00"/>
    <d v="2024-10-02T00:00:00"/>
    <n v="20"/>
    <n v="15"/>
    <m/>
    <n v="0.75"/>
    <n v="0"/>
  </r>
  <r>
    <n v="50"/>
    <s v="4월"/>
    <x v="0"/>
    <x v="5"/>
    <x v="3"/>
    <s v="인공지능플랫폼구축(20010701)"/>
    <m/>
    <s v="AI기반 챗봇 및 OCR 개발 전문가 과정"/>
    <m/>
    <m/>
    <d v="2024-04-24T00:00:00"/>
    <d v="2024-10-25T00:00:00"/>
    <n v="31"/>
    <n v="20"/>
    <m/>
    <n v="0.64516129032258063"/>
    <n v="0"/>
  </r>
  <r>
    <n v="51"/>
    <s v="4월"/>
    <x v="0"/>
    <x v="9"/>
    <x v="2"/>
    <s v="응용SW엔지니어링(20010202)"/>
    <m/>
    <s v="자바(JAVA)기반 스프링 응용SW개발자 양성과정A"/>
    <m/>
    <m/>
    <d v="2024-04-24T00:00:00"/>
    <d v="2024-08-05T00:00:00"/>
    <n v="30"/>
    <n v="12"/>
    <m/>
    <n v="0.4"/>
    <n v="0"/>
  </r>
  <r>
    <n v="52"/>
    <s v="4월"/>
    <x v="0"/>
    <x v="5"/>
    <x v="1"/>
    <s v="응용SW엔지니어링(20010202)"/>
    <m/>
    <s v="(디지털컨버전스)임베디드 소프트웨어 융합 풀스택 개발자 양성 과정A "/>
    <m/>
    <m/>
    <d v="2024-04-25T00:00:00"/>
    <d v="2024-10-07T00:00:00"/>
    <n v="21"/>
    <n v="14"/>
    <m/>
    <n v="0.66666666666666663"/>
    <n v="0"/>
  </r>
  <r>
    <n v="53"/>
    <s v="4월"/>
    <x v="2"/>
    <x v="15"/>
    <x v="2"/>
    <s v="게임콘텐츠제작(08030205)"/>
    <m/>
    <s v="게임 3D그래픽 디자이너 양성과정(모델링,애니메이션)"/>
    <m/>
    <m/>
    <d v="2024-04-25T00:00:00"/>
    <d v="2024-12-18T00:00:00"/>
    <n v="13"/>
    <n v="12"/>
    <m/>
    <n v="0.92307692307692313"/>
    <n v="0"/>
  </r>
  <r>
    <n v="54"/>
    <s v="4월"/>
    <x v="0"/>
    <x v="3"/>
    <x v="2"/>
    <s v="응용SW엔지니어링(20010202)"/>
    <m/>
    <s v="자바기반 백엔드 개발자 양성과정B"/>
    <m/>
    <m/>
    <d v="2024-04-25T00:00:00"/>
    <d v="2024-08-05T00:00:00"/>
    <n v="28"/>
    <n v="10"/>
    <m/>
    <n v="0.35714285714285715"/>
    <n v="0"/>
  </r>
  <r>
    <n v="55"/>
    <s v="4월"/>
    <x v="2"/>
    <x v="8"/>
    <x v="1"/>
    <s v="게임콘텐츠제작(08030205)"/>
    <m/>
    <s v="(게임콘텐츠제작) 게임 콘텐츠 전문가 양성과정(게임기획&amp;디자인)"/>
    <m/>
    <m/>
    <d v="2024-04-29T00:00:00"/>
    <d v="2024-12-27T00:00:00"/>
    <n v="20"/>
    <n v="14"/>
    <m/>
    <n v="0.7"/>
    <n v="0"/>
  </r>
  <r>
    <n v="56"/>
    <s v="4월"/>
    <x v="3"/>
    <x v="5"/>
    <x v="2"/>
    <s v="국내여행안내(12030103)"/>
    <m/>
    <s v="관광통역안내사/국내여행안내사 필기 자격증과정"/>
    <m/>
    <m/>
    <d v="2024-04-14T00:00:00"/>
    <d v="2024-08-25T00:00:00"/>
    <n v="20"/>
    <n v="7"/>
    <m/>
    <n v="0.35"/>
    <n v="0"/>
  </r>
  <r>
    <n v="57"/>
    <s v="4월"/>
    <x v="3"/>
    <x v="5"/>
    <x v="2"/>
    <s v="여행상품상담(12030102)"/>
    <m/>
    <s v="여행사CRS(예약발권)/OP(오퍼레이터)과정"/>
    <m/>
    <m/>
    <d v="2024-04-30T00:00:00"/>
    <d v="2024-07-02T00:00:00"/>
    <n v="20"/>
    <n v="15"/>
    <m/>
    <n v="0.75"/>
    <n v="0"/>
  </r>
  <r>
    <n v="58"/>
    <s v="5월"/>
    <x v="1"/>
    <x v="6"/>
    <x v="2"/>
    <s v="광고콘텐츠제작(08030204)"/>
    <m/>
    <s v="영상편집&amp;모션그래픽제작(프리미어,에프터이펙트)실무자 양성과정"/>
    <m/>
    <m/>
    <d v="2024-05-07T00:00:00"/>
    <d v="2024-08-20T00:00:00"/>
    <n v="20"/>
    <n v="14"/>
    <m/>
    <n v="0.7"/>
    <n v="0"/>
  </r>
  <r>
    <n v="59"/>
    <s v="5월"/>
    <x v="2"/>
    <x v="7"/>
    <x v="1"/>
    <s v="게임콘텐츠제작(08030205)"/>
    <m/>
    <s v="(게임콘텐츠제작) 게임프로그래머 개발자 전문 양성과정"/>
    <m/>
    <m/>
    <d v="2024-05-07T00:00:00"/>
    <d v="2024-12-10T00:00:00"/>
    <n v="20"/>
    <n v="15"/>
    <m/>
    <n v="0.75"/>
    <n v="0"/>
  </r>
  <r>
    <n v="60"/>
    <s v="5월"/>
    <x v="4"/>
    <x v="13"/>
    <x v="2"/>
    <s v="네일미용(12010104)"/>
    <m/>
    <s v="미용사(네일)국가자격증 취득과정"/>
    <m/>
    <m/>
    <d v="2024-05-07T00:00:00"/>
    <d v="2024-08-01T00:00:00"/>
    <n v="12"/>
    <n v="12"/>
    <m/>
    <n v="1"/>
    <n v="0"/>
  </r>
  <r>
    <n v="61"/>
    <s v="5월"/>
    <x v="1"/>
    <x v="7"/>
    <x v="2"/>
    <s v="편집디자인(22010102)"/>
    <m/>
    <s v="편집디자인 (포토샵, 일러스트, 인디자인) 양성과정"/>
    <m/>
    <m/>
    <d v="2024-05-09T00:00:00"/>
    <d v="2024-08-13T00:00:00"/>
    <n v="20"/>
    <n v="11"/>
    <m/>
    <n v="0.55000000000000004"/>
    <n v="0"/>
  </r>
  <r>
    <n v="62"/>
    <s v="5월"/>
    <x v="2"/>
    <x v="0"/>
    <x v="2"/>
    <s v="게임콘텐츠제작(08030205)"/>
    <m/>
    <s v="게임프로그래머 양성과정(유니티) "/>
    <m/>
    <m/>
    <d v="2024-05-13T00:00:00"/>
    <d v="2024-11-13T00:00:00"/>
    <n v="10"/>
    <n v="8"/>
    <m/>
    <n v="0.8"/>
    <n v="0"/>
  </r>
  <r>
    <n v="63"/>
    <s v="5월"/>
    <x v="0"/>
    <x v="8"/>
    <x v="1"/>
    <s v="응용SW엔지니어링(20010202)"/>
    <m/>
    <s v="자바 백엔드 개발자 양성과정"/>
    <m/>
    <m/>
    <d v="2024-05-16T00:00:00"/>
    <d v="2024-07-26T00:00:00"/>
    <n v="20"/>
    <n v="10"/>
    <m/>
    <n v="0.5"/>
    <n v="0"/>
  </r>
  <r>
    <n v="64"/>
    <s v="5월"/>
    <x v="1"/>
    <x v="11"/>
    <x v="1"/>
    <s v="디지털디자인(08020104)"/>
    <m/>
    <s v="[디지털디자인] UIUX 반응형 웹디자인/퍼블리셔 실무양성과정"/>
    <m/>
    <m/>
    <d v="2024-05-20T00:00:00"/>
    <d v="2024-11-20T00:00:00"/>
    <n v="26"/>
    <n v="11"/>
    <m/>
    <n v="0.42307692307692307"/>
    <n v="0"/>
  </r>
  <r>
    <n v="65"/>
    <s v="5월"/>
    <x v="0"/>
    <x v="0"/>
    <x v="1"/>
    <s v="응용SW엔지니어링(20010202)"/>
    <m/>
    <s v="(디지털컨버전스)SQF기반 데이터융합 풀스택(Spring,React) 개발자 양성 과정 "/>
    <m/>
    <m/>
    <d v="2024-05-21T00:00:00"/>
    <d v="2024-11-07T00:00:00"/>
    <n v="30"/>
    <n v="29"/>
    <m/>
    <n v="0.96666666666666667"/>
    <n v="0"/>
  </r>
  <r>
    <n v="66"/>
    <s v="5월"/>
    <x v="2"/>
    <x v="16"/>
    <x v="2"/>
    <s v="게임콘텐츠제작(08030205)"/>
    <m/>
    <s v="유니티(Unity)게임 프로그래머 양성과정"/>
    <m/>
    <m/>
    <d v="2024-05-28T00:00:00"/>
    <d v="2024-11-28T00:00:00"/>
    <n v="17"/>
    <n v="10"/>
    <m/>
    <n v="0.58823529411764708"/>
    <n v="0"/>
  </r>
  <r>
    <n v="67"/>
    <s v="5월"/>
    <x v="0"/>
    <x v="6"/>
    <x v="0"/>
    <s v="응용SW엔지니어링(20010202)"/>
    <m/>
    <s v="[산대특] 프롬프트AI &amp; Open API &amp; 공공데이터를 활용한 웹/앱 개발자 양성 과정"/>
    <m/>
    <m/>
    <d v="2024-05-28T00:00:00"/>
    <d v="2024-12-16T00:00:00"/>
    <n v="30"/>
    <n v="19"/>
    <m/>
    <n v="0.6333333333333333"/>
    <n v="0"/>
  </r>
  <r>
    <n v="68"/>
    <s v="5월"/>
    <x v="0"/>
    <x v="9"/>
    <x v="0"/>
    <s v="정보보호관리·운영(20010601)"/>
    <m/>
    <s v="(산대특) 클라우드 기반 가상화 솔루션 보안전문가 양성_육성"/>
    <m/>
    <m/>
    <d v="2024-05-29T00:00:00"/>
    <d v="2024-11-15T00:00:00"/>
    <n v="30"/>
    <n v="26"/>
    <m/>
    <n v="0.8666666666666667"/>
    <n v="0"/>
  </r>
  <r>
    <n v="69"/>
    <s v="5월"/>
    <x v="3"/>
    <x v="5"/>
    <x v="2"/>
    <s v="국내여행안내(12030103)"/>
    <m/>
    <s v="관광통역안내사/국내여행안내사 필기 자격증과정"/>
    <m/>
    <m/>
    <d v="2024-05-28T00:00:00"/>
    <d v="2024-08-27T00:00:00"/>
    <n v="20"/>
    <n v="5"/>
    <m/>
    <n v="0.25"/>
    <n v="0"/>
  </r>
  <r>
    <n v="70"/>
    <s v="6월"/>
    <x v="1"/>
    <x v="2"/>
    <x v="2"/>
    <s v="실내건축설계(14030104)"/>
    <m/>
    <s v="실내건축 인테리어과정(2D캐드, 3D스케치업) "/>
    <m/>
    <m/>
    <d v="2024-06-04T00:00:00"/>
    <d v="2024-09-11T00:00:00"/>
    <n v="23"/>
    <n v="10"/>
    <m/>
    <n v="0.43478260869565216"/>
    <n v="0"/>
  </r>
  <r>
    <n v="71"/>
    <s v="6월"/>
    <x v="2"/>
    <x v="3"/>
    <x v="2"/>
    <s v="게임콘텐츠제작(08030205)"/>
    <m/>
    <s v="게임그래픽 디자이너 양성과정(게임UI)"/>
    <m/>
    <m/>
    <d v="2024-06-04T00:00:00"/>
    <d v="2024-12-06T00:00:00"/>
    <n v="20"/>
    <n v="6"/>
    <m/>
    <n v="0.3"/>
    <n v="0"/>
  </r>
  <r>
    <n v="72"/>
    <s v="6월"/>
    <x v="0"/>
    <x v="5"/>
    <x v="1"/>
    <s v="응용SW엔지니어링(20010202)"/>
    <m/>
    <s v="(디지털컨버전스)공공데이터를 융합한 자바기반 Spring 웹개발자 양성 과정A"/>
    <m/>
    <m/>
    <d v="2024-06-07T00:00:00"/>
    <d v="2024-11-13T00:00:00"/>
    <n v="21"/>
    <n v="13"/>
    <m/>
    <n v="0.61904761904761907"/>
    <n v="0"/>
  </r>
  <r>
    <n v="73"/>
    <s v="6월"/>
    <x v="1"/>
    <x v="0"/>
    <x v="1"/>
    <s v="실내건축설계(14030104)"/>
    <m/>
    <s v="(BIM)건축설계&amp;실내건축설계양성과정(CAD,MAX)B"/>
    <m/>
    <m/>
    <d v="2024-06-10T00:00:00"/>
    <d v="2024-12-16T00:00:00"/>
    <n v="20"/>
    <n v="8"/>
    <m/>
    <n v="0.4"/>
    <n v="0"/>
  </r>
  <r>
    <n v="74"/>
    <s v="6월"/>
    <x v="1"/>
    <x v="13"/>
    <x v="2"/>
    <s v="UI/UX엔지니어링(20010207)"/>
    <m/>
    <s v="UI/UX 웹디자인&amp;웹퍼블리셔 중급과정"/>
    <m/>
    <m/>
    <d v="2024-06-10T00:00:00"/>
    <d v="2024-09-26T00:00:00"/>
    <n v="14"/>
    <n v="10"/>
    <m/>
    <n v="0.7142857142857143"/>
    <n v="0"/>
  </r>
  <r>
    <n v="75"/>
    <s v="6월"/>
    <x v="2"/>
    <x v="5"/>
    <x v="2"/>
    <s v="게임콘텐츠제작(08030205)"/>
    <m/>
    <s v="유니티게임프로그래머양성과정"/>
    <m/>
    <m/>
    <d v="2024-06-10T00:00:00"/>
    <d v="2024-10-29T00:00:00"/>
    <n v="20"/>
    <n v="11"/>
    <m/>
    <n v="0.55000000000000004"/>
    <n v="0"/>
  </r>
  <r>
    <n v="76"/>
    <s v="6월"/>
    <x v="1"/>
    <x v="8"/>
    <x v="2"/>
    <s v="UI/UX엔지니어링(20010207)"/>
    <m/>
    <s v="웹퍼블리셔(UIUX) 양성 과정 "/>
    <m/>
    <m/>
    <d v="2024-06-17T00:00:00"/>
    <d v="2024-10-02T00:00:00"/>
    <n v="20"/>
    <n v="11"/>
    <m/>
    <n v="0.55000000000000004"/>
    <n v="0"/>
  </r>
  <r>
    <n v="77"/>
    <s v="6월"/>
    <x v="0"/>
    <x v="5"/>
    <x v="1"/>
    <s v="응용SW엔지니어링(20010202)"/>
    <m/>
    <s v="(디지털컨버전스)임베디드 소프트웨어 융합 풀스택 개발자 양성 과정B"/>
    <m/>
    <m/>
    <d v="2024-06-25T00:00:00"/>
    <d v="2024-12-04T00:00:00"/>
    <n v="35"/>
    <n v="20"/>
    <m/>
    <n v="0.5714285714285714"/>
    <n v="0"/>
  </r>
  <r>
    <n v="78"/>
    <s v="6월"/>
    <x v="3"/>
    <x v="5"/>
    <x v="2"/>
    <s v="여행상품상담(12030102)"/>
    <n v="3"/>
    <s v="여행사CRS(예약발권)/OP(오퍼레이터)과정"/>
    <m/>
    <m/>
    <d v="2024-06-25T00:00:00"/>
    <d v="2024-08-23T00:00:00"/>
    <n v="20"/>
    <n v="8"/>
    <m/>
    <n v="0.4"/>
    <n v="0"/>
  </r>
  <r>
    <n v="79"/>
    <s v="7월"/>
    <x v="1"/>
    <x v="0"/>
    <x v="1"/>
    <s v="응용SW엔지니어링(20010202)"/>
    <m/>
    <s v="UIUX웹퍼블리싱&amp;프론트엔드실무자양성과정A "/>
    <m/>
    <m/>
    <d v="2024-07-01T00:00:00"/>
    <d v="2024-12-31T00:00:00"/>
    <n v="20"/>
    <n v="12"/>
    <m/>
    <n v="0.6"/>
    <n v="0"/>
  </r>
  <r>
    <n v="80"/>
    <s v="7월"/>
    <x v="2"/>
    <x v="13"/>
    <x v="2"/>
    <s v="게임콘텐츠제작(08030205)"/>
    <m/>
    <s v="게임기획 실무자 양성과정"/>
    <m/>
    <m/>
    <d v="2024-07-02T00:00:00"/>
    <d v="2025-01-23T00:00:00"/>
    <n v="21"/>
    <n v="12"/>
    <m/>
    <n v="0.5714285714285714"/>
    <n v="0"/>
  </r>
  <r>
    <n v="81"/>
    <s v="7월"/>
    <x v="1"/>
    <x v="1"/>
    <x v="1"/>
    <s v="디지털디자인(08020104)"/>
    <m/>
    <s v="(디지털디자인) 반응형 UXUI 웹디자이너 양성과정"/>
    <m/>
    <m/>
    <d v="2024-07-03T00:00:00"/>
    <d v="2024-12-02T00:00:00"/>
    <n v="20"/>
    <n v="15"/>
    <m/>
    <n v="0.75"/>
    <n v="0"/>
  </r>
  <r>
    <n v="82"/>
    <s v="7월"/>
    <x v="0"/>
    <x v="5"/>
    <x v="1"/>
    <s v="응용SW엔지니어링(20010202)"/>
    <m/>
    <s v="(디지털컨버전스)임베디드 소프트웨어 융합 풀스택 개발자 양성 과정C"/>
    <m/>
    <m/>
    <d v="2024-07-08T00:00:00"/>
    <d v="2024-12-11T00:00:00"/>
    <n v="35"/>
    <n v="16"/>
    <m/>
    <n v="0.45714285714285713"/>
    <n v="0"/>
  </r>
  <r>
    <n v="83"/>
    <s v="7월"/>
    <x v="0"/>
    <x v="0"/>
    <x v="0"/>
    <s v="응용SW엔지니어링(20010202)"/>
    <m/>
    <s v="빅데이터 활용 클라우드 SaaS기반 시니어케어 ERP 개발 "/>
    <m/>
    <m/>
    <d v="2024-07-09T00:00:00"/>
    <d v="2024-11-21T00:00:00"/>
    <n v="30"/>
    <n v="26"/>
    <m/>
    <n v="0.8666666666666667"/>
    <n v="0"/>
  </r>
  <r>
    <n v="84"/>
    <s v="7월"/>
    <x v="2"/>
    <x v="12"/>
    <x v="2"/>
    <s v="게임콘텐츠제작(08030205)"/>
    <m/>
    <s v="게임프로그래머 양성과정(유니티)"/>
    <m/>
    <m/>
    <d v="2024-07-11T00:00:00"/>
    <d v="2024-10-30T00:00:00"/>
    <n v="20"/>
    <n v="10"/>
    <m/>
    <n v="0.5"/>
    <n v="0"/>
  </r>
  <r>
    <n v="85"/>
    <s v="7월"/>
    <x v="0"/>
    <x v="4"/>
    <x v="0"/>
    <s v="인공지능플랫폼(20010701)"/>
    <m/>
    <s v="(산대특)_LLM을 활용한 클라우드 기반 AI서비스 개발자 과정_육성"/>
    <m/>
    <m/>
    <d v="2024-07-11T00:00:00"/>
    <d v="2025-01-24T00:00:00"/>
    <n v="30"/>
    <n v="14"/>
    <m/>
    <n v="0.46666666666666667"/>
    <n v="0"/>
  </r>
  <r>
    <n v="86"/>
    <s v="7월"/>
    <x v="1"/>
    <x v="6"/>
    <x v="1"/>
    <s v="응용SW엔지니어링(20010202)"/>
    <m/>
    <s v="[디지털디자인]스마트UIUX반응형 웹퍼블리셔 양성과정 B"/>
    <m/>
    <m/>
    <d v="2024-07-16T00:00:00"/>
    <d v="2025-01-22T00:00:00"/>
    <n v="20"/>
    <n v="17"/>
    <m/>
    <n v="0.85"/>
    <n v="0"/>
  </r>
  <r>
    <n v="87"/>
    <s v="7월"/>
    <x v="2"/>
    <x v="4"/>
    <x v="2"/>
    <s v="게임콘텐츠제작(08030205)"/>
    <m/>
    <s v="(게임콘텐츠제작)게임 개발자(Unity 활용) 양성 "/>
    <m/>
    <m/>
    <d v="2024-07-17T00:00:00"/>
    <d v="2025-04-11T00:00:00"/>
    <n v="22"/>
    <n v="10"/>
    <m/>
    <n v="0.45454545454545453"/>
    <n v="0"/>
  </r>
  <r>
    <n v="88"/>
    <s v="7월"/>
    <x v="0"/>
    <x v="5"/>
    <x v="4"/>
    <s v="정보보호관리·운영(20010601)"/>
    <m/>
    <s v="[과정평가형]정보보안산업기사 취득과정A"/>
    <m/>
    <m/>
    <d v="2024-07-22T00:00:00"/>
    <d v="2024-12-16T00:00:00"/>
    <n v="21"/>
    <n v="21"/>
    <m/>
    <n v="1"/>
    <n v="0"/>
  </r>
  <r>
    <n v="89"/>
    <s v="7월"/>
    <x v="0"/>
    <x v="5"/>
    <x v="1"/>
    <s v="응용SW엔지니어링(20010202)"/>
    <m/>
    <s v="(디지털컨버전스)공공데이터를 융합한 자바기반 Spring 웹개발자 양성 과정D"/>
    <m/>
    <m/>
    <d v="2024-07-23T00:00:00"/>
    <d v="2024-12-23T00:00:00"/>
    <n v="35"/>
    <n v="9"/>
    <m/>
    <n v="0.25714285714285712"/>
    <n v="0"/>
  </r>
  <r>
    <n v="90"/>
    <s v="7월"/>
    <x v="0"/>
    <x v="0"/>
    <x v="0"/>
    <s v="응용SW엔지니어링(20010202)"/>
    <m/>
    <s v="(산대특)_사물인터넷(IoT) 기반 웹솔루션개발자_양성_지원"/>
    <m/>
    <m/>
    <d v="2024-07-24T00:00:00"/>
    <d v="2025-01-24T00:00:00"/>
    <n v="20"/>
    <n v="18"/>
    <m/>
    <n v="0.9"/>
    <n v="0"/>
  </r>
  <r>
    <n v="91"/>
    <s v="7월"/>
    <x v="1"/>
    <x v="6"/>
    <x v="1"/>
    <s v="응용SW엔지니어링(20010202)"/>
    <m/>
    <s v="(디지털컨버전스) 스프링 기반 웹솔루션 풀스택 개발자 양성과정 "/>
    <m/>
    <m/>
    <d v="2024-07-25T00:00:00"/>
    <d v="2025-02-07T00:00:00"/>
    <n v="20"/>
    <n v="14"/>
    <m/>
    <n v="0.7"/>
    <n v="0"/>
  </r>
  <r>
    <n v="92"/>
    <s v="7월"/>
    <x v="0"/>
    <x v="5"/>
    <x v="1"/>
    <s v="응용SW엔지니어링(20010202)"/>
    <m/>
    <s v="(디지털컨버전스)공공데이터를 융합한 자바기반 Spring 웹개발자 양성 과정E"/>
    <m/>
    <m/>
    <d v="2024-07-29T00:00:00"/>
    <d v="2024-12-24T00:00:00"/>
    <n v="35"/>
    <n v="8"/>
    <m/>
    <n v="0.22857142857142856"/>
    <n v="0"/>
  </r>
  <r>
    <n v="93"/>
    <s v="7월"/>
    <x v="0"/>
    <x v="8"/>
    <x v="1"/>
    <s v="디지털디자인(08020104)"/>
    <m/>
    <s v="(디지털디자인) React 활용 스마트 UIUX 반응형 웹퍼블리셔 양성 과정C"/>
    <m/>
    <m/>
    <d v="2024-07-30T00:00:00"/>
    <d v="2024-12-17T00:00:00"/>
    <n v="20"/>
    <n v="12"/>
    <m/>
    <n v="0.6"/>
    <n v="0"/>
  </r>
  <r>
    <n v="94"/>
    <s v="7월"/>
    <x v="0"/>
    <x v="8"/>
    <x v="4"/>
    <s v="응용SW엔지니어링(20010202)"/>
    <m/>
    <s v="[과정평가형] 정보처리산업기사 취득과정B"/>
    <m/>
    <m/>
    <d v="2024-07-30T00:00:00"/>
    <d v="2025-01-10T00:00:00"/>
    <n v="22"/>
    <n v="17"/>
    <m/>
    <n v="0.77272727272727271"/>
    <n v="0"/>
  </r>
  <r>
    <n v="95"/>
    <s v="7월"/>
    <x v="2"/>
    <x v="3"/>
    <x v="2"/>
    <s v="게임콘텐츠제작(08030205)"/>
    <m/>
    <s v="게임프로그래머 유니티 양성과정"/>
    <m/>
    <m/>
    <d v="2024-07-30T00:00:00"/>
    <d v="2025-02-12T00:00:00"/>
    <n v="20"/>
    <n v="7"/>
    <m/>
    <n v="0.35"/>
    <n v="0"/>
  </r>
  <r>
    <n v="96"/>
    <s v="7월"/>
    <x v="0"/>
    <x v="9"/>
    <x v="0"/>
    <s v="응용SW엔지니어링(20010202)"/>
    <m/>
    <s v="(산대특) 공공데이터 융합 AWS클라우드 활용 풀스택 개발자 양성과정_육성 "/>
    <m/>
    <m/>
    <d v="2024-07-30T00:00:00"/>
    <d v="2025-01-07T00:00:00"/>
    <n v="25"/>
    <n v="21"/>
    <m/>
    <n v="0.84"/>
    <n v="0"/>
  </r>
  <r>
    <n v="97"/>
    <s v="7월"/>
    <x v="2"/>
    <x v="5"/>
    <x v="2"/>
    <s v="게임콘텐츠제작(08030205)"/>
    <m/>
    <s v="게임기획 실무자 양성과정"/>
    <m/>
    <m/>
    <d v="2024-07-31T00:00:00"/>
    <d v="2024-12-17T00:00:00"/>
    <n v="20"/>
    <n v="13"/>
    <m/>
    <n v="0.65"/>
    <n v="0"/>
  </r>
  <r>
    <n v="98"/>
    <s v="7월"/>
    <x v="3"/>
    <x v="5"/>
    <x v="2"/>
    <s v="항공여객운송서비스(09040205)"/>
    <m/>
    <s v="항공사지상직CRS(예약발권)/DCS(탑승수속)과정"/>
    <m/>
    <m/>
    <d v="2024-07-01T00:00:00"/>
    <d v="2024-09-24T00:00:00"/>
    <n v="20"/>
    <n v="9"/>
    <m/>
    <n v="0.45"/>
    <n v="0"/>
  </r>
  <r>
    <n v="99"/>
    <s v="8월"/>
    <x v="2"/>
    <x v="2"/>
    <x v="2"/>
    <s v="게임콘텐츠제작(08030205)"/>
    <m/>
    <s v="게임 프로그래머 개발자 양성 (유니티)"/>
    <m/>
    <m/>
    <d v="2024-08-05T00:00:00"/>
    <d v="2024-12-17T00:00:00"/>
    <n v="20"/>
    <n v="14"/>
    <m/>
    <n v="0.7"/>
    <n v="0"/>
  </r>
  <r>
    <n v="100"/>
    <s v="8월"/>
    <x v="1"/>
    <x v="14"/>
    <x v="2"/>
    <s v="실내건축설계(14030104)"/>
    <m/>
    <s v="실내건축인테리어 과정"/>
    <m/>
    <m/>
    <d v="2024-08-08T00:00:00"/>
    <d v="2024-11-04T00:00:00"/>
    <n v="20"/>
    <n v="7"/>
    <m/>
    <n v="0.35"/>
    <n v="0"/>
  </r>
  <r>
    <n v="101"/>
    <s v="8월"/>
    <x v="1"/>
    <x v="6"/>
    <x v="4"/>
    <s v="건축설계(14030101)"/>
    <m/>
    <s v="[과정평가형 자격] 전산응용건축제도기능사 취득과정"/>
    <m/>
    <m/>
    <d v="2024-08-08T00:00:00"/>
    <d v="2025-01-23T00:00:00"/>
    <n v="20"/>
    <n v="16"/>
    <m/>
    <n v="0.8"/>
    <n v="0"/>
  </r>
  <r>
    <n v="102"/>
    <s v="8월"/>
    <x v="0"/>
    <x v="4"/>
    <x v="0"/>
    <s v="응용SW엔지니어링(20010202)"/>
    <m/>
    <s v="[산대특]클라우드기반 빅데이터를 활용한 정보시스템 보안과정_육성"/>
    <m/>
    <m/>
    <d v="2024-08-12T00:00:00"/>
    <d v="2025-02-12T00:00:00"/>
    <n v="20"/>
    <n v="16"/>
    <m/>
    <n v="0.8"/>
    <n v="0"/>
  </r>
  <r>
    <n v="103"/>
    <s v="8월"/>
    <x v="0"/>
    <x v="8"/>
    <x v="0"/>
    <s v="응용SW엔지니어링(20010202)"/>
    <m/>
    <s v="(산대특) DevSecOps를 활용한 클라우드 보안 전문가 양성과정"/>
    <m/>
    <m/>
    <d v="2024-08-19T00:00:00"/>
    <d v="2025-02-21T00:00:00"/>
    <n v="25"/>
    <n v="16"/>
    <m/>
    <n v="0.64"/>
    <n v="0"/>
  </r>
  <r>
    <n v="104"/>
    <s v="8월"/>
    <x v="1"/>
    <x v="18"/>
    <x v="2"/>
    <s v="광고콘텐츠제작(08030204)"/>
    <m/>
    <s v="2D(포토샵, 일러스트, 에펙, 프리미어)영상편집자 양성과정"/>
    <m/>
    <m/>
    <d v="2024-08-19T00:00:00"/>
    <d v="2024-11-15T00:00:00"/>
    <n v="20"/>
    <n v="6"/>
    <m/>
    <n v="0.3"/>
    <n v="0"/>
  </r>
  <r>
    <n v="105"/>
    <s v="8월"/>
    <x v="0"/>
    <x v="4"/>
    <x v="4"/>
    <s v="정보보호관리·운영(20010601)"/>
    <m/>
    <s v="[과정평가형]정보처리산업기사 취득과정B"/>
    <m/>
    <m/>
    <d v="2024-08-19T00:00:00"/>
    <d v="2025-02-12T00:00:00"/>
    <n v="30"/>
    <n v="14"/>
    <m/>
    <n v="0.46666666666666667"/>
    <n v="0"/>
  </r>
  <r>
    <n v="106"/>
    <s v="8월"/>
    <x v="0"/>
    <x v="6"/>
    <x v="0"/>
    <s v="응용SW엔지니어링(20010202)"/>
    <m/>
    <s v="AWS와 데브옵스를 활용한 바이오헬스 서비스 개발 과정"/>
    <m/>
    <m/>
    <d v="2024-08-22T00:00:00"/>
    <d v="2025-02-05T00:00:00"/>
    <n v="20"/>
    <n v="13"/>
    <m/>
    <n v="0.65"/>
    <n v="0"/>
  </r>
  <r>
    <n v="107"/>
    <s v="8월"/>
    <x v="0"/>
    <x v="3"/>
    <x v="2"/>
    <s v="응용SW엔지니어링(20010202)"/>
    <m/>
    <s v="정보시스템 취약점 분석 전문가 양성과정"/>
    <m/>
    <m/>
    <d v="2024-08-27T00:00:00"/>
    <d v="2025-01-02T00:00:00"/>
    <n v="28"/>
    <n v="4"/>
    <m/>
    <n v="0.14285714285714285"/>
    <n v="0"/>
  </r>
  <r>
    <n v="108"/>
    <s v="8월"/>
    <x v="2"/>
    <x v="3"/>
    <x v="2"/>
    <s v="게임콘텐츠제작(08030205)"/>
    <m/>
    <s v="게임기획 실무자 양성과정"/>
    <m/>
    <m/>
    <d v="2024-08-27T00:00:00"/>
    <d v="2025-03-10T00:00:00"/>
    <n v="20"/>
    <n v="7"/>
    <m/>
    <n v="0.35"/>
    <n v="0"/>
  </r>
  <r>
    <n v="109"/>
    <s v="8월"/>
    <x v="0"/>
    <x v="8"/>
    <x v="4"/>
    <s v="정보보호관리·운영(20010601)"/>
    <m/>
    <s v="정보보안산업기사 취득과정B"/>
    <m/>
    <m/>
    <d v="2024-08-29T00:00:00"/>
    <d v="2025-02-07T00:00:00"/>
    <n v="22"/>
    <n v="15"/>
    <m/>
    <n v="0.68181818181818177"/>
    <n v="0"/>
  </r>
  <r>
    <n v="110"/>
    <s v="8월"/>
    <x v="1"/>
    <x v="16"/>
    <x v="2"/>
    <s v="실내건축설계(14030104)"/>
    <m/>
    <s v="실내건축설계(Auto CAD, 3DsMax) 양성과정"/>
    <m/>
    <m/>
    <d v="2024-08-29T00:00:00"/>
    <d v="2024-12-13T00:00:00"/>
    <n v="12"/>
    <n v="5"/>
    <m/>
    <n v="0.41666666666666669"/>
    <n v="0"/>
  </r>
  <r>
    <n v="111"/>
    <s v="8월"/>
    <x v="0"/>
    <x v="8"/>
    <x v="1"/>
    <s v="응용SW엔지니어링(20010202)"/>
    <m/>
    <s v="(디지털 컨버전스) 임베디드 소프트웨어 융합 풀스택 개발자 양성과정 "/>
    <m/>
    <m/>
    <d v="2024-08-30T00:00:00"/>
    <d v="2025-01-20T00:00:00"/>
    <n v="33"/>
    <n v="25"/>
    <m/>
    <n v="0.75757575757575757"/>
    <n v="0"/>
  </r>
  <r>
    <n v="112"/>
    <s v="8월"/>
    <x v="3"/>
    <x v="5"/>
    <x v="2"/>
    <s v="여행상품상담(12030102)"/>
    <m/>
    <s v="여행사예약발권(CRS)/오퍼레이터(OP)과정"/>
    <m/>
    <m/>
    <d v="2024-08-26T00:00:00"/>
    <d v="2024-10-28T00:00:00"/>
    <n v="20"/>
    <n v="6"/>
    <m/>
    <n v="0.3"/>
    <n v="0"/>
  </r>
  <r>
    <n v="113"/>
    <s v="8월"/>
    <x v="3"/>
    <x v="5"/>
    <x v="2"/>
    <s v="항공여객운송서비스(09040205)"/>
    <m/>
    <s v="항공사지상직CRS(예약발권)/DCS(탑승수속)과정"/>
    <m/>
    <m/>
    <d v="2024-08-30T00:00:00"/>
    <d v="2024-11-26T00:00:00"/>
    <n v="20"/>
    <n v="8"/>
    <m/>
    <n v="0.4"/>
    <n v="0"/>
  </r>
  <r>
    <n v="114"/>
    <s v="9월"/>
    <x v="1"/>
    <x v="2"/>
    <x v="2"/>
    <s v="UI/UX엔지니어링(20010207)"/>
    <m/>
    <s v="UIUX 웹퍼블리셔 양성과정"/>
    <m/>
    <m/>
    <d v="2024-09-03T00:00:00"/>
    <d v="2024-12-17T00:00:00"/>
    <n v="18"/>
    <n v="8"/>
    <m/>
    <n v="0.44444444444444442"/>
    <n v="0"/>
  </r>
  <r>
    <n v="115"/>
    <s v="9월"/>
    <x v="1"/>
    <x v="12"/>
    <x v="2"/>
    <s v="광고콘텐츠제작(08030204)"/>
    <m/>
    <s v="모션그래픽&amp;영상편집 전문가(영상제작자 과정)"/>
    <m/>
    <m/>
    <d v="2024-09-06T00:00:00"/>
    <d v="2024-12-05T00:00:00"/>
    <n v="21"/>
    <n v="6"/>
    <m/>
    <n v="0.2857142857142857"/>
    <n v="0"/>
  </r>
  <r>
    <n v="116"/>
    <s v="9월"/>
    <x v="0"/>
    <x v="5"/>
    <x v="1"/>
    <s v="응용SW엔지니어링(20010202)"/>
    <m/>
    <s v="(디지털컨버전스)임베디드 소프트웨어 융합 풀스택 개발자 양성 과정D"/>
    <m/>
    <m/>
    <d v="2024-09-10T00:00:00"/>
    <d v="2025-02-21T00:00:00"/>
    <n v="35"/>
    <n v="16"/>
    <m/>
    <n v="0.45714285714285713"/>
    <n v="0"/>
  </r>
  <r>
    <n v="117"/>
    <s v="9월"/>
    <x v="0"/>
    <x v="9"/>
    <x v="0"/>
    <s v="UI/UX엔지니어링(20010207)"/>
    <m/>
    <s v="(산대특) AI(인공지능)활용 핀테크서비스 개발자 양성과정_육성"/>
    <m/>
    <m/>
    <d v="2024-09-10T00:00:00"/>
    <d v="2025-02-20T00:00:00"/>
    <n v="25"/>
    <n v="20"/>
    <m/>
    <n v="0.8"/>
    <n v="0"/>
  </r>
  <r>
    <n v="118"/>
    <s v="9월"/>
    <x v="1"/>
    <x v="13"/>
    <x v="2"/>
    <s v="광고콘텐츠제작(08030204)"/>
    <m/>
    <s v="2D 모션그래픽 영상전문가로 취업하기"/>
    <m/>
    <m/>
    <d v="2024-09-12T00:00:00"/>
    <d v="2024-12-11T00:00:00"/>
    <n v="14"/>
    <n v="9"/>
    <m/>
    <n v="0.6428571428571429"/>
    <n v="0"/>
  </r>
  <r>
    <n v="119"/>
    <s v="9월"/>
    <x v="0"/>
    <x v="5"/>
    <x v="3"/>
    <s v="인공지능플랫폼구축(20010701)"/>
    <m/>
    <s v="AI기반 챗봇 및 OCR 개발 전문가 과정"/>
    <m/>
    <m/>
    <d v="2024-09-19T00:00:00"/>
    <d v="2025-03-24T00:00:00"/>
    <n v="35"/>
    <n v="18"/>
    <m/>
    <n v="0.51428571428571423"/>
    <n v="0"/>
  </r>
  <r>
    <n v="120"/>
    <s v="9월"/>
    <x v="2"/>
    <x v="6"/>
    <x v="1"/>
    <s v="게임콘텐츠제작(08030205)"/>
    <m/>
    <s v="(게임콘텐츠제작) 유니티 게임 프로그래머 양성과정"/>
    <m/>
    <m/>
    <d v="2024-09-19T00:00:00"/>
    <d v="2025-06-16T00:00:00"/>
    <n v="20"/>
    <n v="13"/>
    <m/>
    <n v="0.65"/>
    <n v="0"/>
  </r>
  <r>
    <n v="121"/>
    <s v="9월"/>
    <x v="1"/>
    <x v="0"/>
    <x v="1"/>
    <s v="편집디자인(22010102)"/>
    <m/>
    <s v="(출판) 디지털퍼블리싱 실무자양성과정B"/>
    <m/>
    <m/>
    <d v="2024-09-24T00:00:00"/>
    <d v="2025-04-21T00:00:00"/>
    <n v="20"/>
    <n v="14"/>
    <m/>
    <n v="0.7"/>
    <n v="0"/>
  </r>
  <r>
    <n v="122"/>
    <s v="9월"/>
    <x v="0"/>
    <x v="0"/>
    <x v="4"/>
    <s v="응용SW엔지니어링(20010202)"/>
    <m/>
    <s v="(과정평가형 자격) 정보처리기능사 취득과정B "/>
    <m/>
    <m/>
    <d v="2024-09-24T00:00:00"/>
    <d v="2025-02-04T00:00:00"/>
    <n v="20"/>
    <n v="8"/>
    <m/>
    <n v="0.4"/>
    <n v="0"/>
  </r>
  <r>
    <n v="123"/>
    <s v="9월"/>
    <x v="0"/>
    <x v="6"/>
    <x v="2"/>
    <s v="응용SW엔지니어링(20010202)"/>
    <m/>
    <s v="자바 기반 웹개발자 양성과정 "/>
    <m/>
    <m/>
    <d v="2024-09-26T00:00:00"/>
    <d v="2024-12-23T00:00:00"/>
    <n v="30"/>
    <n v="7"/>
    <m/>
    <n v="0.23333333333333334"/>
    <n v="0"/>
  </r>
  <r>
    <n v="124"/>
    <s v="9월"/>
    <x v="0"/>
    <x v="4"/>
    <x v="1"/>
    <s v="응용SW엔지니어링(20010202)"/>
    <m/>
    <s v="(정보시스템구축 개발,운영) 정보시스템 보안운영 및 보안사고 분석B"/>
    <m/>
    <m/>
    <d v="2024-09-30T00:00:00"/>
    <d v="2025-02-28T00:00:00"/>
    <n v="22"/>
    <n v="10"/>
    <m/>
    <n v="0.45454545454545453"/>
    <n v="0"/>
  </r>
  <r>
    <n v="125"/>
    <s v="10월"/>
    <x v="1"/>
    <x v="5"/>
    <x v="2"/>
    <s v="광고콘텐츠제작(08030204)"/>
    <m/>
    <s v="광고콘텐츠 3D모션그래픽제작(에프터이펙트, 프리미어, C4D)과정"/>
    <m/>
    <m/>
    <d v="2024-10-02T00:00:00"/>
    <d v="2024-12-26T00:00:00"/>
    <n v="20"/>
    <n v="13"/>
    <m/>
    <n v="0.65"/>
    <n v="0"/>
  </r>
  <r>
    <n v="126"/>
    <s v="10월"/>
    <x v="1"/>
    <x v="3"/>
    <x v="2"/>
    <s v="디지털디자인(08020104)"/>
    <m/>
    <s v="[UIUX] 반응형웹디자인&amp;웹퍼블리셔(프론트엔드) 양성 과정"/>
    <m/>
    <m/>
    <d v="2024-10-02T00:00:00"/>
    <d v="2024-12-24T00:00:00"/>
    <n v="20"/>
    <n v="12"/>
    <m/>
    <n v="0.6"/>
    <n v="0"/>
  </r>
  <r>
    <n v="127"/>
    <s v="10월"/>
    <x v="2"/>
    <x v="5"/>
    <x v="2"/>
    <s v="게임콘텐츠제작(08030205)"/>
    <m/>
    <s v="유니티게임프로그램개발자양성과정"/>
    <m/>
    <m/>
    <d v="2024-10-07T00:00:00"/>
    <d v="2025-02-27T00:00:00"/>
    <n v="20"/>
    <n v="7"/>
    <m/>
    <n v="0.35"/>
    <n v="0"/>
  </r>
  <r>
    <n v="128"/>
    <s v="10월"/>
    <x v="0"/>
    <x v="3"/>
    <x v="2"/>
    <s v="응용SW엔지니어링(20010202)"/>
    <m/>
    <s v="자바기반 백엔드 개발자 양성과정A"/>
    <m/>
    <m/>
    <d v="2024-10-08T00:00:00"/>
    <d v="2025-01-17T00:00:00"/>
    <n v="28"/>
    <n v="7"/>
    <m/>
    <n v="0.25"/>
    <n v="0"/>
  </r>
  <r>
    <n v="129"/>
    <s v="10월"/>
    <x v="2"/>
    <x v="7"/>
    <x v="2"/>
    <s v="게임콘텐츠제작(08030205)"/>
    <m/>
    <s v="게임기획 전문 실무자 양성과정"/>
    <m/>
    <m/>
    <d v="2024-10-10T00:00:00"/>
    <d v="2025-02-24T00:00:00"/>
    <n v="15"/>
    <n v="9"/>
    <m/>
    <n v="0.6"/>
    <n v="0"/>
  </r>
  <r>
    <n v="130"/>
    <s v="10월"/>
    <x v="0"/>
    <x v="6"/>
    <x v="0"/>
    <s v="응용SW엔지니어링(20010202)"/>
    <m/>
    <s v="데이터사이언스(AI)를 활용한 웹서비스 융합 개발자 양성 과정"/>
    <m/>
    <m/>
    <d v="2024-10-11T00:00:00"/>
    <d v="2025-04-28T00:00:00"/>
    <n v="25"/>
    <n v="10"/>
    <m/>
    <n v="0.4"/>
    <n v="0"/>
  </r>
  <r>
    <n v="131"/>
    <s v="10월"/>
    <x v="1"/>
    <x v="8"/>
    <x v="0"/>
    <s v="UI/UX엔지니어링(20010207)"/>
    <m/>
    <s v="(산대특) AI&amp;React 활용 스마트시티웨더 구축_리퍼블리셔 양성"/>
    <m/>
    <m/>
    <d v="2024-10-14T00:00:00"/>
    <d v="2025-03-31T00:00:00"/>
    <n v="15"/>
    <n v="12"/>
    <m/>
    <n v="0.8"/>
    <n v="0"/>
  </r>
  <r>
    <n v="132"/>
    <s v="10월"/>
    <x v="1"/>
    <x v="6"/>
    <x v="2"/>
    <s v="광고콘텐츠제작(08030204)"/>
    <m/>
    <s v="영상편집&amp;모션그래픽제작(프리미어,에프터이펙트)실무자 양성 과정"/>
    <m/>
    <m/>
    <d v="2024-10-15T00:00:00"/>
    <d v="2025-01-27T00:00:00"/>
    <n v="20"/>
    <n v="18"/>
    <m/>
    <n v="0.9"/>
    <n v="0"/>
  </r>
  <r>
    <n v="133"/>
    <s v="10월"/>
    <x v="1"/>
    <x v="7"/>
    <x v="2"/>
    <s v="광고콘텐츠제작(08030204)"/>
    <m/>
    <s v="광고콘텐츠 3D모션그래픽제작(에프터이펙트, 프리미어, C4D)과정"/>
    <m/>
    <m/>
    <d v="2024-10-15T00:00:00"/>
    <d v="2025-01-08T00:00:00"/>
    <n v="17"/>
    <n v="11"/>
    <m/>
    <n v="0.6470588235294118"/>
    <n v="0"/>
  </r>
  <r>
    <n v="134"/>
    <s v="10월"/>
    <x v="1"/>
    <x v="11"/>
    <x v="1"/>
    <s v="편집디자인(22010102)"/>
    <m/>
    <s v="[출판] 디지털편집디자인(일러스트,포토샵,인디자인) 실무양성과정B"/>
    <m/>
    <m/>
    <d v="2024-10-15T00:00:00"/>
    <d v="2025-04-30T00:00:00"/>
    <n v="20"/>
    <n v="11"/>
    <m/>
    <n v="0.55000000000000004"/>
    <n v="0"/>
  </r>
  <r>
    <n v="135"/>
    <s v="10월"/>
    <x v="0"/>
    <x v="9"/>
    <x v="2"/>
    <s v="UI/UX엔지니어링(20010207)"/>
    <m/>
    <s v="웹(퍼블리셔) 프론트엔드(Javascript,React) 양성과정"/>
    <m/>
    <m/>
    <d v="2024-10-22T00:00:00"/>
    <d v="2024-12-20T00:00:00"/>
    <n v="30"/>
    <n v="5"/>
    <m/>
    <n v="0.16666666666666666"/>
    <n v="0"/>
  </r>
  <r>
    <n v="136"/>
    <s v="10월"/>
    <x v="0"/>
    <x v="5"/>
    <x v="1"/>
    <s v="응용SW엔지니어링(20010202)"/>
    <m/>
    <s v="(디지털컨버전스)임베디드 소프트웨어 융합 풀스택 개발자 양성 과정K-SQF"/>
    <m/>
    <m/>
    <d v="2024-10-24T00:00:00"/>
    <d v="2025-04-10T00:00:00"/>
    <n v="35"/>
    <n v="7"/>
    <m/>
    <n v="0.2"/>
    <n v="0"/>
  </r>
  <r>
    <n v="137"/>
    <s v="10월"/>
    <x v="4"/>
    <x v="13"/>
    <x v="2"/>
    <s v="네일미용(12010104)"/>
    <m/>
    <s v="미용사(네일)국가자격증 취득과정"/>
    <m/>
    <m/>
    <d v="2024-10-28T00:00:00"/>
    <d v="2025-03-26T00:00:00"/>
    <n v="12"/>
    <n v="11"/>
    <m/>
    <n v="0.91666666666666663"/>
    <n v="0"/>
  </r>
  <r>
    <n v="138"/>
    <s v="11월"/>
    <x v="1"/>
    <x v="15"/>
    <x v="2"/>
    <s v="실내건축설계(14030104)"/>
    <m/>
    <s v="실내건축설계 양성과정"/>
    <m/>
    <m/>
    <d v="2024-11-11T00:00:00"/>
    <d v="2025-02-27T00:00:00"/>
    <n v="20"/>
    <n v="10"/>
    <m/>
    <n v="0.5"/>
    <n v="0"/>
  </r>
  <r>
    <n v="139"/>
    <s v="11월"/>
    <x v="1"/>
    <x v="6"/>
    <x v="1"/>
    <s v="디지털디자인(08020104)"/>
    <m/>
    <s v="[디지털디자인]스마트UIUX 반응형 웹퍼블리셔 양성과정 C"/>
    <m/>
    <m/>
    <d v="2024-11-12T00:00:00"/>
    <d v="2025-05-21T00:00:00"/>
    <n v="20"/>
    <n v="15"/>
    <m/>
    <n v="0.75"/>
    <n v="0"/>
  </r>
  <r>
    <n v="140"/>
    <s v="11월"/>
    <x v="0"/>
    <x v="4"/>
    <x v="1"/>
    <s v="스마트웹콘텐츠개발(20010207)"/>
    <m/>
    <s v="(스마트웹&amp;콘텐츠개발) UI/UX 스마트콘텐츠 융합 응용SW개발자 양성과정 B"/>
    <m/>
    <m/>
    <d v="2024-11-12T00:00:00"/>
    <d v="2025-04-29T00:00:00"/>
    <n v="20"/>
    <n v="7"/>
    <m/>
    <n v="0.35"/>
    <n v="0"/>
  </r>
  <r>
    <n v="141"/>
    <s v="11월"/>
    <x v="2"/>
    <x v="0"/>
    <x v="2"/>
    <s v="게임콘텐츠제작(08030205)"/>
    <m/>
    <s v="게임프로그래머 양성과정(유니티)"/>
    <m/>
    <m/>
    <d v="2024-11-14T00:00:00"/>
    <d v="2025-05-19T00:00:00"/>
    <n v="10"/>
    <n v="7"/>
    <m/>
    <n v="0.7"/>
    <n v="0"/>
  </r>
  <r>
    <n v="142"/>
    <s v="11월"/>
    <x v="1"/>
    <x v="6"/>
    <x v="1"/>
    <s v="실내건축설계(14030104)"/>
    <m/>
    <s v="BIM 실내건축&amp;건축설계 실무양성과정 A"/>
    <m/>
    <m/>
    <d v="2024-11-14T00:00:00"/>
    <d v="2025-06-05T00:00:00"/>
    <n v="20"/>
    <n v="14"/>
    <m/>
    <n v="0.7"/>
    <n v="0"/>
  </r>
  <r>
    <n v="143"/>
    <s v="11월"/>
    <x v="0"/>
    <x v="5"/>
    <x v="1"/>
    <s v="응용SW엔지니어링(20010202)"/>
    <m/>
    <s v="(디지털컨버전스)공공데이터를 융합한 자바기반 Spring 웹개발자 양성 과정K-SQF"/>
    <m/>
    <m/>
    <d v="2024-11-19T00:00:00"/>
    <d v="2025-05-12T00:00:00"/>
    <n v="21"/>
    <n v="5"/>
    <m/>
    <n v="0.23809523809523808"/>
    <n v="0"/>
  </r>
  <r>
    <n v="144"/>
    <s v="11월"/>
    <x v="0"/>
    <x v="5"/>
    <x v="3"/>
    <s v="보안엔지니어링(20010206)"/>
    <m/>
    <s v="(정보보안)웹서버개발 및 웹보안 솔루션 구축 융합과정"/>
    <m/>
    <m/>
    <d v="2024-11-21T00:00:00"/>
    <d v="2025-06-09T00:00:00"/>
    <n v="25"/>
    <n v="22"/>
    <m/>
    <n v="0.88"/>
    <n v="0"/>
  </r>
  <r>
    <n v="145"/>
    <s v="11월"/>
    <x v="2"/>
    <x v="6"/>
    <x v="2"/>
    <s v="게임콘텐츠제작(08030205)"/>
    <m/>
    <s v="(게임콘텐츠제작)게임 3D그래픽 디자이너 양성과정(MAX)"/>
    <m/>
    <m/>
    <d v="2024-11-25T00:00:00"/>
    <d v="2025-06-03T00:00:00"/>
    <n v="13"/>
    <n v="10"/>
    <m/>
    <n v="0.76923076923076927"/>
    <n v="0"/>
  </r>
  <r>
    <n v="146"/>
    <s v="11월"/>
    <x v="0"/>
    <x v="0"/>
    <x v="0"/>
    <s v="응용SW엔지니어링(20010202)"/>
    <m/>
    <s v="생성형 AI(챗GPT API) 활용 실버케어 PHR(Personal Health Reacord) 솔루션 개발"/>
    <m/>
    <m/>
    <d v="2024-11-27T00:00:00"/>
    <d v="2025-04-16T00:00:00"/>
    <n v="30"/>
    <n v="24"/>
    <m/>
    <n v="0.8"/>
    <n v="0"/>
  </r>
  <r>
    <n v="147"/>
    <s v="11월"/>
    <x v="0"/>
    <x v="9"/>
    <x v="0"/>
    <s v="정보보호관리·운영(20010601)"/>
    <m/>
    <s v="(산대특)클라우드 기반 가상화 솔루션 보안전문가 양성_육성"/>
    <m/>
    <m/>
    <d v="2024-11-28T00:00:00"/>
    <d v="2025-05-14T00:00:00"/>
    <n v="30"/>
    <n v="17"/>
    <m/>
    <n v="0.56666666666666665"/>
    <n v="0"/>
  </r>
  <r>
    <n v="148"/>
    <s v="11월"/>
    <x v="3"/>
    <x v="5"/>
    <x v="2"/>
    <s v="여행상품상담(12030102)"/>
    <m/>
    <s v="여행사예약발권(CRS)/오퍼레이터(OP)과정"/>
    <m/>
    <m/>
    <d v="2024-11-08T00:00:00"/>
    <d v="2025-01-06T00:00:00"/>
    <n v="20"/>
    <n v="11"/>
    <m/>
    <n v="0.55000000000000004"/>
    <n v="0"/>
  </r>
  <r>
    <n v="149"/>
    <s v="12월"/>
    <x v="1"/>
    <x v="10"/>
    <x v="1"/>
    <m/>
    <m/>
    <s v="(스마트웹&amp;콘텐츠개발) 프론트엔드(UIUX)개발자 양성과정"/>
    <m/>
    <m/>
    <d v="2024-12-03T00:00:00"/>
    <d v="2025-08-14T00:00:00"/>
    <n v="21"/>
    <n v="15"/>
    <m/>
    <n v="0.7142857142857143"/>
    <n v="0"/>
  </r>
  <r>
    <n v="150"/>
    <s v="12월"/>
    <x v="1"/>
    <x v="7"/>
    <x v="1"/>
    <s v="실내건축설계(14030104)"/>
    <m/>
    <s v="(BIM)실내건축설계 인테리어(캐드,맥스,레빗,스케치업) B"/>
    <m/>
    <m/>
    <d v="2024-12-10T00:00:00"/>
    <d v="2025-05-28T00:00:00"/>
    <n v="20"/>
    <n v="9"/>
    <m/>
    <n v="0.45"/>
    <n v="0"/>
  </r>
  <r>
    <n v="151"/>
    <s v="12월"/>
    <x v="1"/>
    <x v="1"/>
    <x v="2"/>
    <s v="디지털디자인(08020104)"/>
    <m/>
    <s v="웹디자이너 양성과정"/>
    <m/>
    <m/>
    <d v="2024-12-11T00:00:00"/>
    <d v="2025-03-28T00:00:00"/>
    <n v="10"/>
    <n v="7"/>
    <m/>
    <n v="0.7"/>
    <n v="0"/>
  </r>
  <r>
    <n v="152"/>
    <s v="12월"/>
    <x v="1"/>
    <x v="0"/>
    <x v="1"/>
    <m/>
    <m/>
    <s v="(BIM)건축설계&amp;실내건축설계양성과정(CAD,MAX)C"/>
    <m/>
    <m/>
    <d v="2024-12-12T00:00:00"/>
    <d v="2025-08-21T00:00:00"/>
    <n v="20"/>
    <n v="8"/>
    <m/>
    <n v="0.4"/>
    <n v="0"/>
  </r>
  <r>
    <n v="153"/>
    <s v="12월"/>
    <x v="2"/>
    <x v="4"/>
    <x v="1"/>
    <s v="게임콘텐츠제작(08030205)"/>
    <m/>
    <s v="게임 디자인 2D그래픽 디자이너 양성(디지털드로잉, 컨셉아트, UI그래픽)"/>
    <m/>
    <m/>
    <d v="2024-12-16T00:00:00"/>
    <d v="2025-05-02T00:00:00"/>
    <n v="22"/>
    <n v="9"/>
    <m/>
    <n v="0.40909090909090912"/>
    <n v="0"/>
  </r>
  <r>
    <n v="154"/>
    <s v="12월"/>
    <x v="1"/>
    <x v="18"/>
    <x v="0"/>
    <m/>
    <m/>
    <s v="(산대특)_2D 모션그래픽 영상편집 실무 양성 과정(챗GPT, 생성형 AI, 프리미어, 에프터 이펙트)"/>
    <m/>
    <m/>
    <d v="2024-12-16T00:00:00"/>
    <d v="2025-03-04T00:00:00"/>
    <n v="20"/>
    <n v="20"/>
    <m/>
    <n v="1"/>
    <n v="0"/>
  </r>
  <r>
    <n v="155"/>
    <s v="12월"/>
    <x v="1"/>
    <x v="18"/>
    <x v="0"/>
    <m/>
    <m/>
    <s v="(산대특)_친환경 3D프린팅 기술에 활용 가능한 2D(CAD), 3D(Inventor, Rhino) 기계부품 설계과정 (전기자동차)"/>
    <m/>
    <m/>
    <d v="2024-12-16T00:00:00"/>
    <d v="2025-04-07T00:00:00"/>
    <n v="20"/>
    <n v="4"/>
    <m/>
    <n v="0.2"/>
    <n v="0"/>
  </r>
  <r>
    <n v="156"/>
    <s v="12월"/>
    <x v="0"/>
    <x v="5"/>
    <x v="4"/>
    <s v="정보보호관리·운영(20010601)"/>
    <m/>
    <s v="[과정평가형] 정보보안산업기사 취득과정B"/>
    <m/>
    <m/>
    <d v="2024-12-17T00:00:00"/>
    <d v="2025-05-16T00:00:00"/>
    <n v="21"/>
    <n v="20"/>
    <m/>
    <n v="0.95238095238095233"/>
    <n v="0"/>
  </r>
  <r>
    <n v="157"/>
    <s v="12월"/>
    <x v="2"/>
    <x v="7"/>
    <x v="1"/>
    <s v="게임콘텐츠제작(08030205)"/>
    <m/>
    <s v="(게임콘텐츠제작) 게임프로그래머 개발자 전문 양성과정"/>
    <m/>
    <m/>
    <d v="2024-12-19T00:00:00"/>
    <d v="2025-07-28T00:00:00"/>
    <n v="20"/>
    <n v="15"/>
    <m/>
    <n v="0.75"/>
    <n v="0"/>
  </r>
  <r>
    <n v="158"/>
    <s v="12월"/>
    <x v="1"/>
    <x v="0"/>
    <x v="1"/>
    <m/>
    <m/>
    <s v="(출판) 디지털퍼블리싱 실무자양성과정C"/>
    <m/>
    <m/>
    <d v="2024-12-19T00:00:00"/>
    <d v="2025-06-25T00:00:00"/>
    <n v="20"/>
    <n v="10"/>
    <m/>
    <n v="0.5"/>
    <n v="0"/>
  </r>
  <r>
    <n v="159"/>
    <s v="12월"/>
    <x v="0"/>
    <x v="6"/>
    <x v="0"/>
    <s v="응용SW엔지니어링(20010202)"/>
    <m/>
    <s v="국가연구데이터셋 &amp; Kaggle 등을 활용한 데이터 분석 및 시각화 플랫폼 개발 과정"/>
    <m/>
    <m/>
    <d v="2024-12-20T00:00:00"/>
    <d v="2025-06-04T00:00:00"/>
    <n v="20"/>
    <n v="13"/>
    <m/>
    <n v="0.65"/>
    <n v="0"/>
  </r>
  <r>
    <n v="160"/>
    <s v="12월"/>
    <x v="2"/>
    <x v="13"/>
    <x v="2"/>
    <s v="게임콘텐츠제작(08030205)"/>
    <m/>
    <s v="게임프로그래밍 개발자 양성과정 A"/>
    <m/>
    <m/>
    <d v="2024-12-23T00:00:00"/>
    <d v="2025-07-08T00:00:00"/>
    <n v="21"/>
    <n v="7"/>
    <m/>
    <n v="0.33333333333333331"/>
    <n v="0"/>
  </r>
  <r>
    <n v="161"/>
    <s v="12월"/>
    <x v="0"/>
    <x v="5"/>
    <x v="1"/>
    <s v="응용SW엔지니어링(20010202)"/>
    <m/>
    <s v="(디지털컨버전스)임베디드 소프트웨어 융합 풀스택 개발자 양성 과정I"/>
    <m/>
    <m/>
    <d v="2024-12-23T00:00:00"/>
    <d v="2025-05-30T00:00:00"/>
    <n v="35"/>
    <n v="7"/>
    <m/>
    <n v="0.2"/>
    <n v="0"/>
  </r>
  <r>
    <n v="162"/>
    <s v="12월"/>
    <x v="0"/>
    <x v="5"/>
    <x v="1"/>
    <s v="응용SW엔지니어링(20010202)"/>
    <m/>
    <s v="(디지털컨버전스)임베디드 소프트웨어 융합 풀스택 개발자 양성 과정G"/>
    <m/>
    <m/>
    <d v="2024-12-26T00:00:00"/>
    <d v="2025-06-11T00:00:00"/>
    <n v="35"/>
    <n v="11"/>
    <m/>
    <n v="0.31428571428571428"/>
    <n v="0"/>
  </r>
  <r>
    <n v="163"/>
    <s v="12월"/>
    <x v="0"/>
    <x v="8"/>
    <x v="4"/>
    <s v="응용SW엔지니어링(20010202)"/>
    <m/>
    <s v="[과정평가형] 정보처리산업기사 취득과정A"/>
    <m/>
    <m/>
    <d v="2024-12-26T00:00:00"/>
    <d v="2025-06-12T00:00:00"/>
    <n v="20"/>
    <n v="16"/>
    <m/>
    <n v="0.8"/>
    <n v="0"/>
  </r>
  <r>
    <n v="164"/>
    <s v="12월"/>
    <x v="0"/>
    <x v="8"/>
    <x v="1"/>
    <s v="보안엔지니어링(20010206)"/>
    <m/>
    <s v="(정보시스템구축(개발,운영)) 정보시스템 보안 구축 엔지니어 양성 과정"/>
    <m/>
    <m/>
    <d v="2024-12-26T00:00:00"/>
    <d v="2025-06-26T00:00:00"/>
    <n v="22"/>
    <n v="13"/>
    <m/>
    <n v="0.59090909090909094"/>
    <n v="0"/>
  </r>
  <r>
    <n v="165"/>
    <s v="12월"/>
    <x v="0"/>
    <x v="0"/>
    <x v="0"/>
    <s v="응용SW엔지니어링(20010202)"/>
    <m/>
    <s v="빅데이터 활용 실버케어테크 인지치료소프트웨어 개발"/>
    <m/>
    <m/>
    <d v="2024-12-26T00:00:00"/>
    <d v="2025-05-15T00:00:00"/>
    <n v="30"/>
    <n v="18"/>
    <m/>
    <n v="0.6"/>
    <n v="0"/>
  </r>
  <r>
    <n v="166"/>
    <s v="12월"/>
    <x v="1"/>
    <x v="17"/>
    <x v="2"/>
    <s v=" 게임콘텐츠제작(08030205)"/>
    <m/>
    <s v="게임프로그래머 실무자 양성과정(유니티)(1회차)"/>
    <m/>
    <m/>
    <d v="2024-12-26T00:00:00"/>
    <d v="2025-03-28T00:00:00"/>
    <n v="20"/>
    <n v="9"/>
    <m/>
    <n v="0.45"/>
    <n v="0"/>
  </r>
  <r>
    <n v="167"/>
    <s v="12월"/>
    <x v="1"/>
    <x v="17"/>
    <x v="2"/>
    <s v="UI/UX엔지니어링(20010207)"/>
    <m/>
    <s v="UIUX 웹퍼블리셔 양성과정"/>
    <m/>
    <m/>
    <d v="2024-12-26T00:00:00"/>
    <d v="2025-05-07T00:00:00"/>
    <n v="20"/>
    <n v="8"/>
    <m/>
    <n v="0.4"/>
    <n v="0"/>
  </r>
  <r>
    <n v="168"/>
    <s v="12월"/>
    <x v="2"/>
    <x v="16"/>
    <x v="2"/>
    <s v="게임콘텐츠제작(08030205)"/>
    <m/>
    <s v="게임 프로그래머 양성과정_유니티(Unity)"/>
    <m/>
    <m/>
    <d v="2024-12-26T00:00:00"/>
    <d v="2025-07-01T00:00:00"/>
    <n v="17"/>
    <n v="8"/>
    <m/>
    <n v="0.47058823529411764"/>
    <n v="0"/>
  </r>
  <r>
    <n v="169"/>
    <s v="12월"/>
    <x v="0"/>
    <x v="5"/>
    <x v="1"/>
    <s v="응용SW엔지니어링(20010202)"/>
    <m/>
    <s v="(디지털컨버전스)임베디드 소프트웨어 융합 풀스택 개발자 양성 과정J"/>
    <m/>
    <m/>
    <d v="2024-12-30T00:00:00"/>
    <d v="2025-06-11T00:00:00"/>
    <n v="35"/>
    <n v="11"/>
    <m/>
    <n v="0.31428571428571428"/>
    <n v="0"/>
  </r>
  <r>
    <n v="170"/>
    <s v="12월"/>
    <x v="0"/>
    <x v="4"/>
    <x v="1"/>
    <s v="빅데이터기획(20010107)"/>
    <m/>
    <s v="(빅데이터 분석 및 UI 전문가) 파이썬을 활용한 빅데이터 UI 전문가 양성과정"/>
    <m/>
    <m/>
    <d v="2024-12-30T00:00:00"/>
    <d v="2025-06-20T00:00:00"/>
    <n v="30"/>
    <n v="11"/>
    <m/>
    <n v="0.36666666666666664"/>
    <n v="0"/>
  </r>
  <r>
    <n v="171"/>
    <s v="12월"/>
    <x v="0"/>
    <x v="9"/>
    <x v="0"/>
    <s v="응용SW엔지니어링(20010202)"/>
    <m/>
    <s v="Node.js와 React.js를 활용한 풀스택 개발자 양성과정_육성"/>
    <m/>
    <m/>
    <d v="2024-12-30T00:00:00"/>
    <d v="2025-05-28T00:00:00"/>
    <n v="20"/>
    <n v="19"/>
    <m/>
    <n v="0.95"/>
    <n v="0"/>
  </r>
  <r>
    <n v="172"/>
    <s v="12월"/>
    <x v="2"/>
    <x v="8"/>
    <x v="2"/>
    <m/>
    <m/>
    <s v="게임프로그래머개발자양성(유니티) "/>
    <m/>
    <m/>
    <d v="2024-12-30T00:00:00"/>
    <d v="2025-04-04T00:00:00"/>
    <n v="20"/>
    <n v="5"/>
    <m/>
    <n v="0.25"/>
    <n v="0"/>
  </r>
  <r>
    <n v="173"/>
    <s v="12월"/>
    <x v="1"/>
    <x v="5"/>
    <x v="1"/>
    <s v="광고콘텐츠제작(08030204)"/>
    <m/>
    <s v="멀티미디어콘텐츠제작(에펙, 프리미어, 시네마4D)"/>
    <m/>
    <m/>
    <d v="2024-12-30T00:00:00"/>
    <d v="2025-07-23T00:00:00"/>
    <n v="20"/>
    <n v="20"/>
    <m/>
    <n v="1"/>
    <n v="0"/>
  </r>
  <r>
    <m/>
    <m/>
    <x v="5"/>
    <x v="19"/>
    <x v="6"/>
    <m/>
    <m/>
    <m/>
    <m/>
    <m/>
    <m/>
    <m/>
    <m/>
    <m/>
    <m/>
    <m/>
    <m/>
  </r>
  <r>
    <m/>
    <m/>
    <x v="5"/>
    <x v="19"/>
    <x v="6"/>
    <m/>
    <m/>
    <m/>
    <m/>
    <m/>
    <m/>
    <m/>
    <m/>
    <m/>
    <m/>
    <m/>
    <m/>
  </r>
  <r>
    <m/>
    <m/>
    <x v="5"/>
    <x v="19"/>
    <x v="6"/>
    <m/>
    <m/>
    <m/>
    <m/>
    <m/>
    <m/>
    <m/>
    <m/>
    <m/>
    <m/>
    <m/>
    <m/>
  </r>
  <r>
    <m/>
    <m/>
    <x v="5"/>
    <x v="19"/>
    <x v="6"/>
    <m/>
    <m/>
    <m/>
    <m/>
    <m/>
    <m/>
    <m/>
    <m/>
    <m/>
    <m/>
    <m/>
    <m/>
  </r>
  <r>
    <m/>
    <m/>
    <x v="5"/>
    <x v="19"/>
    <x v="6"/>
    <m/>
    <m/>
    <m/>
    <m/>
    <m/>
    <m/>
    <m/>
    <m/>
    <m/>
    <m/>
    <m/>
    <m/>
  </r>
  <r>
    <m/>
    <m/>
    <x v="5"/>
    <x v="19"/>
    <x v="6"/>
    <m/>
    <m/>
    <m/>
    <m/>
    <m/>
    <m/>
    <m/>
    <m/>
    <m/>
    <m/>
    <m/>
    <m/>
  </r>
  <r>
    <m/>
    <m/>
    <x v="5"/>
    <x v="19"/>
    <x v="6"/>
    <m/>
    <m/>
    <m/>
    <m/>
    <m/>
    <m/>
    <m/>
    <m/>
    <m/>
    <m/>
    <m/>
    <m/>
  </r>
  <r>
    <m/>
    <m/>
    <x v="5"/>
    <x v="19"/>
    <x v="6"/>
    <m/>
    <m/>
    <m/>
    <m/>
    <m/>
    <m/>
    <m/>
    <m/>
    <m/>
    <m/>
    <m/>
    <m/>
  </r>
  <r>
    <m/>
    <m/>
    <x v="5"/>
    <x v="19"/>
    <x v="6"/>
    <m/>
    <m/>
    <m/>
    <m/>
    <m/>
    <m/>
    <m/>
    <m/>
    <m/>
    <m/>
    <m/>
    <m/>
  </r>
  <r>
    <m/>
    <m/>
    <x v="5"/>
    <x v="19"/>
    <x v="6"/>
    <m/>
    <m/>
    <m/>
    <m/>
    <m/>
    <m/>
    <m/>
    <m/>
    <m/>
    <m/>
    <m/>
    <m/>
  </r>
  <r>
    <m/>
    <m/>
    <x v="5"/>
    <x v="19"/>
    <x v="6"/>
    <m/>
    <m/>
    <m/>
    <m/>
    <m/>
    <m/>
    <m/>
    <m/>
    <m/>
    <m/>
    <m/>
    <m/>
  </r>
  <r>
    <m/>
    <m/>
    <x v="5"/>
    <x v="19"/>
    <x v="6"/>
    <m/>
    <m/>
    <m/>
    <m/>
    <m/>
    <m/>
    <m/>
    <m/>
    <m/>
    <m/>
    <m/>
    <m/>
  </r>
  <r>
    <m/>
    <m/>
    <x v="5"/>
    <x v="19"/>
    <x v="6"/>
    <m/>
    <m/>
    <m/>
    <m/>
    <m/>
    <m/>
    <m/>
    <m/>
    <m/>
    <m/>
    <m/>
    <m/>
  </r>
  <r>
    <m/>
    <m/>
    <x v="5"/>
    <x v="19"/>
    <x v="6"/>
    <m/>
    <m/>
    <m/>
    <m/>
    <m/>
    <m/>
    <m/>
    <m/>
    <m/>
    <m/>
    <m/>
    <m/>
  </r>
  <r>
    <m/>
    <m/>
    <x v="5"/>
    <x v="19"/>
    <x v="6"/>
    <m/>
    <m/>
    <m/>
    <m/>
    <m/>
    <m/>
    <m/>
    <m/>
    <m/>
    <m/>
    <m/>
    <m/>
  </r>
  <r>
    <m/>
    <m/>
    <x v="5"/>
    <x v="19"/>
    <x v="6"/>
    <m/>
    <m/>
    <m/>
    <m/>
    <m/>
    <m/>
    <m/>
    <m/>
    <m/>
    <m/>
    <m/>
    <m/>
  </r>
  <r>
    <m/>
    <m/>
    <x v="5"/>
    <x v="19"/>
    <x v="6"/>
    <m/>
    <m/>
    <m/>
    <m/>
    <m/>
    <m/>
    <m/>
    <m/>
    <m/>
    <m/>
    <m/>
    <m/>
  </r>
  <r>
    <m/>
    <m/>
    <x v="5"/>
    <x v="19"/>
    <x v="6"/>
    <m/>
    <m/>
    <m/>
    <m/>
    <m/>
    <m/>
    <m/>
    <m/>
    <m/>
    <m/>
    <m/>
    <m/>
  </r>
  <r>
    <m/>
    <m/>
    <x v="5"/>
    <x v="19"/>
    <x v="6"/>
    <m/>
    <m/>
    <m/>
    <m/>
    <m/>
    <m/>
    <m/>
    <m/>
    <m/>
    <m/>
    <m/>
    <m/>
  </r>
  <r>
    <m/>
    <m/>
    <x v="5"/>
    <x v="19"/>
    <x v="6"/>
    <m/>
    <m/>
    <m/>
    <m/>
    <m/>
    <m/>
    <m/>
    <m/>
    <m/>
    <m/>
    <m/>
    <m/>
  </r>
  <r>
    <m/>
    <m/>
    <x v="5"/>
    <x v="19"/>
    <x v="6"/>
    <m/>
    <m/>
    <m/>
    <m/>
    <m/>
    <m/>
    <m/>
    <m/>
    <m/>
    <m/>
    <m/>
    <m/>
  </r>
  <r>
    <m/>
    <m/>
    <x v="5"/>
    <x v="19"/>
    <x v="6"/>
    <m/>
    <m/>
    <m/>
    <m/>
    <m/>
    <m/>
    <m/>
    <m/>
    <m/>
    <m/>
    <m/>
    <m/>
  </r>
  <r>
    <m/>
    <m/>
    <x v="5"/>
    <x v="19"/>
    <x v="6"/>
    <m/>
    <m/>
    <m/>
    <m/>
    <m/>
    <m/>
    <m/>
    <m/>
    <m/>
    <m/>
    <m/>
    <m/>
  </r>
  <r>
    <m/>
    <m/>
    <x v="5"/>
    <x v="19"/>
    <x v="6"/>
    <m/>
    <m/>
    <m/>
    <m/>
    <m/>
    <m/>
    <m/>
    <m/>
    <m/>
    <m/>
    <m/>
    <m/>
  </r>
  <r>
    <m/>
    <m/>
    <x v="5"/>
    <x v="19"/>
    <x v="6"/>
    <m/>
    <m/>
    <m/>
    <m/>
    <m/>
    <m/>
    <m/>
    <m/>
    <m/>
    <m/>
    <m/>
    <m/>
  </r>
  <r>
    <m/>
    <m/>
    <x v="5"/>
    <x v="19"/>
    <x v="6"/>
    <m/>
    <m/>
    <m/>
    <m/>
    <m/>
    <m/>
    <m/>
    <m/>
    <m/>
    <m/>
    <m/>
    <m/>
  </r>
  <r>
    <m/>
    <m/>
    <x v="5"/>
    <x v="19"/>
    <x v="6"/>
    <m/>
    <m/>
    <m/>
    <m/>
    <m/>
    <m/>
    <m/>
    <m/>
    <m/>
    <m/>
    <m/>
    <m/>
  </r>
  <r>
    <m/>
    <m/>
    <x v="5"/>
    <x v="19"/>
    <x v="6"/>
    <m/>
    <m/>
    <m/>
    <m/>
    <m/>
    <m/>
    <m/>
    <m/>
    <m/>
    <m/>
    <m/>
    <m/>
  </r>
  <r>
    <m/>
    <m/>
    <x v="5"/>
    <x v="19"/>
    <x v="6"/>
    <m/>
    <m/>
    <m/>
    <m/>
    <m/>
    <m/>
    <m/>
    <m/>
    <m/>
    <m/>
    <m/>
    <m/>
  </r>
  <r>
    <m/>
    <m/>
    <x v="5"/>
    <x v="19"/>
    <x v="6"/>
    <m/>
    <m/>
    <m/>
    <m/>
    <m/>
    <m/>
    <m/>
    <m/>
    <m/>
    <m/>
    <m/>
    <m/>
  </r>
  <r>
    <m/>
    <m/>
    <x v="5"/>
    <x v="19"/>
    <x v="6"/>
    <m/>
    <m/>
    <m/>
    <m/>
    <m/>
    <m/>
    <m/>
    <m/>
    <m/>
    <m/>
    <m/>
    <m/>
  </r>
  <r>
    <m/>
    <m/>
    <x v="5"/>
    <x v="19"/>
    <x v="6"/>
    <m/>
    <m/>
    <m/>
    <m/>
    <m/>
    <m/>
    <m/>
    <m/>
    <m/>
    <m/>
    <m/>
    <m/>
  </r>
  <r>
    <m/>
    <m/>
    <x v="5"/>
    <x v="19"/>
    <x v="6"/>
    <m/>
    <m/>
    <m/>
    <m/>
    <m/>
    <m/>
    <m/>
    <m/>
    <m/>
    <m/>
    <m/>
    <m/>
  </r>
  <r>
    <m/>
    <m/>
    <x v="5"/>
    <x v="19"/>
    <x v="6"/>
    <m/>
    <m/>
    <m/>
    <m/>
    <m/>
    <m/>
    <m/>
    <m/>
    <m/>
    <m/>
    <m/>
    <m/>
  </r>
  <r>
    <m/>
    <m/>
    <x v="5"/>
    <x v="19"/>
    <x v="6"/>
    <m/>
    <m/>
    <m/>
    <m/>
    <m/>
    <m/>
    <m/>
    <m/>
    <m/>
    <m/>
    <m/>
    <m/>
  </r>
  <r>
    <m/>
    <m/>
    <x v="5"/>
    <x v="19"/>
    <x v="6"/>
    <m/>
    <m/>
    <m/>
    <m/>
    <m/>
    <m/>
    <m/>
    <m/>
    <m/>
    <m/>
    <m/>
    <m/>
  </r>
  <r>
    <m/>
    <m/>
    <x v="5"/>
    <x v="19"/>
    <x v="6"/>
    <m/>
    <m/>
    <m/>
    <m/>
    <m/>
    <m/>
    <m/>
    <m/>
    <m/>
    <m/>
    <m/>
    <m/>
  </r>
  <r>
    <m/>
    <m/>
    <x v="5"/>
    <x v="19"/>
    <x v="6"/>
    <m/>
    <m/>
    <m/>
    <m/>
    <m/>
    <m/>
    <m/>
    <m/>
    <m/>
    <m/>
    <m/>
    <m/>
  </r>
  <r>
    <m/>
    <m/>
    <x v="5"/>
    <x v="19"/>
    <x v="6"/>
    <m/>
    <m/>
    <m/>
    <m/>
    <m/>
    <m/>
    <m/>
    <m/>
    <m/>
    <m/>
    <m/>
    <m/>
  </r>
  <r>
    <m/>
    <m/>
    <x v="5"/>
    <x v="19"/>
    <x v="6"/>
    <m/>
    <m/>
    <m/>
    <m/>
    <m/>
    <m/>
    <m/>
    <m/>
    <m/>
    <m/>
    <m/>
    <m/>
  </r>
  <r>
    <m/>
    <m/>
    <x v="5"/>
    <x v="19"/>
    <x v="6"/>
    <m/>
    <m/>
    <m/>
    <m/>
    <m/>
    <m/>
    <m/>
    <m/>
    <m/>
    <m/>
    <m/>
    <m/>
  </r>
  <r>
    <m/>
    <m/>
    <x v="5"/>
    <x v="19"/>
    <x v="6"/>
    <m/>
    <m/>
    <m/>
    <m/>
    <m/>
    <m/>
    <m/>
    <m/>
    <m/>
    <m/>
    <m/>
    <m/>
  </r>
  <r>
    <m/>
    <m/>
    <x v="5"/>
    <x v="19"/>
    <x v="6"/>
    <m/>
    <m/>
    <m/>
    <m/>
    <m/>
    <m/>
    <m/>
    <m/>
    <m/>
    <m/>
    <m/>
    <m/>
  </r>
  <r>
    <m/>
    <m/>
    <x v="5"/>
    <x v="19"/>
    <x v="6"/>
    <m/>
    <m/>
    <m/>
    <m/>
    <m/>
    <m/>
    <m/>
    <m/>
    <m/>
    <m/>
    <m/>
    <m/>
  </r>
  <r>
    <m/>
    <m/>
    <x v="5"/>
    <x v="19"/>
    <x v="6"/>
    <m/>
    <m/>
    <m/>
    <m/>
    <m/>
    <m/>
    <m/>
    <m/>
    <m/>
    <m/>
    <m/>
    <m/>
  </r>
  <r>
    <m/>
    <m/>
    <x v="5"/>
    <x v="19"/>
    <x v="6"/>
    <m/>
    <m/>
    <m/>
    <m/>
    <m/>
    <m/>
    <m/>
    <m/>
    <m/>
    <m/>
    <m/>
    <m/>
  </r>
  <r>
    <m/>
    <m/>
    <x v="5"/>
    <x v="19"/>
    <x v="6"/>
    <m/>
    <m/>
    <m/>
    <m/>
    <m/>
    <m/>
    <m/>
    <m/>
    <m/>
    <m/>
    <m/>
    <m/>
  </r>
  <r>
    <m/>
    <m/>
    <x v="5"/>
    <x v="19"/>
    <x v="6"/>
    <m/>
    <m/>
    <m/>
    <m/>
    <m/>
    <m/>
    <m/>
    <m/>
    <m/>
    <m/>
    <m/>
    <m/>
  </r>
  <r>
    <m/>
    <m/>
    <x v="5"/>
    <x v="19"/>
    <x v="6"/>
    <m/>
    <m/>
    <m/>
    <m/>
    <m/>
    <m/>
    <m/>
    <m/>
    <m/>
    <m/>
    <m/>
    <m/>
  </r>
  <r>
    <m/>
    <m/>
    <x v="5"/>
    <x v="19"/>
    <x v="6"/>
    <m/>
    <m/>
    <m/>
    <m/>
    <m/>
    <m/>
    <m/>
    <m/>
    <m/>
    <m/>
    <m/>
    <m/>
  </r>
  <r>
    <m/>
    <m/>
    <x v="5"/>
    <x v="19"/>
    <x v="6"/>
    <m/>
    <m/>
    <m/>
    <m/>
    <m/>
    <m/>
    <m/>
    <m/>
    <m/>
    <m/>
    <m/>
    <m/>
  </r>
  <r>
    <m/>
    <m/>
    <x v="5"/>
    <x v="19"/>
    <x v="6"/>
    <m/>
    <m/>
    <m/>
    <m/>
    <m/>
    <m/>
    <m/>
    <m/>
    <m/>
    <m/>
    <m/>
    <m/>
  </r>
  <r>
    <m/>
    <m/>
    <x v="5"/>
    <x v="19"/>
    <x v="6"/>
    <m/>
    <m/>
    <m/>
    <m/>
    <m/>
    <m/>
    <m/>
    <m/>
    <m/>
    <m/>
    <m/>
    <m/>
  </r>
  <r>
    <m/>
    <m/>
    <x v="5"/>
    <x v="19"/>
    <x v="6"/>
    <m/>
    <m/>
    <m/>
    <m/>
    <m/>
    <m/>
    <m/>
    <m/>
    <m/>
    <m/>
    <m/>
    <m/>
  </r>
  <r>
    <m/>
    <m/>
    <x v="5"/>
    <x v="19"/>
    <x v="6"/>
    <m/>
    <m/>
    <m/>
    <m/>
    <m/>
    <m/>
    <m/>
    <m/>
    <m/>
    <m/>
    <m/>
    <m/>
  </r>
  <r>
    <m/>
    <m/>
    <x v="5"/>
    <x v="19"/>
    <x v="6"/>
    <m/>
    <m/>
    <m/>
    <m/>
    <m/>
    <m/>
    <m/>
    <m/>
    <m/>
    <m/>
    <m/>
    <m/>
  </r>
  <r>
    <m/>
    <m/>
    <x v="5"/>
    <x v="19"/>
    <x v="6"/>
    <m/>
    <m/>
    <m/>
    <m/>
    <m/>
    <m/>
    <m/>
    <m/>
    <m/>
    <m/>
    <m/>
    <m/>
  </r>
  <r>
    <m/>
    <m/>
    <x v="5"/>
    <x v="19"/>
    <x v="6"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">
  <r>
    <s v="1월"/>
    <s v="게임"/>
    <s v="분당"/>
    <s v="계"/>
    <s v="게임콘텐츠제작(08030205)"/>
    <n v="1"/>
    <s v="게임프로그래머 양성과정(유니티)"/>
    <n v="62"/>
    <n v="370"/>
    <d v="2025-01-08T00:00:00"/>
    <d v="2025-04-10T00:00:00"/>
    <n v="20"/>
    <n v="5"/>
    <n v="6"/>
    <n v="0.25"/>
    <n v="0.3"/>
  </r>
  <r>
    <s v="1월"/>
    <s v="승무원"/>
    <s v="강남"/>
    <s v="계"/>
    <s v="여행상품상담 (12030102)"/>
    <n v="1"/>
    <s v="여행사예약발권(CRS)/오퍼레이터(OP)과정"/>
    <n v="37"/>
    <n v="152"/>
    <d v="2025-01-09T00:00:00"/>
    <d v="2025-03-11T00:00:00"/>
    <n v="20"/>
    <n v="7"/>
    <n v="7"/>
    <n v="0.35"/>
    <n v="0.35"/>
  </r>
  <r>
    <s v="1월"/>
    <s v="승무원"/>
    <s v="강남"/>
    <s v="계"/>
    <s v="국내여행안내 (12030103)"/>
    <n v="1"/>
    <s v="관광통역안내사/국내여행안내사 필기 자격증과정"/>
    <n v="38"/>
    <n v="150"/>
    <d v="2025-01-18T00:00:00"/>
    <d v="2025-06-15T00:00:00"/>
    <n v="20"/>
    <n v="15"/>
    <n v="16"/>
    <n v="0.75"/>
    <n v="0.8"/>
  </r>
  <r>
    <s v="1월"/>
    <s v="게임"/>
    <s v="강남"/>
    <s v="계"/>
    <s v="게임콘텐츠제작(08030205)"/>
    <n v="1"/>
    <s v=" (계좌제)게임기획 실무자 양성과정"/>
    <n v="93"/>
    <n v="370"/>
    <d v="2025-01-20T00:00:00"/>
    <d v="2025-06-05T00:00:00"/>
    <n v="13"/>
    <n v="10"/>
    <n v="10"/>
    <n v="0.76923076923076927"/>
    <n v="0.76923076923076927"/>
  </r>
  <r>
    <s v="1월"/>
    <s v="게임"/>
    <s v="신촌"/>
    <s v="국"/>
    <s v=" 게임콘텐츠제작(08030205)"/>
    <n v="1"/>
    <s v="(게임콘텐츠제작) 게임개발자 양성과정 (유니티엔진 활용 프로그래밍, 기획)"/>
    <n v="174"/>
    <n v="870"/>
    <d v="2025-01-20T00:00:00"/>
    <d v="2025-10-14T00:00:00"/>
    <n v="22"/>
    <n v="10"/>
    <n v="10"/>
    <n v="0.45454545454545453"/>
    <n v="0.45454545454545453"/>
  </r>
  <r>
    <s v="2월"/>
    <s v="게임"/>
    <s v="천안"/>
    <s v="계"/>
    <s v="게임콘텐츠제작(08030205)"/>
    <n v="1"/>
    <s v="게임프로그래머 개발자 양성(유니티)"/>
    <n v="93"/>
    <n v="370"/>
    <d v="2025-02-05T00:00:00"/>
    <d v="2025-07-22T00:00:00"/>
    <n v="20"/>
    <n v="6"/>
    <n v="10"/>
    <n v="0.3"/>
    <n v="0.5"/>
  </r>
  <r>
    <s v="2월"/>
    <s v="IT"/>
    <s v="부산"/>
    <s v="산대특"/>
    <s v="응용SW엔지니어링(20010202)"/>
    <n v="1"/>
    <s v="생성형 AI 챗봇 활용 시니어 슬립테크 디지털 치료제 개발자 양성"/>
    <n v="90"/>
    <n v="720"/>
    <d v="2025-02-11T00:00:00"/>
    <d v="2025-06-24T00:00:00"/>
    <n v="20"/>
    <n v="16"/>
    <n v="16"/>
    <n v="0.8"/>
    <n v="0.8"/>
  </r>
  <r>
    <s v="2월"/>
    <s v="컴퓨터"/>
    <s v="대전"/>
    <s v="국"/>
    <s v="건축설계(14030101)"/>
    <n v="1"/>
    <s v="[BIM] 건축설계&amp;실내건축설계 실무양성과정 (캐드,스케치업,레빗) A"/>
    <n v="133"/>
    <n v="660"/>
    <d v="2025-02-11T00:00:00"/>
    <d v="2025-08-21T00:00:00"/>
    <n v="20"/>
    <n v="18"/>
    <n v="22"/>
    <n v="0.9"/>
    <n v="1.1000000000000001"/>
  </r>
  <r>
    <s v="2월"/>
    <s v="IT"/>
    <s v="대구"/>
    <s v="국"/>
    <s v="응용SW엔지니어링(20010202)"/>
    <n v="1"/>
    <s v="(스마트웹&amp;콘텐츠개발) 스마트웹 응용 프로그래밍 개발자 양성 과정B"/>
    <n v="105"/>
    <n v="940"/>
    <d v="2025-02-13T00:00:00"/>
    <d v="2025-08-04T00:00:00"/>
    <n v="33"/>
    <n v="20"/>
    <n v="20"/>
    <n v="0.60606060606060608"/>
    <n v="0.60606060606060608"/>
  </r>
  <r>
    <s v="2월"/>
    <s v="IT"/>
    <s v="신촌"/>
    <s v="산대특"/>
    <s v="보안엔지니어링(20010206)"/>
    <n v="2"/>
    <s v="(산대특)_클라우드기반 빅데이터를 활용한 정보시스템 보안과정_육성"/>
    <n v="120"/>
    <n v="960"/>
    <d v="2025-02-18T00:00:00"/>
    <d v="2025-08-11T00:00:00"/>
    <n v="20"/>
    <n v="13"/>
    <n v="14"/>
    <n v="0.65"/>
    <n v="0.7"/>
  </r>
  <r>
    <s v="2월"/>
    <s v="승무원"/>
    <s v="강남"/>
    <s v="계"/>
    <s v="항공여객운송서비스(09040205)"/>
    <n v="2"/>
    <s v="항공사지상직CRS(예약발권)/DCS(공항수속)과정"/>
    <n v="38"/>
    <n v="139"/>
    <d v="2025-02-18T00:00:00"/>
    <d v="2025-05-16T00:00:00"/>
    <n v="20"/>
    <n v="12"/>
    <n v="12"/>
    <n v="0.6"/>
    <n v="0.6"/>
  </r>
  <r>
    <s v="2월"/>
    <s v="IT"/>
    <s v="인천"/>
    <s v="국"/>
    <s v="UI/UX엔지니어링(20010207)"/>
    <n v="1"/>
    <s v="(스마트웹콘텐츠개발) AWS클라우드를 활용한 풀스택(React, SpringBoot) 개발"/>
    <n v="115"/>
    <n v="916"/>
    <d v="2025-02-19T00:00:00"/>
    <d v="2025-08-05T00:00:00"/>
    <n v="25"/>
    <n v="21"/>
    <n v="21"/>
    <n v="0.84"/>
    <n v="0.84"/>
  </r>
  <r>
    <s v="2월"/>
    <s v="승무원"/>
    <s v="강남"/>
    <s v="계"/>
    <s v="여행상품상담(12030102)"/>
    <n v="2"/>
    <s v="여행사예약발권(CRS)/오퍼레이터(OP)과정"/>
    <n v="38"/>
    <n v="152"/>
    <d v="2025-02-25T00:00:00"/>
    <d v="2025-04-17T00:00:00"/>
    <n v="20"/>
    <n v="8"/>
    <n v="8"/>
    <n v="0.4"/>
    <n v="0.4"/>
  </r>
  <r>
    <s v="2월"/>
    <s v="IT"/>
    <s v="강남"/>
    <s v="국"/>
    <s v="응용SW엔지니어링(20010202)"/>
    <n v="1"/>
    <s v="(디지털컨버전스) 공공데이터 융합 풀스택 개발자 양성과정E"/>
    <n v="113"/>
    <n v="900"/>
    <d v="2025-02-26T00:00:00"/>
    <d v="2025-08-14T00:00:00"/>
    <n v="35"/>
    <n v="11"/>
    <n v="12"/>
    <n v="0.31428571428571428"/>
    <n v="0.34285714285714286"/>
  </r>
  <r>
    <s v="2월"/>
    <s v="IT"/>
    <s v="강남"/>
    <s v="국"/>
    <s v="응용SW엔지니어링(20010202)"/>
    <n v="1"/>
    <s v="AI활용 소프트웨어 개발 및 응용과정A"/>
    <n v="118"/>
    <n v="940"/>
    <d v="2025-02-26T00:00:00"/>
    <d v="2025-08-19T00:00:00"/>
    <n v="35"/>
    <n v="8"/>
    <n v="12"/>
    <n v="0.22857142857142856"/>
    <n v="0.34285714285714286"/>
  </r>
  <r>
    <s v="2월"/>
    <s v="IT"/>
    <s v="대구"/>
    <s v="과평"/>
    <s v="정보보호관리·운영(20010601)"/>
    <n v="1"/>
    <s v="정보보안산업기사 취득과정A"/>
    <n v="108"/>
    <n v="760"/>
    <d v="2025-02-26T00:00:00"/>
    <d v="2025-08-01T00:00:00"/>
    <n v="25"/>
    <n v="20"/>
    <n v="20"/>
    <n v="0.8"/>
    <n v="0.8"/>
  </r>
  <r>
    <s v="2월"/>
    <s v="IT"/>
    <s v="대전"/>
    <s v="산대특"/>
    <s v="응용SW엔지니어링(20010202)"/>
    <n v="1"/>
    <s v="프롬프트AI &amp; Open API &amp; 공공데이터를 활용한 웹/앱 개발자 양성 과정_재인정특례"/>
    <n v="126"/>
    <n v="880"/>
    <d v="2025-02-28T00:00:00"/>
    <d v="2025-09-01T00:00:00"/>
    <n v="30"/>
    <n v="15"/>
    <n v="15"/>
    <n v="0.5"/>
    <n v="0.5"/>
  </r>
  <r>
    <s v="3월"/>
    <s v="IT"/>
    <s v="신촌"/>
    <s v="과평"/>
    <s v="응용SW엔지니어링(20010202)"/>
    <n v="1"/>
    <s v="[과정평가형] 정보처리산업기사 취득과정A"/>
    <n v="103"/>
    <n v="820"/>
    <d v="2025-03-04T00:00:00"/>
    <d v="2025-08-12T00:00:00"/>
    <n v="30"/>
    <n v="11"/>
    <n v="11"/>
    <n v="0.36666666666666664"/>
    <n v="0.36666666666666664"/>
  </r>
  <r>
    <s v="3월"/>
    <s v="컴퓨터"/>
    <s v="대전"/>
    <s v="계"/>
    <s v="광고콘텐츠제작(08030204)"/>
    <n v="4"/>
    <s v="영상편집&amp;모션그래픽제작(프리미어,에프터이펙트)실무자 양성 과정"/>
    <n v="73"/>
    <n v="289"/>
    <d v="2025-03-04T00:00:00"/>
    <d v="2025-06-18T00:00:00"/>
    <n v="20"/>
    <n v="18"/>
    <n v="23"/>
    <n v="0.9"/>
    <n v="1.1499999999999999"/>
  </r>
  <r>
    <s v="3월"/>
    <s v="컴퓨터"/>
    <s v="대전"/>
    <s v="국"/>
    <s v="디지털디자인(08020104)"/>
    <n v="1"/>
    <s v="[디지털디자인] 챗GPT &amp; AI를 활용한 UIUX 반응형 웹퍼블리셔 양성과정 A"/>
    <n v="133"/>
    <n v="660"/>
    <d v="2025-03-05T00:00:00"/>
    <d v="2025-09-12T00:00:00"/>
    <n v="20"/>
    <n v="19"/>
    <n v="19"/>
    <n v="0.95"/>
    <n v="0.95"/>
  </r>
  <r>
    <s v="3월"/>
    <s v="승무원"/>
    <s v="강남"/>
    <s v="계"/>
    <s v="국내여행안내(12030103)"/>
    <n v="2"/>
    <s v="관광통역안내사/국내여행안내사 필기 자격증과정"/>
    <n v="51"/>
    <n v="150"/>
    <d v="2025-03-08T00:00:00"/>
    <d v="2025-07-20T00:00:00"/>
    <n v="20"/>
    <n v="15"/>
    <n v="15"/>
    <n v="0.75"/>
    <n v="0.75"/>
  </r>
  <r>
    <s v="3월"/>
    <s v="컴퓨터"/>
    <s v="대구"/>
    <s v="국"/>
    <s v="실내건축설계(14030104)"/>
    <n v="1"/>
    <s v="(BIM) 실내건축설계 인테리어 양성과정"/>
    <n v="108"/>
    <n v="645"/>
    <d v="2025-03-10T00:00:00"/>
    <d v="2025-08-08T00:00:00"/>
    <n v="20"/>
    <n v="20"/>
    <n v="27"/>
    <n v="1"/>
    <n v="1.35"/>
  </r>
  <r>
    <s v="3월"/>
    <s v="게임"/>
    <s v="수원"/>
    <s v="계"/>
    <s v="게임콘텐츠제작(08030205)"/>
    <n v="1"/>
    <s v="게임기획 실무자 양성과정"/>
    <n v="124"/>
    <n v="370"/>
    <d v="2025-03-11T00:00:00"/>
    <d v="2025-09-05T00:00:00"/>
    <n v="10"/>
    <n v="7"/>
    <n v="7"/>
    <n v="0.7"/>
    <n v="0.7"/>
  </r>
  <r>
    <s v="3월"/>
    <s v="컴퓨터"/>
    <s v="홍대"/>
    <s v="국"/>
    <s v="디지털디자인(08020104)"/>
    <n v="1"/>
    <s v="AI를 활용한 스마트UIUX 반응형 웹디자인(웹퍼블리셔)A"/>
    <n v="133"/>
    <n v="665"/>
    <d v="2025-03-11T00:00:00"/>
    <d v="2025-09-17T00:00:00"/>
    <n v="26"/>
    <n v="14"/>
    <n v="19"/>
    <n v="0.53846153846153844"/>
    <n v="0.73076923076923073"/>
  </r>
  <r>
    <s v="3월"/>
    <s v="IT"/>
    <s v="부산"/>
    <s v="산대특"/>
    <s v="응용SW엔지니어링(20010202)"/>
    <n v="1"/>
    <s v="디지털 트윈 활용 독거노인 헬스케어 실시간 모니터링 솔루션"/>
    <n v="90"/>
    <n v="720"/>
    <d v="2025-03-13T00:00:00"/>
    <d v="2025-07-23T00:00:00"/>
    <n v="20"/>
    <n v="15"/>
    <n v="15"/>
    <n v="0.75"/>
    <n v="0.75"/>
  </r>
  <r>
    <s v="3월"/>
    <s v="IT"/>
    <s v="신촌"/>
    <s v="국"/>
    <s v="보안엔지니어링(20010206)"/>
    <n v="1"/>
    <s v="(정보시스템구축(개발,운영)) 정보시스템 보안운영 및 보안사고 분석A"/>
    <n v="98"/>
    <n v="777"/>
    <d v="2025-03-13T00:00:00"/>
    <d v="2025-08-01T00:00:00"/>
    <n v="22"/>
    <n v="17"/>
    <n v="17"/>
    <n v="0.77272727272727271"/>
    <n v="0.77272727272727271"/>
  </r>
  <r>
    <s v="3월"/>
    <s v="컴퓨터"/>
    <s v="부평"/>
    <s v="국"/>
    <s v="편집디자인(22010102)"/>
    <n v="1"/>
    <s v="(출판) 챗GPT, AI를 활용한 디지털편집디자인(포토샵,일러스트,인디자인)"/>
    <n v="140"/>
    <n v="700"/>
    <d v="2025-03-13T00:00:00"/>
    <d v="2025-10-14T00:00:00"/>
    <n v="20"/>
    <n v="17"/>
    <n v="23"/>
    <n v="0.85"/>
    <n v="1.1499999999999999"/>
  </r>
  <r>
    <s v="3월"/>
    <s v="컴퓨터"/>
    <s v="강남"/>
    <s v="과평"/>
    <s v="광고콘텐츠제작(08030204)"/>
    <n v="1"/>
    <s v=" [과정평가형] 멀티미디어콘텐츠제작전문가 취득(프리미어,에펙,C4D)A"/>
    <n v="128"/>
    <n v="640"/>
    <d v="2025-03-14T00:00:00"/>
    <d v="2025-07-08T00:00:00"/>
    <n v="20"/>
    <n v="13"/>
    <n v="22"/>
    <n v="0.65"/>
    <n v="1.1000000000000001"/>
  </r>
  <r>
    <s v="3월"/>
    <s v="게임"/>
    <s v="대전"/>
    <s v="계"/>
    <s v="게임콘텐츠제작(08030205)"/>
    <n v="1"/>
    <s v="(게임콘텐츠제작) 게임 기획 실무자 양성과정(2025)"/>
    <n v="125"/>
    <n v="370"/>
    <d v="2025-03-17T00:00:00"/>
    <d v="2025-10-01T00:00:00"/>
    <n v="20"/>
    <n v="10"/>
    <n v="23"/>
    <n v="0.5"/>
    <n v="1.1499999999999999"/>
  </r>
  <r>
    <s v="3월"/>
    <s v="IT"/>
    <s v="대전"/>
    <s v="과평"/>
    <s v="응용SW엔지니어링(20010202)"/>
    <n v="1"/>
    <s v="정보처리산업기사 취득과정A"/>
    <n v="126"/>
    <n v="880"/>
    <d v="2025-03-18T00:00:00"/>
    <d v="2025-08-08T00:00:00"/>
    <n v="30"/>
    <n v="11"/>
    <n v="11"/>
    <n v="0.5"/>
    <n v="1.1499999999999999"/>
  </r>
  <r>
    <s v="3월"/>
    <s v="컴퓨터"/>
    <s v="천안"/>
    <s v="계"/>
    <s v="편집디자인(22010102)"/>
    <n v="1"/>
    <s v="디지털 편집디자이너(포토샵, 일러스트, 포트폴리오) 실무자 양성과정"/>
    <n v="80"/>
    <n v="320"/>
    <d v="2025-03-18T00:00:00"/>
    <d v="2025-07-14T00:00:00"/>
    <n v="18"/>
    <n v="7"/>
    <n v="7"/>
    <n v="0.3888888888888889"/>
    <n v="0.3888888888888889"/>
  </r>
  <r>
    <s v="3월"/>
    <s v="컴퓨터"/>
    <s v="구월"/>
    <s v="일반고"/>
    <s v="시각디자인(08020101)"/>
    <n v="1"/>
    <s v=" [일반고]시각디자이너 양성과정"/>
    <n v="176"/>
    <n v="1232"/>
    <d v="2025-03-18T00:00:00"/>
    <d v="2025-12-31T00:00:00"/>
    <n v="20"/>
    <n v="9"/>
    <n v="9"/>
    <n v="0.45"/>
    <n v="0.45"/>
  </r>
  <r>
    <s v="3월"/>
    <s v="컴퓨터"/>
    <s v="안산"/>
    <s v="계"/>
    <s v="광고콘텐츠제작(08030204)"/>
    <n v="1"/>
    <s v="모션그래픽 광고콘텐츠(영상제작,편집,CG) 제작과정"/>
    <n v="58"/>
    <n v="290"/>
    <d v="2025-03-19T00:00:00"/>
    <d v="2025-06-17T00:00:00"/>
    <n v="20"/>
    <n v="18"/>
    <n v="19"/>
    <n v="0.9"/>
    <n v="0.95"/>
  </r>
  <r>
    <s v="3월"/>
    <s v="컴퓨터"/>
    <s v="대전"/>
    <s v="계"/>
    <s v="편집디자인(22010102)"/>
    <n v="1"/>
    <s v="편집디자인(포토샵, 일러스트, 인디자인) 실무자 양성과정"/>
    <n v="80"/>
    <n v="320"/>
    <d v="2025-03-20T00:00:00"/>
    <d v="2025-07-01T00:00:00"/>
    <n v="20"/>
    <n v="11"/>
    <n v="16"/>
    <n v="0.55000000000000004"/>
    <n v="0.8"/>
  </r>
  <r>
    <s v="3월"/>
    <s v="컴퓨터"/>
    <s v="노원"/>
    <s v="국"/>
    <s v="디지털디자인(08020104)"/>
    <n v="1"/>
    <s v="[디지털디자인]스마트UIUX반응형웹디자인(웹퍼블리셔)"/>
    <n v="132"/>
    <n v="660"/>
    <d v="2025-03-24T00:00:00"/>
    <d v="2025-09-29T00:00:00"/>
    <n v="20"/>
    <n v="17"/>
    <n v="30"/>
    <n v="0.85"/>
    <n v="1.5"/>
  </r>
  <r>
    <s v="3월"/>
    <s v="IT"/>
    <s v="대구"/>
    <s v="국"/>
    <s v=" 응용SW엔지니어링(20010202)"/>
    <n v="1"/>
    <s v="(디지털컨버전스) 공공데이터 융합 풀스택 개발자 양성과정A"/>
    <n v="113"/>
    <n v="900"/>
    <d v="2025-03-25T00:00:00"/>
    <d v="2025-09-04T00:00:00"/>
    <n v="25"/>
    <n v="15"/>
    <n v="16"/>
    <n v="0.6"/>
    <n v="0.64"/>
  </r>
  <r>
    <s v="3월"/>
    <s v="컴퓨터"/>
    <s v="부산"/>
    <s v="국"/>
    <s v="디지털디자인(08020104)"/>
    <n v="1"/>
    <s v="(디지털디자인)웹디자이너양성과정"/>
    <n v="150"/>
    <n v="600"/>
    <d v="2025-03-25T00:00:00"/>
    <d v="2025-12-03T00:00:00"/>
    <n v="20"/>
    <n v="11"/>
    <n v="14"/>
    <n v="0.55000000000000004"/>
    <n v="0.7"/>
  </r>
  <r>
    <s v="3월"/>
    <s v="컴퓨터"/>
    <s v="수원"/>
    <s v="계"/>
    <s v="광고콘텐츠제작(08030204)"/>
    <n v="1"/>
    <s v="모션그래픽 영상제작 전문가 양성과정"/>
    <n v="60"/>
    <n v="300"/>
    <d v="2025-03-27T00:00:00"/>
    <d v="2025-06-24T00:00:00"/>
    <n v="20"/>
    <n v="11"/>
    <n v="15"/>
    <n v="0.55000000000000004"/>
    <n v="0.75"/>
  </r>
  <r>
    <s v="3월"/>
    <s v="IT"/>
    <s v="강남"/>
    <s v="국"/>
    <s v=" 응용SW엔지니어링(20010202)"/>
    <n v="1"/>
    <s v="AI활용 소프트웨어 개발 및 응용과정B"/>
    <n v="119"/>
    <n v="940"/>
    <d v="2025-03-31T00:00:00"/>
    <d v="2025-09-25T00:00:00"/>
    <n v="35"/>
    <n v="27"/>
    <n v="27"/>
    <n v="0.77142857142857146"/>
    <n v="0.77142857142857146"/>
  </r>
  <r>
    <s v="3월"/>
    <s v="IT"/>
    <s v="인천"/>
    <s v="산대특"/>
    <s v="UI/UX 엔지니어링(20010207)"/>
    <n v="1"/>
    <s v="(산대특) AI(인공지능)활용 핀테크서비스 개발자 양성과정_육성"/>
    <n v="109"/>
    <n v="916"/>
    <d v="2025-03-31T00:00:00"/>
    <d v="2025-09-03T00:00:00"/>
    <n v="25"/>
    <n v="17"/>
    <n v="18"/>
    <n v="0.68"/>
    <n v="0.72"/>
  </r>
  <r>
    <s v="4월"/>
    <s v="IT"/>
    <s v="인천"/>
    <s v="계"/>
    <s v="응용SW엔지니어링(20010202)"/>
    <n v="1"/>
    <s v="자바(JAVA) 기반 백엔드 개발자 양성과정"/>
    <n v="40"/>
    <n v="280"/>
    <d v="2025-04-01T00:00:00"/>
    <d v="2025-05-29T00:00:00"/>
    <n v="25"/>
    <n v="4"/>
    <n v="4"/>
    <n v="0.16"/>
    <n v="0.16"/>
  </r>
  <r>
    <s v="4월"/>
    <s v="게임"/>
    <s v="안산"/>
    <s v="계"/>
    <s v="게임콘텐츠제작(08030205)"/>
    <n v="1"/>
    <s v="게임 유니티 전문가 양성과정"/>
    <n v="93"/>
    <n v="370"/>
    <d v="2025-04-01T00:00:00"/>
    <d v="2025-09-18T00:00:00"/>
    <n v="20"/>
    <n v="7"/>
    <n v="10"/>
    <n v="0.35"/>
    <n v="0.5"/>
  </r>
  <r>
    <s v="4월"/>
    <s v="컴퓨터"/>
    <s v="수원"/>
    <s v="과평"/>
    <s v="건축설계(14030104)"/>
    <n v="1"/>
    <s v="[과정평가형] 전산응용건축제도기능사 취득과정"/>
    <n v="91"/>
    <n v="455"/>
    <d v="2025-04-01T00:00:00"/>
    <d v="2025-08-14T00:00:00"/>
    <n v="20"/>
    <n v="13"/>
    <n v="16"/>
    <n v="0.65"/>
    <n v="0.8"/>
  </r>
  <r>
    <s v="4월"/>
    <s v="컴퓨터"/>
    <s v="강남"/>
    <s v="계"/>
    <s v="실내건축설계(14030104)"/>
    <n v="1"/>
    <s v="실내건축설계(CAD, 스케치업) 인테리어디자이너 양성과정"/>
    <n v="70"/>
    <n v="280"/>
    <d v="2025-04-04T00:00:00"/>
    <d v="2025-07-18T00:00:00"/>
    <n v="20"/>
    <n v="7"/>
    <n v="13"/>
    <n v="0.35"/>
    <n v="0.65"/>
  </r>
  <r>
    <s v="4월"/>
    <s v="게임"/>
    <s v="강남"/>
    <s v="국"/>
    <s v="게임콘텐츠제작(08030205)"/>
    <n v="1"/>
    <s v="(국기)유니티 게임프로그램개발자 양성과정"/>
    <n v="145"/>
    <n v="870"/>
    <d v="2025-04-10T00:00:00"/>
    <d v="2025-11-11T00:00:00"/>
    <n v="20"/>
    <n v="9"/>
    <n v="9"/>
    <n v="0.45"/>
    <n v="0.45"/>
  </r>
  <r>
    <s v="4월"/>
    <s v="게임"/>
    <s v="일산"/>
    <s v="국"/>
    <s v="게임콘텐츠제작(08030205)"/>
    <n v="1"/>
    <s v="(게임콘텐츠제작)유니티(Unity) 프로그래밍 전문가 양성과정"/>
    <n v="174"/>
    <n v="870"/>
    <d v="2025-04-10T00:00:00"/>
    <d v="2025-12-23T00:00:00"/>
    <n v="22"/>
    <n v="13"/>
    <n v="21"/>
    <n v="0.59090909090909094"/>
    <n v="0.95454545454545459"/>
  </r>
  <r>
    <s v="4월"/>
    <s v="컴퓨터"/>
    <s v="안양"/>
    <s v="계"/>
    <s v="광고콘텐츠제작(08030204)"/>
    <n v="1"/>
    <s v="모션그래픽 실무자 양성과정(프리미어,에펙,포토샵,일러스트)"/>
    <n v="58"/>
    <n v="290"/>
    <d v="2025-04-10T00:00:00"/>
    <d v="2025-07-07T00:00:00"/>
    <n v="20"/>
    <n v="12"/>
    <n v="12"/>
    <n v="0.6"/>
    <n v="0.6"/>
  </r>
  <r>
    <s v="4월"/>
    <s v="컴퓨터"/>
    <s v="광주"/>
    <s v="국"/>
    <s v="디지털디자인(08020104)"/>
    <n v="1"/>
    <s v="챗GPT를 활용한 스마트기기 웹디자이너 양성과정"/>
    <n v="100"/>
    <n v="600"/>
    <d v="2025-04-10T00:00:00"/>
    <d v="2025-10-13T00:00:00"/>
    <n v="20"/>
    <n v="13"/>
    <n v="22"/>
    <n v="0.65"/>
    <n v="1.1000000000000001"/>
  </r>
  <r>
    <s v="4월"/>
    <s v="승무원"/>
    <s v="강남"/>
    <s v="계"/>
    <s v="항공여객운송서비스(09040205)"/>
    <n v="3"/>
    <s v="항공사지상직CRS(예약발권)/DCS(공항수속)과정"/>
    <n v="35"/>
    <n v="139"/>
    <d v="2025-04-15T00:00:00"/>
    <d v="2025-06-05T00:00:00"/>
    <n v="20"/>
    <n v="6"/>
    <n v="7"/>
    <n v="0.3"/>
    <n v="0.35"/>
  </r>
  <r>
    <s v="4월"/>
    <s v="승무원"/>
    <s v="강남"/>
    <s v="계"/>
    <s v="여행상품상담(12030102)"/>
    <n v="3"/>
    <s v="여행사예약발권(CRS)/오퍼레이터(OP)과정"/>
    <n v="39"/>
    <n v="152"/>
    <d v="2025-04-16T00:00:00"/>
    <d v="2025-06-19T00:00:00"/>
    <n v="20"/>
    <n v="16"/>
    <n v="17"/>
    <n v="0.8"/>
    <n v="0.85"/>
  </r>
  <r>
    <s v="4월"/>
    <s v="게임"/>
    <s v="대구"/>
    <s v="국"/>
    <s v="게임콘텐츠제작(08030205)"/>
    <n v="1"/>
    <s v="(게임콘텐츠제작) 유니티기반 게임기획자 및 게임프로그래머 양성"/>
    <n v="145"/>
    <n v="870"/>
    <d v="2025-04-18T00:00:00"/>
    <d v="2025-11-28T00:00:00"/>
    <n v="20"/>
    <n v="10"/>
    <n v="20"/>
    <n v="0.5"/>
    <n v="1"/>
  </r>
  <r>
    <s v="4월"/>
    <s v="IT"/>
    <s v="부산"/>
    <s v="산대특"/>
    <s v="응용SW엔지니어링(20010202)"/>
    <n v="1"/>
    <s v="(2024)빅데이터·AI 기반 시니어 디지털 헬스케어 웰니스 플랫폼 개발"/>
    <n v="90"/>
    <n v="720"/>
    <d v="2025-04-22T00:00:00"/>
    <d v="2025-09-22T00:00:00"/>
    <n v="30"/>
    <n v="20"/>
    <n v="20"/>
    <n v="0.66666666666666663"/>
    <n v="0.66666666666666663"/>
  </r>
  <r>
    <s v="4월"/>
    <s v="게임"/>
    <s v="부평"/>
    <s v="계"/>
    <s v="게임콘텐츠제작(08030205)"/>
    <n v="1"/>
    <s v="게임기획 전문 실무자 양성과정"/>
    <n v="93"/>
    <n v="370"/>
    <d v="2025-04-24T00:00:00"/>
    <d v="2025-09-10T00:00:00"/>
    <n v="15"/>
    <n v="11"/>
    <n v="23"/>
    <n v="0.73333333333333328"/>
    <n v="1.5333333333333334"/>
  </r>
  <r>
    <s v="4월"/>
    <s v="승무원"/>
    <s v="강남"/>
    <s v="계"/>
    <s v="국내여행안내(12030103)"/>
    <n v="3"/>
    <s v=" 관광통역안내사/국내여행안내사 필기 자격증과정"/>
    <n v="51"/>
    <n v="150"/>
    <d v="2025-04-24T00:00:00"/>
    <d v="2025-07-29T00:00:00"/>
    <n v="20"/>
    <n v="8"/>
    <n v="8"/>
    <n v="0.4"/>
    <n v="0.4"/>
  </r>
  <r>
    <s v="4월"/>
    <s v="IT"/>
    <s v="대전"/>
    <s v="국"/>
    <s v="응용SW엔지니어링(20010202)"/>
    <n v="1"/>
    <s v="[디지털컨버전스]공공데이터 융합 풀스택 개발자 양성과정"/>
    <n v="110"/>
    <n v="880"/>
    <d v="2025-04-29T00:00:00"/>
    <d v="2025-10-14T00:00:00"/>
    <n v="30"/>
    <n v="11"/>
    <n v="11"/>
    <n v="0.36666666666666664"/>
    <n v="0.36666666666666664"/>
  </r>
  <r>
    <s v="4월"/>
    <s v="컴퓨터"/>
    <s v="대구"/>
    <s v="계"/>
    <s v="광고콘텐츠제작(08030204)"/>
    <n v="1"/>
    <s v="영상편집(프리미어, 에펙) 양성과정"/>
    <n v="58"/>
    <n v="230"/>
    <d v="2025-04-29T00:00:00"/>
    <d v="2025-07-29T00:00:00"/>
    <n v="20"/>
    <n v="20"/>
    <n v="42"/>
    <n v="1"/>
    <n v="2.1"/>
  </r>
  <r>
    <s v="4월"/>
    <s v="IT"/>
    <s v="강남"/>
    <s v="국"/>
    <s v="응용SW엔지니어링(20010202)"/>
    <n v="1"/>
    <s v="(디지털컨버전스) 공공데이터 융합 풀스택 개발자 양성과정N"/>
    <n v="113"/>
    <n v="900"/>
    <d v="2025-04-30T00:00:00"/>
    <d v="2025-10-29T00:00:00"/>
    <n v="21"/>
    <n v="10"/>
    <n v="12"/>
    <n v="0.47619047619047616"/>
    <n v="0.5714285714285714"/>
  </r>
  <r>
    <s v="5월"/>
    <s v="게임"/>
    <s v="신촌"/>
    <s v="계"/>
    <s v="게임콘텐츠제작(08030205)"/>
    <n v="1"/>
    <s v="게임 디자인 2D그래픽 디자이너 양성(디지털드로잉, 컨셉아트, UI그래픽)"/>
    <n v="93"/>
    <n v="370"/>
    <d v="2025-05-12T00:00:00"/>
    <d v="2025-10-22T00:00:00"/>
    <n v="22"/>
    <n v="4"/>
    <n v="4"/>
    <n v="0.18181818181818182"/>
    <n v="0.18181818181818182"/>
  </r>
  <r>
    <s v="5월"/>
    <s v="게임"/>
    <s v="신촌"/>
    <s v="국"/>
    <s v="게임콘텐츠제작(08030205)"/>
    <n v="1"/>
    <s v="유니티엔진을 활용한 게임개발자 양성과정(프로그래밍, 기획)"/>
    <n v="174"/>
    <n v="870"/>
    <d v="2025-05-12T00:00:00"/>
    <d v="2026-01-21T00:00:00"/>
    <n v="22"/>
    <n v="10"/>
    <n v="10"/>
    <n v="0.45454545454545453"/>
    <n v="0.45454545454545453"/>
  </r>
  <r>
    <s v="5월"/>
    <s v="컴퓨터"/>
    <s v="대전"/>
    <s v="계"/>
    <s v="광고콘텐츠제작 (08030204)"/>
    <n v="5"/>
    <s v="영상편집&amp;모션그래픽제작(프리미어,에프터이펙트)실무자 양성 과정"/>
    <n v="73"/>
    <n v="289"/>
    <d v="2025-05-12T00:00:00"/>
    <d v="2025-08-22T00:00:00"/>
    <n v="20"/>
    <n v="18"/>
    <n v="24"/>
    <n v="0.9"/>
    <n v="1.2"/>
  </r>
  <r>
    <s v="5월"/>
    <s v="게임"/>
    <s v="노원"/>
    <s v="국"/>
    <s v="게임콘텐츠제작(08030205)"/>
    <n v="1"/>
    <s v="(게임콘텐츠제작)유니티 프로그래머 전문가 양성과정"/>
    <n v="174"/>
    <n v="870"/>
    <d v="2025-05-13T00:00:00"/>
    <d v="2025-11-12T00:00:00"/>
    <n v="20"/>
    <n v="13"/>
    <n v="16"/>
    <n v="0.65"/>
    <n v="0.8"/>
  </r>
  <r>
    <s v="5월"/>
    <s v="게임"/>
    <s v="분당"/>
    <s v="국"/>
    <s v="게임콘텐츠제작(08030205)"/>
    <n v="1"/>
    <s v="(게임콘텐츠제작)게임개발자 양성과정"/>
    <n v="174"/>
    <n v="870"/>
    <d v="2025-05-13T00:00:00"/>
    <d v="2026-01-23T00:00:00"/>
    <n v="20"/>
    <n v="11"/>
    <n v="14"/>
    <n v="0.55000000000000004"/>
    <n v="0.7"/>
  </r>
  <r>
    <s v="5월"/>
    <s v="컴퓨터"/>
    <s v="홍대"/>
    <s v="국"/>
    <s v="편집디자인(22010102)"/>
    <n v="1"/>
    <s v="[출판] AI를 활용한 디지털편집디자인(일러스트,포토샵,인디자인) 실무양성과정A"/>
    <n v="138"/>
    <n v="690"/>
    <d v="2025-05-13T00:00:00"/>
    <d v="2025-12-10T00:00:00"/>
    <n v="26"/>
    <n v="16"/>
    <n v="28"/>
    <n v="0.65384615384615385"/>
    <n v="1.0769230769230769"/>
  </r>
  <r>
    <s v="5월"/>
    <s v="컴퓨터"/>
    <s v="부평"/>
    <s v="계"/>
    <s v="광고콘텐츠제작(08030204)"/>
    <n v="1"/>
    <s v="영상편집 3D모션그래픽제작(프리미어, 애프터이펙트, 시네마4D)"/>
    <n v="60"/>
    <n v="300"/>
    <d v="2025-05-13T00:00:00"/>
    <d v="2025-08-11T00:00:00"/>
    <n v="20"/>
    <n v="12"/>
    <n v="12"/>
    <n v="0.6"/>
    <n v="0.6"/>
  </r>
  <r>
    <s v="5월"/>
    <s v="컴퓨터"/>
    <s v="천안"/>
    <s v="계"/>
    <s v="실내건축설계(14030104)"/>
    <n v="1"/>
    <s v="실내건축설계(AUTO CAD, Sketchup)인테리어디자이너 양성과정"/>
    <n v="70"/>
    <n v="280"/>
    <d v="2025-05-19T00:00:00"/>
    <d v="2025-08-26T00:00:00"/>
    <n v="23"/>
    <n v="8"/>
    <n v="9"/>
    <n v="0.34782608695652173"/>
    <n v="0.39130434782608697"/>
  </r>
  <r>
    <s v="5월"/>
    <s v="게임"/>
    <s v="부산"/>
    <s v="계"/>
    <s v="게임콘텐츠제작(08030205)"/>
    <n v="1"/>
    <s v="게임프로그래머 양성과정(유니티)"/>
    <n v="120"/>
    <n v="370"/>
    <d v="2025-05-20T00:00:00"/>
    <d v="2025-11-17T00:00:00"/>
    <n v="10"/>
    <n v="10"/>
    <n v="10"/>
    <n v="1"/>
    <n v="1"/>
  </r>
  <r>
    <s v="5월"/>
    <s v="승무원"/>
    <s v="강남"/>
    <s v="계"/>
    <s v="국내여행안내(12030103)"/>
    <n v="4"/>
    <s v="관광통역안내사/국내여행안내사 필기 자격증과정"/>
    <n v="38"/>
    <n v="150"/>
    <d v="2025-05-22T00:00:00"/>
    <d v="2025-07-29T00:00:00"/>
    <n v="20"/>
    <n v="8"/>
    <n v="8"/>
    <n v="0.4"/>
    <n v="0.4"/>
  </r>
  <r>
    <s v="5월"/>
    <s v="컴퓨터"/>
    <s v="대전"/>
    <s v="국"/>
    <s v="디지털디자인(08020104)"/>
    <n v="1"/>
    <s v="[디지털디자인] 챗GPT &amp; AI를 활용한 UIUX 반응형 웹퍼블리셔 양성과정 B"/>
    <n v="113"/>
    <n v="660"/>
    <d v="2025-05-22T00:00:00"/>
    <d v="2025-12-05T00:00:00"/>
    <n v="20"/>
    <n v="16"/>
    <n v="17"/>
    <n v="0.8"/>
    <n v="0.85"/>
  </r>
  <r>
    <s v="5월"/>
    <s v="컴퓨터"/>
    <s v="울산"/>
    <s v="산대특"/>
    <s v="광고콘텐츠제작(08030204)"/>
    <n v="2"/>
    <s v="(산대특)_2D 모션그래픽 영상편집 실무 양성 과정(챗GPT, 생성형 AI, 프리미어, 에프터 이펙트)"/>
    <n v="63"/>
    <n v="250"/>
    <d v="2025-05-23T00:00:00"/>
    <d v="2025-08-26T00:00:00"/>
    <n v="14"/>
    <n v="13"/>
    <n v="20"/>
    <n v="1"/>
    <n v="1.4285714285714286"/>
  </r>
  <r>
    <s v="5월"/>
    <s v="게임"/>
    <s v="노원"/>
    <s v="계"/>
    <s v="게임콘텐츠제작(08030205)"/>
    <n v="1"/>
    <s v="게임그래픽 디자이너 양성과정"/>
    <n v="124"/>
    <n v="370"/>
    <d v="2025-05-27T00:00:00"/>
    <d v="2025-11-25T00:00:00"/>
    <n v="16"/>
    <n v="10"/>
    <n v="13"/>
    <n v="0.6875"/>
    <n v="0.8125"/>
  </r>
  <r>
    <s v="5월"/>
    <s v="IT"/>
    <s v="신촌"/>
    <s v="국"/>
    <s v="응용SW엔지니어링(20010202)"/>
    <n v="1"/>
    <s v="(스마트웹&amp;콘텐츠개발) 미래를 디자인하는 UI/UX 스마트콘텐츠 응용 개발 과정A"/>
    <n v="119"/>
    <n v="950"/>
    <d v="2025-05-30T00:00:00"/>
    <d v="2025-11-25T00:00:00"/>
    <n v="30"/>
    <n v="17"/>
    <n v="17"/>
    <n v="0.56666666666666665"/>
    <n v="0.56666666666666665"/>
  </r>
  <r>
    <s v="6월"/>
    <s v="컴퓨터"/>
    <s v="종로"/>
    <s v="계"/>
    <s v="세무(02030202)"/>
    <n v="1"/>
    <s v="전산세무회계(전산회계1급,전산세무2급) 취득과정(1회차)"/>
    <n v="35"/>
    <n v="210"/>
    <d v="2025-06-02T00:00:00"/>
    <d v="2025-07-31T00:00:00"/>
    <n v="20"/>
    <n v="12"/>
    <n v="16"/>
    <n v="0.6"/>
    <n v="0.8"/>
  </r>
  <r>
    <s v="6월"/>
    <s v="게임"/>
    <s v="광주"/>
    <s v="계"/>
    <s v="게임콘텐츠제작(08030205)"/>
    <n v="1"/>
    <s v="게임기획 실무자 양성과정"/>
    <n v="93"/>
    <n v="370"/>
    <d v="2025-06-09T00:00:00"/>
    <d v="2025-11-26T00:00:00"/>
    <n v="10"/>
    <n v="8"/>
    <n v="15"/>
    <n v="0.8"/>
    <n v="1.5"/>
  </r>
  <r>
    <s v="6월"/>
    <s v="컴퓨터"/>
    <s v="울산"/>
    <s v="계"/>
    <s v="편집디자인(22010102)"/>
    <n v="1"/>
    <s v="편집디자인(포토샵, 일러스트) 실무자 양성과정"/>
    <n v="78"/>
    <n v="310"/>
    <d v="2025-06-09T00:00:00"/>
    <d v="2025-09-30T00:00:00"/>
    <n v="20"/>
    <n v="5"/>
    <n v="7"/>
    <n v="0.25"/>
    <n v="0.35"/>
  </r>
  <r>
    <s v="6월"/>
    <s v="승무원"/>
    <s v="강남"/>
    <s v="계"/>
    <s v="여행상품상담(12030102)"/>
    <n v="1"/>
    <s v="여행사CRS(예약발권)/OP(오퍼레이터)과정"/>
    <n v="39"/>
    <n v="152"/>
    <d v="2025-06-10T00:00:00"/>
    <d v="2025-08-01T00:00:00"/>
    <n v="20"/>
    <n v="7"/>
    <n v="10"/>
    <n v="0.35"/>
    <n v="0.5"/>
  </r>
  <r>
    <s v="6월"/>
    <s v="IT"/>
    <s v="인천"/>
    <s v="산대특"/>
    <s v="정보보호관리·운영(20010601)"/>
    <n v="1"/>
    <s v="(산대특) 클라우드 기반 가상화 솔루션 보안전문가 양성_육성"/>
    <n v="110"/>
    <n v="880"/>
    <d v="2025-06-10T00:00:00"/>
    <d v="2025-11-19T00:00:00"/>
    <n v="30"/>
    <n v="17"/>
    <n v="18"/>
    <n v="0.56666666666666665"/>
    <n v="0.6"/>
  </r>
  <r>
    <s v="6월"/>
    <s v="IT"/>
    <s v="대전"/>
    <s v="과평"/>
    <s v="응용SW엔지니어링(20010202)"/>
    <n v="1"/>
    <s v="정보보안산업기사 취득과정A"/>
    <n v="100"/>
    <n v="800"/>
    <d v="2025-06-10T00:00:00"/>
    <d v="2025-11-05T00:00:00"/>
    <n v="20"/>
    <n v="8"/>
    <n v="11"/>
    <n v="0.4"/>
    <n v="0.55000000000000004"/>
  </r>
  <r>
    <s v="6월"/>
    <s v="IT"/>
    <s v="강남"/>
    <s v="KDT"/>
    <s v="보안엔지니어링(20010206)"/>
    <n v="3"/>
    <s v="(정보보안)웹서버개발 및 웹보안 솔루션 구축 융합과정_3회차"/>
    <n v="130"/>
    <n v="1033"/>
    <d v="2025-06-11T00:00:00"/>
    <d v="2025-12-14T00:00:00"/>
    <n v="25"/>
    <n v="19"/>
    <n v="22"/>
    <n v="0.76"/>
    <n v="0.88"/>
  </r>
  <r>
    <s v="6월"/>
    <s v="IT"/>
    <s v="강남"/>
    <s v="국"/>
    <s v="응용SW엔지니어링(20010202)"/>
    <n v="1"/>
    <s v="공공데이터 AWS 클라우드를 활용한 웹앱 풀스택 개발자 양성과정"/>
    <n v="113"/>
    <n v="900"/>
    <d v="2025-06-12T00:00:00"/>
    <d v="2025-11-27T00:00:00"/>
    <n v="35"/>
    <n v="11"/>
    <n v="14"/>
    <n v="0.31428571428571428"/>
    <n v="0.4"/>
  </r>
  <r>
    <s v="6월"/>
    <s v="컴퓨터"/>
    <s v="안양"/>
    <s v="계"/>
    <s v="게임콘텐츠제작(08030205)"/>
    <n v="1"/>
    <s v="게임프로그래밍 개발자 양성 과정(유니티)"/>
    <n v="74"/>
    <n v="370"/>
    <d v="2025-06-12T00:00:00"/>
    <d v="2025-10-01T00:00:00"/>
    <n v="20"/>
    <n v="4"/>
    <n v="4"/>
    <n v="0.2"/>
    <n v="0.2"/>
  </r>
  <r>
    <s v="6월"/>
    <s v="컴퓨터"/>
    <s v="대구"/>
    <s v="국"/>
    <s v="디지털디자인(08020104)"/>
    <n v="1"/>
    <s v="[디지털디자인]챗GPT를 활용한 스마트UIUX 반응형 웹디자인(웹퍼블리셔)_A"/>
    <n v="118"/>
    <n v="705"/>
    <d v="2025-06-16T00:00:00"/>
    <d v="2025-12-10T00:00:00"/>
    <n v="20"/>
    <n v="20"/>
    <n v="36"/>
    <n v="1"/>
    <n v="1.8"/>
  </r>
  <r>
    <s v="6월"/>
    <s v="IT"/>
    <s v="강남"/>
    <s v="과평"/>
    <s v="정보보호관리·운영(20010601)"/>
    <n v="1"/>
    <s v="[과정평가형]정보보안산업기사 취득과정A"/>
    <n v="96"/>
    <n v="752"/>
    <d v="2025-06-17T00:00:00"/>
    <d v="2025-11-10T00:00:00"/>
    <n v="35"/>
    <n v="23"/>
    <n v="31"/>
    <n v="0.65714285714285714"/>
    <n v="0.88571428571428568"/>
  </r>
  <r>
    <s v="6월"/>
    <s v="컴퓨터"/>
    <s v="광주"/>
    <s v="국"/>
    <s v="디지털디자인(08020104)"/>
    <n v="1"/>
    <s v="(디지털디자인) 챗GPT를 활용한 스마트UIUX 반응형 웹디자이너 양성과정"/>
    <n v="150"/>
    <n v="600"/>
    <d v="2025-06-17T00:00:00"/>
    <d v="2026-01-22T00:00:00"/>
    <n v="20"/>
    <n v="11"/>
    <n v="17"/>
    <n v="0.55000000000000004"/>
    <n v="0.85"/>
  </r>
  <r>
    <s v="6월"/>
    <s v="승무원"/>
    <s v="강남"/>
    <s v="계"/>
    <s v="항공여객운송서비스(09040205)"/>
    <n v="1"/>
    <s v="항공사지상직CRS(예약발권)/DCS(공항수속)과정"/>
    <n v="47"/>
    <n v="139"/>
    <d v="2025-06-23T00:00:00"/>
    <d v="2025-09-12T00:00:00"/>
    <n v="20"/>
    <n v="9"/>
    <n v="18"/>
    <n v="0.45"/>
    <n v="0.9"/>
  </r>
  <r>
    <s v="6월"/>
    <s v="컴퓨터"/>
    <s v="대전"/>
    <s v="국"/>
    <s v="응용SW엔지니어링(20010202)"/>
    <n v="1"/>
    <s v="[디지털컨버전스] 스프링 기반 풀스택 JAVA웹 개발자 양성과정"/>
    <n v="131"/>
    <n v="650"/>
    <d v="2025-06-23T00:00:00"/>
    <d v="2025-12-31T00:00:00"/>
    <n v="20"/>
    <n v="9"/>
    <n v="10"/>
    <n v="0.45"/>
    <n v="0.5"/>
  </r>
  <r>
    <s v="6월"/>
    <s v="뷰티"/>
    <s v="수원"/>
    <s v="계"/>
    <s v="네일미용(12010104)"/>
    <n v="1"/>
    <s v="미용사(네일)국가자격증 취득과정"/>
    <n v="56"/>
    <n v="280"/>
    <d v="2025-06-23T00:00:00"/>
    <d v="2025-09-11T00:00:00"/>
    <n v="12"/>
    <n v="9"/>
    <n v="12"/>
    <n v="0.75"/>
    <n v="1"/>
  </r>
  <r>
    <s v="6월"/>
    <s v="IT"/>
    <s v="대전"/>
    <s v="산대특"/>
    <s v="응용SW엔지니어링(20010202)"/>
    <n v="2"/>
    <s v="[산대특] AWS와 데브옵스를 활용한 바이오헬스 서비스 개발 과정"/>
    <n v="130"/>
    <n v="880"/>
    <d v="2025-06-24T00:00:00"/>
    <d v="2025-12-30T00:00:00"/>
    <n v="20"/>
    <n v="9"/>
    <n v="10"/>
    <n v="0.45"/>
    <n v="0.5"/>
  </r>
  <r>
    <s v="6월"/>
    <s v="게임"/>
    <s v="강남"/>
    <s v="국"/>
    <s v="게임콘텐츠제작(08030205)"/>
    <n v="1"/>
    <s v="(국기) 언리얼엔진 게임개발자 양성과정"/>
    <n v="145"/>
    <n v="870"/>
    <d v="2025-06-26T00:00:00"/>
    <d v="2026-01-15T00:00:00"/>
    <n v="20"/>
    <n v="18"/>
    <n v="29"/>
    <n v="0.9"/>
    <n v="1.45"/>
  </r>
  <r>
    <s v="6월"/>
    <s v="IT"/>
    <s v="인천"/>
    <s v="산대특"/>
    <s v="응용SW엔지니어링(20010202)"/>
    <n v="1"/>
    <s v="(산대특) JAVA&amp;Python기반 빅데이터 분석 활용 AI플랫폼 개발자 양성과정"/>
    <n v="109"/>
    <n v="868"/>
    <d v="2025-06-26T00:00:00"/>
    <d v="2025-12-11T00:00:00"/>
    <n v="25"/>
    <n v="19"/>
    <n v="20"/>
    <n v="0.76"/>
    <n v="0.8"/>
  </r>
  <r>
    <s v="6월"/>
    <s v="컴퓨터"/>
    <s v="대전"/>
    <s v="국"/>
    <s v="건축설계(14030101)"/>
    <n v="1"/>
    <s v="[BIM] 건축설계&amp;실내건축설계 실무양성과정 (캐드,스케치업,레빗) B"/>
    <n v="133"/>
    <n v="660"/>
    <d v="2025-06-30T00:00:00"/>
    <d v="2026-01-13T00:00:00"/>
    <n v="20"/>
    <n v="15"/>
    <n v="22"/>
    <n v="0.75"/>
    <n v="1.1000000000000001"/>
  </r>
  <r>
    <s v="6월"/>
    <s v="컴퓨터"/>
    <s v="부산"/>
    <s v="국"/>
    <s v="편집디자인(22010102)"/>
    <n v="1"/>
    <s v="(출판)디지털퍼블리싱 실무자양성과정A"/>
    <n v="101"/>
    <n v="505"/>
    <d v="2025-06-30T00:00:00"/>
    <d v="2025-12-16T00:00:00"/>
    <n v="20"/>
    <n v="14"/>
    <n v="16"/>
    <n v="0.7"/>
    <n v="0.8"/>
  </r>
  <r>
    <s v="6월"/>
    <s v="IT"/>
    <s v="대구"/>
    <s v="국"/>
    <s v="응용SW엔지니어링(20010202)"/>
    <n v="1"/>
    <s v="빅데이터 분석 및 UI 전문가) 자바, 파이썬 기반 빅데이터 UI 전문가 양성과정"/>
    <n v="107"/>
    <n v="850"/>
    <d v="2025-06-30T00:00:00"/>
    <d v="2025-12-03T00:00:00"/>
    <n v="22"/>
    <n v="18"/>
    <n v="18"/>
    <n v="0.81818181818181823"/>
    <n v="0.81818181818181823"/>
  </r>
  <r>
    <s v="7월"/>
    <s v="IT"/>
    <s v="부산"/>
    <s v="산대특"/>
    <s v="응용SW엔지니어링(20010202)"/>
    <n v="1"/>
    <s v="(2025)(산대특)_사물인터넷(IoT) 기반 웹솔루션개발자_양성_지원"/>
    <n v="120"/>
    <n v="960"/>
    <d v="2025-07-01T00:00:00"/>
    <d v="2026-01-09T00:00:00"/>
    <n v="20"/>
    <n v="20"/>
    <n v="20"/>
    <n v="1"/>
    <n v="1"/>
  </r>
  <r>
    <s v="7월"/>
    <s v="IT"/>
    <s v="강남"/>
    <s v="국"/>
    <s v="응용SW엔지니어링(20010202)"/>
    <n v="1"/>
    <s v="(디지털컨버전스) 공공데이터 융합 풀스택 개발자 양성과정K"/>
    <n v="113"/>
    <n v="900"/>
    <d v="2025-07-01T00:00:00"/>
    <d v="2025-12-12T00:00:00"/>
    <n v="35"/>
    <n v="5"/>
    <n v="5"/>
    <n v="0.14285714285714285"/>
    <n v="0.14285714285714285"/>
  </r>
  <r>
    <s v="7월"/>
    <s v="게임"/>
    <s v="부평"/>
    <s v="계"/>
    <s v="게임콘텐츠제작(08030205)"/>
    <n v="1"/>
    <s v="유니티 게임프로그래머 양성과정"/>
    <n v="93"/>
    <n v="370"/>
    <d v="2025-07-03T00:00:00"/>
    <d v="2025-12-09T00:00:00"/>
    <n v="15"/>
    <n v="9"/>
    <n v="17"/>
    <n v="0.6"/>
    <n v="1.1333333333333333"/>
  </r>
  <r>
    <s v="7월"/>
    <s v="IT"/>
    <s v="강남"/>
    <s v="국"/>
    <s v="응용SW엔지니어링(20010202)"/>
    <n v="1"/>
    <s v="(디지털컨버전스) 공공데이터 융합 풀스택 개발자 양성과정O"/>
    <n v="113"/>
    <n v="900"/>
    <d v="2025-07-10T00:00:00"/>
    <d v="2025-12-26T00:00:00"/>
    <n v="21"/>
    <n v="15"/>
    <n v="15"/>
    <n v="0.7142857142857143"/>
    <n v="0.7142857142857143"/>
  </r>
  <r>
    <s v="7월"/>
    <s v="컴퓨터"/>
    <s v="수원"/>
    <s v="계"/>
    <s v="디지털디자인(08020104)"/>
    <n v="1"/>
    <s v="웹디자이너&amp;퍼블리셔 양성과정"/>
    <n v="58"/>
    <n v="290"/>
    <d v="2025-07-15T00:00:00"/>
    <d v="2025-10-21T00:00:00"/>
    <n v="14"/>
    <n v="8"/>
    <n v="12"/>
    <n v="0.5714285714285714"/>
    <n v="0.8571428571428571"/>
  </r>
  <r>
    <s v="7월"/>
    <s v="IT"/>
    <s v="대구"/>
    <s v="국"/>
    <s v="보안엔지니어링(20010206)"/>
    <n v="1"/>
    <s v=" (정보시스템구축(개발·운영)) 프로젝트 기반 시스템 보안 전문가 양성과정"/>
    <n v="114"/>
    <n v="910"/>
    <d v="2025-07-16T00:00:00"/>
    <d v="2026-01-05T00:00:00"/>
    <n v="20"/>
    <n v="12"/>
    <n v="12"/>
    <n v="0.6"/>
    <n v="0.6"/>
  </r>
  <r>
    <s v="7월"/>
    <s v="컴퓨터"/>
    <s v="부평"/>
    <s v="계"/>
    <s v="실내건축설계(14030104)"/>
    <n v="1"/>
    <s v="실내건축설계 인테리어과정(캐드,스케치업)"/>
    <n v="56"/>
    <n v="280"/>
    <d v="2025-07-21T00:00:00"/>
    <d v="2025-10-15T00:00:00"/>
    <n v="20"/>
    <n v="13"/>
    <n v="19"/>
    <n v="0.65"/>
    <n v="0.95"/>
  </r>
  <r>
    <s v="7월"/>
    <s v="승무원"/>
    <s v="강남"/>
    <s v="계"/>
    <s v="여행상품상담(12030102)"/>
    <n v="2"/>
    <s v="여행사CRS(예약발권)/OP(오퍼레이터)과정"/>
    <n v="39"/>
    <n v="152"/>
    <d v="2025-07-22T00:00:00"/>
    <d v="2025-09-17T00:00:00"/>
    <n v="20"/>
    <n v="6"/>
    <n v="6"/>
    <n v="0.3"/>
    <n v="0.3"/>
  </r>
  <r>
    <s v="7월"/>
    <s v="게임"/>
    <s v="노원"/>
    <s v="계"/>
    <s v="게임콘텐츠제작(08030205)"/>
    <n v="1"/>
    <s v="게임기획 실무자 양성과정 "/>
    <n v="124"/>
    <n v="370"/>
    <d v="2025-07-22T00:00:00"/>
    <d v="2026-01-21T00:00:00"/>
    <n v="10"/>
    <n v="8"/>
    <n v="15"/>
    <n v="0.8"/>
    <n v="1.5"/>
  </r>
  <r>
    <s v="7월"/>
    <s v="컴퓨터"/>
    <s v="강남"/>
    <s v="국"/>
    <s v="광고콘텐츠제작(08030204)"/>
    <n v="1"/>
    <s v="[멀티미디어] 멀티미디어콘텐츠제작(에펙, 프리미어, 시네마4D)_B"/>
    <n v="150"/>
    <n v="720"/>
    <d v="2025-07-23T00:00:00"/>
    <d v="2026-03-05T00:00:00"/>
    <n v="20"/>
    <n v="16"/>
    <n v="29"/>
    <n v="0.8"/>
    <n v="1.45"/>
  </r>
  <r>
    <s v="7월"/>
    <s v="IT"/>
    <s v="부산"/>
    <s v="산대특"/>
    <s v="응용SW엔지니어링(20010202)"/>
    <n v="1"/>
    <s v="빅데이터 활용 클라우드 SaaS기반 시니어케어 ERP 개발"/>
    <n v="90"/>
    <n v="720"/>
    <d v="2025-07-29T00:00:00"/>
    <d v="2025-12-10T00:00:00"/>
    <n v="30"/>
    <n v="25"/>
    <n v="26"/>
    <n v="0.83333333333333337"/>
    <n v="0.8666666666666667"/>
  </r>
  <r>
    <s v="7월"/>
    <s v="게임"/>
    <s v="분당"/>
    <s v="계"/>
    <s v="게임콘텐츠제작(08030205)"/>
    <n v="1"/>
    <s v="게임기획 실무자 양성과정"/>
    <n v="93"/>
    <n v="370"/>
    <d v="2025-07-31T00:00:00"/>
    <d v="2025-11-19T00:00:00"/>
    <n v="14"/>
    <n v="9"/>
    <n v="12"/>
    <n v="0.6428571428571429"/>
    <n v="0.8571428571428571"/>
  </r>
  <r>
    <s v="8월"/>
    <s v="IT"/>
    <s v="신촌"/>
    <s v="국"/>
    <s v="인공지능플랫폼구축(20010701)"/>
    <n v="1"/>
    <s v="(AI 활용 소프트웨어 개발 및 응용) AI 활용 소프트웨어 개발 및 응용과정"/>
    <n v="119"/>
    <n v="952"/>
    <d v="2025-08-01T00:00:00"/>
    <d v="2026-01-30T00:00:00"/>
    <n v="30"/>
    <n v="9"/>
    <n v="10"/>
    <n v="0.3"/>
    <n v="0.33333333333333331"/>
  </r>
  <r>
    <s v="8월"/>
    <s v="게임"/>
    <s v="대구"/>
    <s v="계"/>
    <s v="게임콘텐츠제작(08030205)"/>
    <n v="1"/>
    <s v="게임기획 실무자 양성과정"/>
    <n v="81"/>
    <n v="370"/>
    <d v="2025-08-07T00:00:00"/>
    <d v="2025-12-11T00:00:00"/>
    <n v="20"/>
    <n v="5"/>
    <n v="9"/>
    <n v="0.25"/>
    <n v="0.45"/>
  </r>
  <r>
    <s v="8월"/>
    <s v="컴퓨터"/>
    <s v="구월"/>
    <s v="계"/>
    <s v="UI/UX엔지니어링(20010207)"/>
    <n v="1"/>
    <s v="UIUX 웹 디자이너 양성과정"/>
    <n v="70"/>
    <n v="350"/>
    <d v="2025-08-19T00:00:00"/>
    <d v="2025-12-02T00:00:00"/>
    <n v="21"/>
    <n v="11"/>
    <n v="12"/>
    <n v="0.52380952380952384"/>
    <n v="0.5714285714285714"/>
  </r>
  <r>
    <s v="8월"/>
    <s v="컴퓨터"/>
    <s v="천안"/>
    <s v="산대특"/>
    <s v="시스템SW엔지니어링(20010208"/>
    <n v="1"/>
    <s v="[산대특]생성형 AI를 활용한 UIUX웹개발자 양성과정"/>
    <n v="125"/>
    <n v="500"/>
    <d v="2025-08-19T00:00:00"/>
    <d v="2026-02-24T00:00:00"/>
    <n v="19"/>
    <n v="8"/>
    <n v="8"/>
    <n v="0.42105263157894735"/>
    <n v="0.42105263157894735"/>
  </r>
  <r>
    <s v="8월"/>
    <s v="컴퓨터"/>
    <s v="대전"/>
    <s v="계"/>
    <s v="광고콘텐츠제작(08030204)"/>
    <n v="1"/>
    <s v="영상편집&amp;모션그래픽제작(프리미어,에프터이펙트)실무자 양성 과정"/>
    <n v="73"/>
    <n v="289"/>
    <d v="2025-08-25T00:00:00"/>
    <d v="2025-12-24T00:00:00"/>
    <n v="20"/>
    <n v="15"/>
    <n v="25"/>
    <n v="0.75"/>
    <n v="1.25"/>
  </r>
  <r>
    <s v="8월"/>
    <s v="IT"/>
    <s v="신촌"/>
    <s v="국"/>
    <s v="보안엔지니어링(20010206)"/>
    <n v="1"/>
    <s v="(정보시스템구축(개발·운영)) 정보시스템 보안운영 및 보안사고 분석B"/>
    <n v="98"/>
    <n v="777"/>
    <d v="2025-08-25T00:00:00"/>
    <d v="2026-01-21T00:00:00"/>
    <n v="22"/>
    <n v="14"/>
    <n v="16"/>
    <n v="0.63636363636363635"/>
    <n v="0.72727272727272729"/>
  </r>
  <r>
    <s v="8월"/>
    <s v="컴퓨터"/>
    <s v="강남"/>
    <s v="국"/>
    <s v="광고콘텐츠제작(08030204)"/>
    <n v="1"/>
    <s v="[멀티미디어] 멀티미디어콘텐츠제작(에펙, 프리미어, 시네마4D)_A"/>
    <n v="150"/>
    <n v="750"/>
    <d v="2025-08-26T00:00:00"/>
    <d v="2026-04-07T00:00:00"/>
    <n v="20"/>
    <n v="9"/>
    <n v="18"/>
    <n v="0.45"/>
    <n v="0.9"/>
  </r>
  <r>
    <s v="8월"/>
    <s v="IT"/>
    <s v="강남"/>
    <s v="국"/>
    <s v="응용SW엔지니어링(20010202)"/>
    <n v="1"/>
    <s v="(디지털컨버전스) 공공데이터 융합 풀스택 개발자 양성과정I"/>
    <n v="113"/>
    <n v="900"/>
    <d v="2025-08-26T00:00:00"/>
    <d v="2026-02-12T00:00:00"/>
    <n v="35"/>
    <n v="16"/>
    <n v="17"/>
    <n v="0.45714285714285713"/>
    <n v="0.48571428571428571"/>
  </r>
  <r>
    <s v="8월"/>
    <s v="IT"/>
    <s v="강남"/>
    <s v="KDT"/>
    <s v="인공지능플랫폼구축(20010701)"/>
    <n v="1"/>
    <s v="랭체인을 활용한 AI 영상객체탐지분석 플랫폼 구축과정 A"/>
    <n v="138"/>
    <n v="1100"/>
    <d v="2025-08-27T00:00:00"/>
    <d v="2026-03-27T00:00:00"/>
    <n v="35"/>
    <n v="23"/>
    <n v="32"/>
    <n v="0.65714285714285714"/>
    <n v="0.91428571428571426"/>
  </r>
  <r>
    <s v="8월"/>
    <s v="IT"/>
    <s v="대전"/>
    <s v="과평"/>
    <s v="응용SW엔지니어링(20010202)"/>
    <n v="1"/>
    <s v="정보처리산업기사 취득과정B"/>
    <n v="100"/>
    <n v="800"/>
    <d v="2025-08-28T00:00:00"/>
    <d v="2026-01-26T00:00:00"/>
    <n v="20"/>
    <n v="18"/>
    <n v="19"/>
    <n v="0.9"/>
    <n v="0.95"/>
  </r>
  <r>
    <s v="8월"/>
    <s v="IT"/>
    <s v="대구"/>
    <s v="국"/>
    <s v="정보보호관리·운영(20010601)"/>
    <n v="1"/>
    <s v="[과정평가형] 정보보안산업기사 취득과정A"/>
    <n v="108"/>
    <n v="864"/>
    <d v="2025-08-28T00:00:00"/>
    <d v="2026-03-26T00:00:00"/>
    <n v="22"/>
    <n v="10"/>
    <n v="12"/>
    <n v="0.45454545454545453"/>
    <n v="0.54545454545454541"/>
  </r>
  <r>
    <s v="8월"/>
    <s v="IT"/>
    <s v="인천"/>
    <s v="산대특"/>
    <s v="응용SW엔지니어링(20010202)"/>
    <n v="1"/>
    <s v="(산대특) CI/CD 자동화를 위한 React&amp;Node.js 기반 풀스택 개발 과정"/>
    <n v="100"/>
    <n v="800"/>
    <d v="2025-08-29T00:00:00"/>
    <d v="2026-01-27T00:00:00"/>
    <n v="20"/>
    <n v="12"/>
    <n v="12"/>
    <n v="0.6"/>
    <n v="0.6"/>
  </r>
  <r>
    <s v="9월"/>
    <s v="IT"/>
    <s v="신촌"/>
    <s v="과평(국)"/>
    <s v="응용SW엔지니어링(20010202)"/>
    <n v="1"/>
    <s v="(과정형가형) 정보처리산업기사 취득과정B"/>
    <n v="109"/>
    <n v="820"/>
    <d v="2025-09-01T00:00:00"/>
    <d v="2026-02-06T00:00:00"/>
    <n v="30"/>
    <n v="6"/>
    <n v="7"/>
    <n v="0.2"/>
    <n v="0.23333333333333334"/>
  </r>
  <r>
    <s v="9월"/>
    <s v="게임"/>
    <s v="부평"/>
    <s v="국"/>
    <s v="게임콘텐츠제작(08030205)"/>
    <n v="1"/>
    <s v="(게임콘텐츠제작)유니티 게임프로그래밍&amp;기획 전문가 양성과정"/>
    <n v="125"/>
    <n v="870"/>
    <d v="2025-09-01T00:00:00"/>
    <d v="2026-03-06T00:00:00"/>
    <n v="20"/>
    <n v="10"/>
    <n v="19"/>
    <n v="0.5"/>
    <n v="0.95"/>
  </r>
  <r>
    <s v="9월"/>
    <s v="컴퓨터"/>
    <s v="대전"/>
    <s v="국"/>
    <s v="건축설계(14030101)"/>
    <n v="1"/>
    <s v="[BIM] 건축설계&amp;실내건축설계 실무양성과정 (캐드,스케치업,레빗) C"/>
    <n v="133"/>
    <n v="660"/>
    <d v="2025-09-01T00:00:00"/>
    <d v="2026-03-19T00:00:00"/>
    <n v="20"/>
    <n v="16"/>
    <n v="26"/>
    <n v="0.8"/>
    <n v="1.3"/>
  </r>
  <r>
    <s v="9월"/>
    <s v="컴퓨터"/>
    <s v="울산"/>
    <s v="계"/>
    <s v="실내건축설계(14030104)"/>
    <n v="1"/>
    <s v="실내건축 인테리어과정(캐드,스케치업,맥스)"/>
    <n v="70"/>
    <n v="280"/>
    <d v="2025-09-01T00:00:00"/>
    <d v="2025-12-15T00:00:00"/>
    <n v="20"/>
    <n v="7"/>
    <n v="7"/>
    <n v="0.35"/>
    <n v="0.35"/>
  </r>
  <r>
    <s v="9월"/>
    <s v="게임"/>
    <s v="천안"/>
    <s v="산대특"/>
    <s v="게임콘텐츠제작(08030205)"/>
    <n v="1"/>
    <s v="[산대특] 생성형AI 기반 게임 시스템 및 콘텐츠 융합 프로그래밍 개발자 양성과정"/>
    <n v="140"/>
    <n v="700"/>
    <d v="2025-09-09T00:00:00"/>
    <d v="2026-04-07T00:00:00"/>
    <n v="11"/>
    <n v="10"/>
    <n v="14"/>
    <n v="0.90909090909090906"/>
    <n v="1.2727272727272727"/>
  </r>
  <r>
    <s v="9월"/>
    <s v="컴퓨터"/>
    <s v="일산"/>
    <s v="계"/>
    <s v="실내건축설계(14030104)"/>
    <n v="2"/>
    <s v="실내건축 인테리어(캐드, 맥스) 과정"/>
    <n v="70"/>
    <n v="280"/>
    <d v="2025-09-09T00:00:00"/>
    <d v="2025-12-22T00:00:00"/>
    <n v="12"/>
    <n v="9"/>
    <n v="9"/>
    <n v="0.75"/>
    <n v="0.75"/>
  </r>
  <r>
    <s v="9월"/>
    <s v="게임"/>
    <s v="대전"/>
    <s v="계"/>
    <s v="게임콘텐츠제작(08030205)"/>
    <n v="1"/>
    <s v="(게임콘텐츠제작) 게임 3D그래픽 디자이너 양성과정(2025)"/>
    <n v="125"/>
    <n v="370"/>
    <d v="2025-09-10T00:00:00"/>
    <d v="2026-04-01T00:00:00"/>
    <n v="13"/>
    <n v="11"/>
    <n v="30"/>
    <n v="0.84615384615384615"/>
    <n v="2.3076923076923075"/>
  </r>
  <r>
    <s v="9월"/>
    <s v="IT"/>
    <s v="대구"/>
    <s v="국"/>
    <s v="응용SW엔지니어링(20010202)"/>
    <n v="1"/>
    <s v="(스마트웹&amp;콘텐츠개발) 스마트웹 응용 프로그래밍 개발자 양성 과정A"/>
    <n v="118"/>
    <n v="940"/>
    <d v="2025-09-11T00:00:00"/>
    <d v="2026-03-10T00:00:00"/>
    <n v="25"/>
    <n v="14"/>
    <n v="14"/>
    <n v="0.56000000000000005"/>
    <n v="0.56000000000000005"/>
  </r>
  <r>
    <s v="9월"/>
    <s v="게임"/>
    <s v="수원"/>
    <s v="국"/>
    <s v="게임콘텐츠제작(08030205)"/>
    <n v="1"/>
    <s v="(게임콘텐츠제작)게임프로그래밍 실무자 양성과정"/>
    <n v="136"/>
    <n v="810"/>
    <d v="2025-09-16T00:00:00"/>
    <d v="2026-04-08T00:00:00"/>
    <n v="21"/>
    <n v="11"/>
    <n v="14"/>
    <n v="0.52380952380952384"/>
    <n v="0.66666666666666663"/>
  </r>
  <r>
    <s v="9월"/>
    <s v="컴퓨터"/>
    <s v="대전"/>
    <s v="국"/>
    <s v="디지털디자인(08020104)"/>
    <n v="1"/>
    <s v="[디지털디자인] 챗GPT &amp; AI를 활용한 UIUX 반응형 웹퍼블리셔 양성과정 C"/>
    <n v="133"/>
    <n v="660"/>
    <d v="2025-09-16T00:00:00"/>
    <d v="2026-04-03T00:00:00"/>
    <n v="20"/>
    <n v="12"/>
    <n v="24"/>
    <n v="0.6"/>
    <n v="1.2"/>
  </r>
  <r>
    <s v="9월"/>
    <s v="컴퓨터"/>
    <s v="부산"/>
    <s v="국"/>
    <s v="편집디자인(22010102"/>
    <n v="1"/>
    <s v="(출판)디지털퍼블리싱 실무자양성과정B"/>
    <n v="133"/>
    <n v="530"/>
    <d v="2025-09-16T00:00:00"/>
    <d v="2026-04-23T00:00:00"/>
    <n v="20"/>
    <n v="8"/>
    <n v="18"/>
    <n v="0.4"/>
    <n v="0.9"/>
  </r>
  <r>
    <s v="9월"/>
    <s v="컴퓨터"/>
    <s v="부산"/>
    <s v="산대특"/>
    <s v="광고콘텐츠제작(08030204)"/>
    <n v="1"/>
    <s v="글로벌문화관광 콘텐츠 영상제작과정"/>
    <n v="150"/>
    <n v="600"/>
    <d v="2025-09-16T00:00:00"/>
    <d v="2026-05-22T00:00:00"/>
    <n v="20"/>
    <n v="16"/>
    <n v="24"/>
    <n v="0.8"/>
    <n v="1.2"/>
  </r>
  <r>
    <s v="9월"/>
    <s v="IT"/>
    <s v="강남"/>
    <s v="국"/>
    <s v="응용SW엔지니어링(20010202)"/>
    <n v="1"/>
    <s v="(디지털컨버전스) 공공데이터 융합 풀스택 개발자 양성과정P"/>
    <n v="113"/>
    <n v="900"/>
    <d v="2025-09-18T00:00:00"/>
    <d v="2026-03-23T00:00:00"/>
    <n v="21"/>
    <n v="12"/>
    <n v="12"/>
    <n v="0.5714285714285714"/>
    <n v="0.5714285714285714"/>
  </r>
  <r>
    <s v="9월"/>
    <s v="IT"/>
    <s v="부산"/>
    <s v="산대특"/>
    <s v="응용SW엔지니어링(20010202)"/>
    <n v="1"/>
    <s v="검색증강생성(RAG) AI 기반 문화관광 스마트콘텐츠 플랫폼 개발자 양성"/>
    <n v="90"/>
    <n v="720"/>
    <d v="2025-09-18T00:00:00"/>
    <d v="2026-02-04T00:00:00"/>
    <n v="30"/>
    <n v="25"/>
    <n v="25"/>
    <n v="0.83333333333333337"/>
    <n v="0.83333333333333337"/>
  </r>
  <r>
    <s v="9월"/>
    <s v="승무원"/>
    <s v="강남"/>
    <s v="계"/>
    <s v="여행상품상담(12030102)"/>
    <n v="3"/>
    <s v="여행사CRS(예약발권)/오퍼레이터(OP)과정"/>
    <n v="39"/>
    <n v="152"/>
    <d v="2025-09-18T00:00:00"/>
    <d v="2025-11-19T00:00:00"/>
    <n v="20"/>
    <n v="11"/>
    <n v="11"/>
    <n v="0.55000000000000004"/>
    <n v="0.55000000000000004"/>
  </r>
  <r>
    <s v="9월"/>
    <s v="컴퓨터"/>
    <s v="분당"/>
    <s v="계"/>
    <s v="광고콘텐츠제작(08030204)"/>
    <n v="1"/>
    <s v="모션그래픽(영상편집디자인) 실무자 양성과정"/>
    <n v="56"/>
    <n v="280"/>
    <d v="2025-09-19T00:00:00"/>
    <d v="2025-12-12T00:00:00"/>
    <n v="20"/>
    <n v="3"/>
    <n v="5"/>
    <n v="0.15"/>
    <n v="0.25"/>
  </r>
  <r>
    <s v="9월"/>
    <s v="컴퓨터"/>
    <s v="강남"/>
    <s v="과평(국)"/>
    <s v="애니메이션콘텐츠제작(08030206)"/>
    <n v="1"/>
    <s v="[과정평가형] 멀티미디어콘텐츠제작전문가 취득(프리미어,에펙,C4D)B"/>
    <n v="80"/>
    <n v="640"/>
    <d v="2025-09-24T00:00:00"/>
    <d v="2026-01-22T00:00:00"/>
    <n v="20"/>
    <n v="12"/>
    <n v="12"/>
    <n v="0.6"/>
    <n v="0.6"/>
  </r>
  <r>
    <s v="9월"/>
    <s v="컴퓨터"/>
    <s v="수원"/>
    <s v="계"/>
    <s v="실내건축설계(14030104)"/>
    <n v="1"/>
    <s v="실내건축 인테리어 실무자 양성과정"/>
    <n v="56"/>
    <n v="280"/>
    <d v="2025-09-24T00:00:00"/>
    <d v="2025-12-23T00:00:00"/>
    <n v="20"/>
    <n v="7"/>
    <n v="13"/>
    <n v="0.35"/>
    <n v="0.65"/>
  </r>
  <r>
    <s v="9월"/>
    <s v="컴퓨터"/>
    <s v="울산"/>
    <s v="계"/>
    <s v="편집디자인(22010102)"/>
    <n v="2"/>
    <s v="편집디자인(포토샵, 일러스트) 실무자 양성과정"/>
    <n v="62"/>
    <n v="310"/>
    <d v="2025-09-24T00:00:00"/>
    <d v="2025-12-29T00:00:00"/>
    <n v="20"/>
    <n v="7"/>
    <n v="10"/>
    <n v="0.35"/>
    <n v="0.5"/>
  </r>
  <r>
    <s v="9월"/>
    <s v="IT"/>
    <s v="신촌"/>
    <s v="산대특"/>
    <s v="보안엔지니어링(20010206)"/>
    <n v="2"/>
    <s v="(산대특)_클라우드기반 빅데이터를 활용한 정보시스템 보안과정_육성"/>
    <n v="120"/>
    <n v="960"/>
    <d v="2025-09-30T00:00:00"/>
    <d v="2026-04-06T00:00:00"/>
    <n v="20"/>
    <n v="14"/>
    <n v="14"/>
    <n v="0.7"/>
    <n v="0.7"/>
  </r>
  <r>
    <s v="9월"/>
    <s v="컴퓨터"/>
    <s v="안산"/>
    <s v="계"/>
    <s v="광고콘텐츠제작(08030204)"/>
    <n v="2"/>
    <s v="모션그래픽 광고콘텐츠(영상제작,편집,CG) 제작과정"/>
    <n v="60"/>
    <n v="300"/>
    <d v="2025-09-30T00:00:00"/>
    <d v="2025-12-31T00:00:00"/>
    <n v="20"/>
    <n v="18"/>
    <n v="25"/>
    <n v="0.9"/>
    <n v="1.25"/>
  </r>
  <r>
    <s v="9월"/>
    <s v="요리"/>
    <s v="안산"/>
    <s v="근"/>
    <s v="제빵(21020102)"/>
    <n v="1"/>
    <s v="제과제빵기능사자격증 취득과정(실기)"/>
    <n v="40"/>
    <n v="120"/>
    <d v="2025-09-17T00:00:00"/>
    <d v="2025-11-19T00:00:00"/>
    <n v="12"/>
    <n v="6"/>
    <n v="6"/>
    <n v="0.5"/>
    <n v="0.5"/>
  </r>
  <r>
    <s v="10월"/>
    <s v="컴퓨터"/>
    <s v="대구"/>
    <s v="과평(국)"/>
    <s v="실내디자인(08020107)"/>
    <n v="1"/>
    <s v="(과정평가형) 실내건축기능사 취득과정A"/>
    <n v="108"/>
    <n v="430"/>
    <d v="2025-10-13T00:00:00"/>
    <d v="2026-02-12T00:00:00"/>
    <n v="20"/>
    <n v="17"/>
    <n v="38"/>
    <n v="0.85"/>
    <n v="1.9"/>
  </r>
  <r>
    <s v="10월"/>
    <s v="컴퓨터"/>
    <s v="대구"/>
    <s v="산대특"/>
    <s v="UI/UX엔지니어링(20010207)"/>
    <n v="1"/>
    <s v="(산대특) AI&amp;React 활용 스마트시티웨더 구축_리퍼블리셔 양성"/>
    <n v="112"/>
    <n v="670"/>
    <d v="2025-10-14T00:00:00"/>
    <d v="2026-04-01T00:00:00"/>
    <n v="15"/>
    <n v="11"/>
    <n v="14"/>
    <n v="0.73333333333333328"/>
    <n v="0.93333333333333335"/>
  </r>
  <r>
    <s v="10월"/>
    <s v="IT"/>
    <s v="부산"/>
    <s v="과평(국)"/>
    <s v="응용SW엔지니어링(20010202)"/>
    <n v="1"/>
    <s v="(과정평가형 자격)정보처리기능사 취득과정"/>
    <n v="86"/>
    <n v="600"/>
    <d v="2025-10-15T00:00:00"/>
    <d v="2026-02-20T00:00:00"/>
    <n v="20"/>
    <n v="10"/>
    <n v="10"/>
    <n v="0.5"/>
    <n v="0.5"/>
  </r>
  <r>
    <s v="10월"/>
    <s v="게임"/>
    <s v="노원"/>
    <s v="계"/>
    <s v="게임콘텐츠제작(08030205)"/>
    <n v="1"/>
    <s v="게임프로그래머 유니티 양성과정"/>
    <n v="124"/>
    <n v="370"/>
    <d v="2025-10-15T00:00:00"/>
    <d v="2026-04-14T00:00:00"/>
    <n v="20"/>
    <n v="8"/>
    <n v="11"/>
    <n v="0.4"/>
    <n v="0.55000000000000004"/>
  </r>
  <r>
    <s v="10월"/>
    <s v="컴퓨터"/>
    <s v="부평"/>
    <s v="계"/>
    <s v="광고콘텐츠제작(08030204)"/>
    <n v="2"/>
    <s v="영상편집 3D모션그래픽제작(프리미어, 애프터이펙트, 시네마4D)"/>
    <n v="60"/>
    <n v="300"/>
    <d v="2025-10-15T00:00:00"/>
    <d v="2026-01-12T00:00:00"/>
    <n v="20"/>
    <n v="14"/>
    <n v="18"/>
    <n v="0.7"/>
    <n v="0.9"/>
  </r>
  <r>
    <s v="10월"/>
    <s v="IT"/>
    <s v="강남"/>
    <s v="KDT"/>
    <s v="인공지능플랫폼구축(20010701)"/>
    <n v="2"/>
    <s v="랭체인을 활용한 AI 영상객체탐지분석 플랫폼 구축과정"/>
    <n v="139"/>
    <n v="1100"/>
    <d v="2025-10-16T00:00:00"/>
    <d v="2026-05-15T00:00:00"/>
    <n v="35"/>
    <n v="29"/>
    <n v="34"/>
    <n v="0.82857142857142863"/>
    <n v="0.97142857142857142"/>
  </r>
  <r>
    <s v="10월"/>
    <s v="승무원"/>
    <s v="강남"/>
    <s v="계"/>
    <s v="항공여객운송서비스(09040205)"/>
    <n v="2"/>
    <s v="항공사지상직(CRS)/DCS(탑승수속)과정"/>
    <n v="47"/>
    <n v="139"/>
    <d v="2025-10-21T00:00:00"/>
    <d v="2026-01-16T00:00:00"/>
    <n v="20"/>
    <n v="7"/>
    <n v="10"/>
    <n v="0.35"/>
    <n v="0.5"/>
  </r>
  <r>
    <s v="10월"/>
    <s v="IT"/>
    <s v="인천"/>
    <s v="산대특"/>
    <s v="응용SW엔지니어링(20010202)"/>
    <n v="1"/>
    <s v="(산대특) JAVA&amp;Python기반 빅데이터 분석 활용 AI플랫폼 개발자 양성과정"/>
    <n v="109"/>
    <n v="868"/>
    <d v="2025-10-30T00:00:00"/>
    <d v="2026-04-08T00:00:00"/>
    <n v="25"/>
    <n v="15"/>
    <n v="15"/>
    <n v="0.6"/>
    <n v="0.6"/>
  </r>
  <r>
    <s v="10월"/>
    <s v="뷰티"/>
    <s v="부산"/>
    <s v="근"/>
    <s v="메이크업(12010103)"/>
    <n v="1"/>
    <s v="속눈썹 연장 및 펌 실무과정"/>
    <n v="10"/>
    <n v="30"/>
    <d v="2025-10-29T00:00:00"/>
    <d v="2025-12-31T00:00:00"/>
    <n v="12"/>
    <n v="6"/>
    <n v="6"/>
    <n v="0.5"/>
    <n v="0.5"/>
  </r>
  <r>
    <s v="11월"/>
    <s v="컴퓨터"/>
    <s v="부산"/>
    <s v="산대특"/>
    <s v="실내건축설계(14030104)"/>
    <n v="1"/>
    <s v="그린에너지 스마트건축 설계 실무과정"/>
    <n v="150"/>
    <n v="600"/>
    <d v="2025-11-05T00:00:00"/>
    <d v="2026-07-06T00:00:00"/>
    <n v="20"/>
    <n v="10"/>
    <n v="15"/>
    <n v="0.5"/>
    <n v="0.75"/>
  </r>
  <r>
    <s v="11월"/>
    <s v="IT"/>
    <s v="대구"/>
    <s v="국"/>
    <s v="응용SW엔지니어링(20010202)"/>
    <n v="1"/>
    <s v=" (AI 활용 소프트웨어 개발 및 응용)AI 활용 소프트웨어 개발자 양성과정"/>
    <n v="132"/>
    <n v="1050"/>
    <d v="2025-11-06T00:00:00"/>
    <d v="2026-05-20T00:00:00"/>
    <n v="33"/>
    <n v="14"/>
    <n v="14"/>
    <n v="0.42424242424242425"/>
    <n v="0.42424242424242425"/>
  </r>
  <r>
    <s v="11월"/>
    <s v="IT"/>
    <s v="대전"/>
    <s v="국"/>
    <s v="응용SW엔지니어링(20010202)"/>
    <n v="1"/>
    <s v="(디지털컨버전스) 공공데이터 융합 풀스택 개발자 양성과정"/>
    <n v="132"/>
    <n v="900"/>
    <d v="2025-11-11T00:00:00"/>
    <d v="2026-04-22T00:00:00"/>
    <n v="19"/>
    <n v="12"/>
    <n v="12"/>
    <n v="0.63157894736842102"/>
    <n v="0.63157894736842102"/>
  </r>
  <r>
    <s v="11월"/>
    <s v="컴퓨터"/>
    <s v="부평"/>
    <s v="계"/>
    <s v="편집디자인(22010102)"/>
    <n v="1"/>
    <s v="편집디자인(포토샵, 일러스트, 인디자인) 양성과정"/>
    <n v="64"/>
    <n v="320"/>
    <d v="2025-11-12T00:00:00"/>
    <d v="2026-02-11T00:00:00"/>
    <n v="20"/>
    <n v="10"/>
    <n v="19"/>
    <n v="0.5"/>
    <n v="0.95"/>
  </r>
  <r>
    <s v="11월"/>
    <s v="IT"/>
    <s v="강남"/>
    <s v="과평(국)"/>
    <s v="정보보호관리·운영(20010601)"/>
    <n v="1"/>
    <s v="[과정평가형]정보보안산업기사 취득과정B"/>
    <n v="95"/>
    <n v="752"/>
    <d v="2025-11-13T00:00:00"/>
    <d v="2026-04-08T00:00:00"/>
    <n v="35"/>
    <n v="24"/>
    <n v="27"/>
    <n v="0.68571428571428572"/>
    <n v="0.77142857142857146"/>
  </r>
  <r>
    <s v="11월"/>
    <s v="IT"/>
    <s v="강남"/>
    <s v="국"/>
    <s v="응용SW엔지니어링(20010202)"/>
    <n v="1"/>
    <s v="(디지털컨버전스) 공공데이터 융합 풀스택 개발자 양성과정Q"/>
    <n v="113"/>
    <n v="900"/>
    <d v="2025-11-14T00:00:00"/>
    <d v="2026-05-04T00:00:00"/>
    <n v="21"/>
    <n v="9"/>
    <n v="9"/>
    <n v="0.42857142857142855"/>
    <n v="0.42857142857142855"/>
  </r>
  <r>
    <s v="11월"/>
    <s v="컴퓨터"/>
    <s v="광주"/>
    <s v="국"/>
    <s v="디지털디자인(08020104)"/>
    <n v="1"/>
    <s v="(디지털디자인) 챗GPT를 활용한 스마트기기 UXUI 웹디자이너 양성과정"/>
    <n v="120"/>
    <n v="600"/>
    <d v="2025-11-17T00:00:00"/>
    <d v="2026-05-12T00:00:00"/>
    <n v="20"/>
    <n v="16"/>
    <n v="17"/>
    <n v="0.8"/>
    <n v="0.85"/>
  </r>
  <r>
    <s v="11월"/>
    <s v="IT"/>
    <s v="인천"/>
    <s v="산대특"/>
    <s v="UI/UX엔지니어링(20010207)"/>
    <n v="1"/>
    <s v="(산대특) AWS클라우드 환경의 인프라구축을 통한 보안전문가 양성과정"/>
    <n v="110"/>
    <n v="880"/>
    <d v="2025-11-24T00:00:00"/>
    <d v="2026-05-08T00:00:00"/>
    <n v="30"/>
    <n v="26"/>
    <n v="26"/>
    <n v="0.8666666666666667"/>
    <n v="0.8666666666666667"/>
  </r>
  <r>
    <s v="11월"/>
    <s v="승무원"/>
    <s v="강남"/>
    <s v="계"/>
    <s v="여행상품상담(12030102)"/>
    <n v="4"/>
    <s v="여행사CRS(예약발권)/오퍼레이터(OP)과정"/>
    <n v="39"/>
    <n v="152"/>
    <d v="2025-11-25T00:00:00"/>
    <d v="2026-01-20T00:00:00"/>
    <n v="20"/>
    <n v="6"/>
    <n v="7"/>
    <n v="0.3"/>
    <n v="0.35"/>
  </r>
  <r>
    <s v="11월"/>
    <s v="컴퓨터"/>
    <s v="노원"/>
    <s v="계"/>
    <s v="디지털디자인(08020104)"/>
    <n v="1"/>
    <s v="[UIUX]반응형웹디자인&amp;웹퍼블리셔(프론트엔드)양성과정"/>
    <n v="58"/>
    <n v="290"/>
    <d v="2025-11-27T00:00:00"/>
    <d v="2026-02-23T00:00:00"/>
    <n v="12"/>
    <n v="5"/>
    <n v="13"/>
    <n v="0.41666666666666669"/>
    <n v="1.0833333333333333"/>
  </r>
  <r>
    <s v="11월"/>
    <s v="IT"/>
    <s v="대전"/>
    <s v="과평(국)"/>
    <s v="정보보호관리·운영(20010601)"/>
    <n v="1"/>
    <s v="[과정평가] 정보보안산업기사 취득과정B"/>
    <n v="100"/>
    <n v="800"/>
    <d v="2025-11-27T00:00:00"/>
    <d v="2026-04-24T00:00:00"/>
    <n v="20"/>
    <n v="13"/>
    <n v="13"/>
    <n v="0.65"/>
    <n v="0.65"/>
  </r>
  <r>
    <s v="11월"/>
    <s v="IT"/>
    <s v="강남"/>
    <s v="국"/>
    <s v="응용SW엔지니어링(20010202)"/>
    <n v="1"/>
    <s v="(AI 활용 소프트웨어 개발 및 응용)AI활용 소프트웨어 개발 및 응용과정C"/>
    <n v="119"/>
    <n v="940"/>
    <d v="2025-11-27T00:00:00"/>
    <d v="2026-05-26T00:00:00"/>
    <n v="35"/>
    <n v="15"/>
    <n v="16"/>
    <n v="0.42857142857142855"/>
    <n v="0.45714285714285713"/>
  </r>
  <r>
    <s v="12월"/>
    <s v="게임"/>
    <s v="대구"/>
    <s v="국"/>
    <s v="게임콘텐츠제작(08030205)"/>
    <n v="1"/>
    <s v="(게임콘텐츠제작) 게임그래픽 디자인 전문가양성(2D/3D)"/>
    <n v="145"/>
    <n v="870"/>
    <d v="2025-12-01T00:00:00"/>
    <d v="2026-07-02T00:00:00"/>
    <n v="20"/>
    <n v="11"/>
    <n v="20"/>
    <n v="0.55000000000000004"/>
    <n v="1"/>
  </r>
  <r>
    <s v="12월"/>
    <s v="게임"/>
    <s v="신촌"/>
    <s v="국"/>
    <s v="게임콘텐츠제작(08030205)"/>
    <n v="1"/>
    <s v="(게임콘텐츠제작) 유니티개발엔진 활용한 게임제작자 양성과정 (프로그래밍, 기획)"/>
    <n v="174"/>
    <n v="870"/>
    <d v="2025-12-01T00:00:00"/>
    <d v="2026-08-12T00:00:00"/>
    <n v="22"/>
    <n v="6"/>
    <n v="13"/>
    <n v="0.27272727272727271"/>
    <n v="0.59090909090909094"/>
  </r>
  <r>
    <s v="12월"/>
    <s v="컴퓨터"/>
    <s v="홍대"/>
    <s v="국"/>
    <s v="디지털디자인(08020104)"/>
    <n v="1"/>
    <s v="[디지털디자인] AI를 활용한 스마트UIUX 반응형 웹디자인(웹퍼블리셔)B"/>
    <n v="133"/>
    <n v="665"/>
    <d v="2025-12-04T00:00:00"/>
    <d v="2026-06-22T00:00:00"/>
    <n v="26"/>
    <n v="9"/>
    <n v="21"/>
    <n v="0.34615384615384615"/>
    <n v="0.80769230769230771"/>
  </r>
  <r>
    <s v="12월"/>
    <s v="컴퓨터"/>
    <s v="대전"/>
    <s v="국"/>
    <s v="디지털디자인(08020104)"/>
    <n v="1"/>
    <s v="[디지털디자인] 챗GPT &amp; AI를 활용한 UIUX 반응형 웹퍼블리셔 양성과정 D"/>
    <n v="133"/>
    <n v="660"/>
    <d v="2025-12-08T00:00:00"/>
    <d v="2026-06-24T00:00:00"/>
    <n v="20"/>
    <n v="15"/>
    <n v="21"/>
    <n v="0.75"/>
    <n v="1.05"/>
  </r>
  <r>
    <s v="12월"/>
    <s v="컴퓨터"/>
    <s v="구월"/>
    <s v="국"/>
    <s v="UI/UX엔지니어링(20010207)"/>
    <n v="1"/>
    <s v="(스마트웹&amp;콘텐츠개발) UIUX 웹디자인(웹퍼블리셔) 과정"/>
    <n v="180"/>
    <n v="900"/>
    <d v="2025-12-09T00:00:00"/>
    <d v="2026-09-01T00:00:00"/>
    <n v="20"/>
    <n v="7"/>
    <n v="10"/>
    <n v="0.35"/>
    <n v="0.5"/>
  </r>
  <r>
    <s v="12월"/>
    <s v="컴퓨터"/>
    <s v="안양"/>
    <s v="계"/>
    <s v="세무(02030202)"/>
    <n v="1"/>
    <s v="전산세무회계 자격증 취득과정(전산회계1급+전산세무2급)"/>
    <n v="42"/>
    <n v="210"/>
    <d v="2025-12-10T00:00:00"/>
    <d v="2026-02-09T00:00:00"/>
    <n v="20"/>
    <n v="8"/>
    <n v="10"/>
    <n v="0.4"/>
    <n v="0.5"/>
  </r>
  <r>
    <s v="12월"/>
    <s v="게임"/>
    <s v="부산"/>
    <s v="국"/>
    <s v="게임콘텐츠제작(08030205)"/>
    <n v="1"/>
    <s v="(게임콘텐츠제작)게임프로그래밍 전문가양성과정(유니티)"/>
    <n v="174"/>
    <n v="870"/>
    <d v="2025-12-10T00:00:00"/>
    <d v="2026-07-21T00:00:00"/>
    <n v="23"/>
    <n v="23"/>
    <n v="31"/>
    <n v="1"/>
    <n v="1.3478260869565217"/>
  </r>
  <r>
    <s v="12월"/>
    <s v="컴퓨터"/>
    <s v="울산"/>
    <s v="산대특"/>
    <s v="광고콘텐츠제작(08030204)"/>
    <n v="1"/>
    <s v="(산대특)_AI 기반 모션·광고콘텐츠 제작자 (생성형AI, 프리미어, 에펙, C4D) 육성과정"/>
    <n v="88"/>
    <n v="350"/>
    <d v="2025-12-17T00:00:00"/>
    <d v="2026-04-27T00:00:00"/>
    <n v="20"/>
    <n v="18"/>
    <n v="21"/>
    <n v="0.9"/>
    <n v="1.05"/>
  </r>
  <r>
    <s v="12월"/>
    <s v="컴퓨터"/>
    <s v="부산"/>
    <s v="국"/>
    <s v="편집디자인(22010102)"/>
    <n v="1"/>
    <s v="(출판)산업변화에 따른 영상제작 가능한 디지털 편집디자이너 양성과정"/>
    <n v="121"/>
    <n v="605"/>
    <d v="2025-12-18T00:00:00"/>
    <d v="2026-07-03T00:00:00"/>
    <n v="20"/>
    <n v="13"/>
    <n v="17"/>
    <n v="0.65"/>
    <n v="0.85"/>
  </r>
  <r>
    <s v="12월"/>
    <s v="게임"/>
    <s v="부평"/>
    <s v="계"/>
    <s v="게임콘텐츠제작(08030205)"/>
    <n v="2"/>
    <s v="게임기획 전문 실무자 양성과정(2회차)-계좌제"/>
    <n v="93"/>
    <n v="370"/>
    <d v="2025-12-22T00:00:00"/>
    <d v="2026-05-08T00:00:00"/>
    <n v="15"/>
    <n v="10"/>
    <n v="19"/>
    <n v="0.66666666666666663"/>
    <n v="1.2666666666666666"/>
  </r>
  <r>
    <s v="12월"/>
    <s v="IT"/>
    <s v="부산"/>
    <s v="산대특"/>
    <s v="응용SW엔지니어링(20010202)"/>
    <n v="1"/>
    <s v="(2025)빅데이터 활용 실버케어테크 인지치료소프트웨어 개발"/>
    <n v="90"/>
    <n v="720"/>
    <d v="2025-12-22T00:00:00"/>
    <d v="2026-05-11T00:00:00"/>
    <n v="30"/>
    <n v="18"/>
    <n v="18"/>
    <n v="0.6"/>
    <n v="0.6"/>
  </r>
  <r>
    <s v="12월"/>
    <s v="컴퓨터"/>
    <s v="홍대"/>
    <s v="국"/>
    <s v="편집디자인(22010102)"/>
    <n v="1"/>
    <s v="[출판] AI를 활용한 디지털편집디자인(일러스트,포토샵,인디자인) 실무양성과정B"/>
    <n v="138"/>
    <n v="690"/>
    <d v="2025-12-23T00:00:00"/>
    <d v="2026-07-16T00:00:00"/>
    <n v="26"/>
    <n v="8"/>
    <n v="14"/>
    <n v="0.30769230769230771"/>
    <n v="0.53846153846153844"/>
  </r>
  <r>
    <s v="12월"/>
    <s v="컴퓨터"/>
    <s v="천안"/>
    <s v="계"/>
    <s v="UI/UX엔지니어링(20010207)"/>
    <n v="1"/>
    <s v="UIUX 반응형 웹디자인&amp;웹퍼블리셔 양성과정"/>
    <n v="70"/>
    <n v="350"/>
    <d v="2025-12-29T00:00:00"/>
    <d v="2026-04-10T00:00:00"/>
    <n v="18"/>
    <n v="8"/>
    <n v="8"/>
    <n v="0.44444444444444442"/>
    <n v="0.44444444444444442"/>
  </r>
  <r>
    <s v="12월"/>
    <s v="IT"/>
    <s v="강남"/>
    <s v="KDT"/>
    <s v="보안엔지니어링(20010206)"/>
    <n v="4"/>
    <s v="(정보보안)웹서버개발 및 웹보안 솔루션 구축 융합과정"/>
    <n v="130"/>
    <n v="1033"/>
    <d v="2025-12-29T00:00:00"/>
    <d v="2026-07-22T00:00:00"/>
    <n v="25"/>
    <n v="22"/>
    <n v="25"/>
    <n v="0.88"/>
    <n v="1"/>
  </r>
  <r>
    <s v="12월"/>
    <s v="게임"/>
    <s v="대전"/>
    <s v="국"/>
    <s v="게임콘텐츠제작(08030205)"/>
    <n v="1"/>
    <s v="(게임콘텐츠제작) 유니티 게임 프로그래머 양성과정A(2025)"/>
    <n v="175"/>
    <n v="870"/>
    <d v="2025-12-29T00:00:00"/>
    <d v="2026-10-27T00:00:00"/>
    <n v="20"/>
    <n v="7"/>
    <n v="13"/>
    <n v="0.35"/>
    <n v="0.65"/>
  </r>
  <r>
    <s v="12월"/>
    <s v="IT"/>
    <s v="강남"/>
    <s v="국"/>
    <s v="응용SW엔지니어링(20010202)"/>
    <n v="1"/>
    <s v="(디지털컨버전스) 공공데이터 융합 풀스택 개발자 양성과정S"/>
    <n v="114"/>
    <n v="900"/>
    <d v="2025-12-30T00:00:00"/>
    <d v="2026-06-19T00:00:00"/>
    <n v="21"/>
    <n v="11"/>
    <n v="12"/>
    <n v="0.52380952380952384"/>
    <n v="0.5714285714285714"/>
  </r>
  <r>
    <s v="12월"/>
    <s v="IT"/>
    <s v="강남"/>
    <s v="KDT"/>
    <s v="인공지능플랫폼구축(20010701)"/>
    <n v="3"/>
    <s v="랭체인을 활용한 AI 영상객체탐지분석 플랫폼 구축과정"/>
    <n v="139"/>
    <n v="1100"/>
    <d v="2025-12-30T00:00:00"/>
    <d v="2026-07-23T00:00:00"/>
    <n v="35"/>
    <n v="26"/>
    <n v="29"/>
    <n v="0.74285714285714288"/>
    <n v="0.82857142857142863"/>
  </r>
  <r>
    <s v="12월"/>
    <s v="게임"/>
    <s v="강남"/>
    <s v="국"/>
    <s v="게임콘텐츠제작(08030205)"/>
    <n v="1"/>
    <s v="(게임콘텐츠제작) 유니티게임프로그래머양성과정"/>
    <n v="145"/>
    <n v="870"/>
    <d v="2025-12-30T00:00:00"/>
    <d v="2026-07-31T00:00:00"/>
    <n v="20"/>
    <n v="14"/>
    <n v="17"/>
    <n v="0.7"/>
    <n v="0.85"/>
  </r>
  <r>
    <s v="12월"/>
    <s v="게임"/>
    <s v="광주"/>
    <s v="국"/>
    <s v="게임콘텐츠제작(08030205)"/>
    <n v="1"/>
    <s v="(게임콘텐츠제작)게임 프로그래머 양성과정"/>
    <n v="145"/>
    <n v="870"/>
    <d v="2025-12-31T00:00:00"/>
    <d v="2026-09-28T00:00:00"/>
    <n v="20"/>
    <n v="9"/>
    <n v="16"/>
    <n v="0.45"/>
    <n v="0.8"/>
  </r>
  <r>
    <s v="12월"/>
    <s v="IT"/>
    <s v="대전"/>
    <s v="산대특"/>
    <s v="응용SW엔지니어링(20010202)"/>
    <n v="1"/>
    <s v="[산대특] 바이브코딩을 활용한 AI 기반 웹풀스택 개발 과정"/>
    <n v="120"/>
    <n v="960"/>
    <d v="2025-12-31T00:00:00"/>
    <d v="2026-06-26T00:00:00"/>
    <n v="20"/>
    <n v="12"/>
    <n v="13"/>
    <n v="0.6"/>
    <n v="0.65"/>
  </r>
  <r>
    <s v="12월"/>
    <s v="승무원"/>
    <s v="강남"/>
    <s v="계"/>
    <s v="항공여객운송서비스(09040205)"/>
    <n v="3"/>
    <s v="항공사지상직CRS(예약발권)/DCS(탑승수속)과정"/>
    <n v="47"/>
    <n v="139"/>
    <d v="2025-12-30T00:00:00"/>
    <d v="2026-03-27T00:00:00"/>
    <n v="20"/>
    <n v="4"/>
    <n v="4"/>
    <n v="0.2"/>
    <n v="0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3D94B6-83CC-48C8-9870-38FFBC2EB95E}" name="피벗 테이블1" cacheId="2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C20" firstHeaderRow="1" firstDataRow="1" firstDataCol="0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피벗 테이블13" cacheId="1" applyNumberFormats="0" applyBorderFormats="0" applyFontFormats="0" applyPatternFormats="0" applyAlignmentFormats="0" applyWidthHeightFormats="1" dataCaption="값" updatedVersion="8" minRefreshableVersion="3" useAutoFormatting="1" itemPrintTitles="1" createdVersion="6" indent="0" outline="1" outlineData="1" multipleFieldFilters="0">
  <location ref="A4:F12" firstHeaderRow="0" firstDataRow="1" firstDataCol="1" rowPageCount="2" colPageCount="1"/>
  <pivotFields count="17">
    <pivotField showAll="0"/>
    <pivotField showAll="0"/>
    <pivotField axis="axisPage" multipleItemSelectionAllowed="1" showAll="0">
      <items count="7">
        <item x="0"/>
        <item x="2"/>
        <item x="3"/>
        <item x="1"/>
        <item x="4"/>
        <item x="5"/>
        <item t="default"/>
      </items>
    </pivotField>
    <pivotField axis="axisPage" multipleItemSelectionAllowed="1" showAll="0">
      <items count="21">
        <item x="5"/>
        <item x="1"/>
        <item x="3"/>
        <item x="8"/>
        <item x="6"/>
        <item x="0"/>
        <item x="7"/>
        <item x="4"/>
        <item x="9"/>
        <item x="2"/>
        <item x="10"/>
        <item x="11"/>
        <item x="12"/>
        <item x="13"/>
        <item x="14"/>
        <item x="19"/>
        <item x="16"/>
        <item x="15"/>
        <item x="17"/>
        <item x="18"/>
        <item t="default"/>
      </items>
    </pivotField>
    <pivotField axis="axisRow" showAll="0">
      <items count="8">
        <item x="2"/>
        <item x="3"/>
        <item x="4"/>
        <item x="1"/>
        <item x="0"/>
        <item x="5"/>
        <item x="6"/>
        <item t="default"/>
      </items>
    </pivotField>
    <pivotField showAll="0"/>
    <pivotField showAll="0"/>
    <pivotField dataField="1" showAll="0"/>
    <pivotField showAll="0"/>
    <pivotField showAll="0"/>
    <pivotField numFmtId="14" showAll="0"/>
    <pivotField numFmtId="14" showAll="0"/>
    <pivotField dataField="1" showAll="0"/>
    <pivotField dataField="1" showAll="0"/>
    <pivotField dataField="1" showAll="0"/>
    <pivotField dataField="1" numFmtId="9" showAll="0"/>
    <pivotField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2" hier="-1"/>
    <pageField fld="3" hier="-1"/>
  </pageFields>
  <dataFields count="5">
    <dataField name="개수 : 훈련과정명" fld="7" subtotal="count" baseField="0" baseItem="0"/>
    <dataField name="합계 : 정원" fld="12" baseField="0" baseItem="0"/>
    <dataField name="합계 : 확정인원" fld="13" baseField="0" baseItem="0"/>
    <dataField name="합계 : 신청인원" fld="14" baseField="4" baseItem="5"/>
    <dataField name="평균 : 모집률" fld="15" subtotal="average" baseField="4" baseItem="0" numFmtId="177"/>
  </dataFields>
  <formats count="2">
    <format dxfId="4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3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피벗 테이블1" cacheId="0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outline="1" outlineData="1" multipleFieldFilters="0">
  <location ref="A4:F13" firstHeaderRow="0" firstDataRow="1" firstDataCol="1" rowPageCount="2" colPageCount="1"/>
  <pivotFields count="17">
    <pivotField showAll="0"/>
    <pivotField showAll="0"/>
    <pivotField axis="axisPage" showAll="0">
      <items count="7">
        <item x="0"/>
        <item x="1"/>
        <item x="5"/>
        <item x="4"/>
        <item x="3"/>
        <item x="2"/>
        <item t="default"/>
      </items>
    </pivotField>
    <pivotField axis="axisPage" showAll="0">
      <items count="18">
        <item x="9"/>
        <item x="0"/>
        <item x="8"/>
        <item x="5"/>
        <item x="4"/>
        <item x="7"/>
        <item x="2"/>
        <item x="1"/>
        <item x="14"/>
        <item x="10"/>
        <item x="6"/>
        <item x="13"/>
        <item x="16"/>
        <item x="3"/>
        <item x="11"/>
        <item x="15"/>
        <item x="12"/>
        <item t="default"/>
      </items>
    </pivotField>
    <pivotField axis="axisRow" showAll="0">
      <items count="9">
        <item x="2"/>
        <item x="4"/>
        <item x="1"/>
        <item x="6"/>
        <item x="5"/>
        <item x="0"/>
        <item x="3"/>
        <item x="7"/>
        <item t="default"/>
      </items>
    </pivotField>
    <pivotField showAll="0"/>
    <pivotField showAll="0"/>
    <pivotField dataField="1" showAll="0"/>
    <pivotField showAll="0"/>
    <pivotField showAll="0"/>
    <pivotField numFmtId="14" showAll="0"/>
    <pivotField numFmtId="14" showAll="0"/>
    <pivotField dataField="1" showAll="0"/>
    <pivotField dataField="1" showAll="0"/>
    <pivotField dataField="1" showAll="0"/>
    <pivotField dataField="1" numFmtId="9" showAll="0"/>
    <pivotField numFmtId="9" showAll="0"/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2" hier="-1"/>
    <pageField fld="3" hier="-1"/>
  </pageFields>
  <dataFields count="5">
    <dataField name="개수 : 훈련과정명" fld="7" subtotal="count" baseField="0" baseItem="0"/>
    <dataField name="합계 : 정원" fld="12" baseField="0" baseItem="0"/>
    <dataField name="합계 : 확정인원" fld="13" baseField="0" baseItem="0"/>
    <dataField name="합계 : 신청인원" fld="14" baseField="0" baseItem="0"/>
    <dataField name="평균 : 모집률" fld="15" subtotal="average" baseField="4" baseItem="0" numFmtId="10"/>
  </dataFields>
  <formats count="3">
    <format dxfId="2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0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C000"/>
    <pageSetUpPr fitToPage="1"/>
  </sheetPr>
  <dimension ref="A1:AD57"/>
  <sheetViews>
    <sheetView topLeftCell="A30" zoomScale="85" zoomScaleNormal="85" workbookViewId="0">
      <selection activeCell="V56" sqref="V56"/>
    </sheetView>
  </sheetViews>
  <sheetFormatPr defaultRowHeight="16.5"/>
  <cols>
    <col min="1" max="1" width="3.125" customWidth="1"/>
    <col min="16" max="16" width="4" customWidth="1"/>
    <col min="19" max="30" width="8.875" customWidth="1"/>
  </cols>
  <sheetData>
    <row r="1" spans="2:30" ht="22.5" customHeight="1" thickBot="1">
      <c r="B1" s="4" t="s">
        <v>101</v>
      </c>
    </row>
    <row r="2" spans="2:30" ht="24.75" customHeight="1">
      <c r="B2" s="5" t="s">
        <v>15</v>
      </c>
      <c r="C2" s="6" t="s">
        <v>94</v>
      </c>
      <c r="D2" s="7" t="s">
        <v>16</v>
      </c>
      <c r="E2" s="8" t="s">
        <v>52</v>
      </c>
      <c r="F2" s="217" t="s">
        <v>95</v>
      </c>
      <c r="G2" s="8" t="s">
        <v>84</v>
      </c>
      <c r="H2" s="8" t="s">
        <v>86</v>
      </c>
      <c r="I2" s="8" t="s">
        <v>87</v>
      </c>
      <c r="J2" s="8" t="s">
        <v>88</v>
      </c>
      <c r="K2" s="8" t="s">
        <v>89</v>
      </c>
      <c r="L2" s="217" t="s">
        <v>90</v>
      </c>
      <c r="M2" s="8" t="s">
        <v>91</v>
      </c>
      <c r="N2" s="217" t="s">
        <v>92</v>
      </c>
      <c r="O2" s="8" t="s">
        <v>93</v>
      </c>
    </row>
    <row r="3" spans="2:30" ht="24.75" customHeight="1">
      <c r="B3" s="9" t="s">
        <v>96</v>
      </c>
      <c r="C3" s="15">
        <f>SUM(D3:O3)</f>
        <v>89</v>
      </c>
      <c r="D3" s="10">
        <v>3</v>
      </c>
      <c r="E3" s="221">
        <v>7</v>
      </c>
      <c r="F3" s="218">
        <v>10</v>
      </c>
      <c r="G3" s="3">
        <v>10</v>
      </c>
      <c r="H3" s="221">
        <v>9</v>
      </c>
      <c r="I3" s="3">
        <v>6</v>
      </c>
      <c r="J3" s="3">
        <v>4</v>
      </c>
      <c r="K3" s="3">
        <v>2</v>
      </c>
      <c r="L3" s="218">
        <v>8</v>
      </c>
      <c r="M3" s="3">
        <v>13</v>
      </c>
      <c r="N3" s="218">
        <v>3</v>
      </c>
      <c r="O3" s="221">
        <v>14</v>
      </c>
    </row>
    <row r="4" spans="2:30" ht="24.75" customHeight="1">
      <c r="B4" s="9" t="s">
        <v>97</v>
      </c>
      <c r="C4" s="15">
        <f>SUM(D4:O4)</f>
        <v>1979</v>
      </c>
      <c r="D4" s="10">
        <v>78</v>
      </c>
      <c r="E4" s="221">
        <v>148</v>
      </c>
      <c r="F4" s="218">
        <v>220</v>
      </c>
      <c r="G4" s="3">
        <v>221</v>
      </c>
      <c r="H4" s="221">
        <v>210</v>
      </c>
      <c r="I4" s="3">
        <v>168</v>
      </c>
      <c r="J4" s="3">
        <v>93</v>
      </c>
      <c r="K4" s="3">
        <v>56</v>
      </c>
      <c r="L4" s="218">
        <v>143</v>
      </c>
      <c r="M4" s="3">
        <v>275</v>
      </c>
      <c r="N4" s="218">
        <v>48</v>
      </c>
      <c r="O4" s="221">
        <v>319</v>
      </c>
    </row>
    <row r="5" spans="2:30" ht="24.75" customHeight="1">
      <c r="B5" s="9" t="s">
        <v>9</v>
      </c>
      <c r="C5" s="15">
        <f>SUM(D5:O5)</f>
        <v>1543</v>
      </c>
      <c r="D5" s="10">
        <v>65</v>
      </c>
      <c r="E5" s="221">
        <v>105</v>
      </c>
      <c r="F5" s="218">
        <v>196</v>
      </c>
      <c r="G5" s="3">
        <v>182</v>
      </c>
      <c r="H5" s="221">
        <v>128</v>
      </c>
      <c r="I5" s="3">
        <v>137</v>
      </c>
      <c r="J5" s="3">
        <v>71</v>
      </c>
      <c r="K5" s="3">
        <v>46</v>
      </c>
      <c r="L5" s="218">
        <v>126</v>
      </c>
      <c r="M5" s="3">
        <v>211</v>
      </c>
      <c r="N5" s="218">
        <v>42</v>
      </c>
      <c r="O5" s="221">
        <v>234</v>
      </c>
    </row>
    <row r="6" spans="2:30" ht="24.75" customHeight="1">
      <c r="B6" s="9" t="s">
        <v>98</v>
      </c>
      <c r="C6" s="15">
        <f>SUM(D6:O6)</f>
        <v>1903</v>
      </c>
      <c r="D6" s="10">
        <v>65</v>
      </c>
      <c r="E6" s="221">
        <v>160</v>
      </c>
      <c r="F6" s="218">
        <v>319</v>
      </c>
      <c r="G6" s="3">
        <v>293</v>
      </c>
      <c r="H6" s="221">
        <v>142</v>
      </c>
      <c r="I6" s="3">
        <v>156</v>
      </c>
      <c r="J6" s="3">
        <v>75</v>
      </c>
      <c r="K6" s="3">
        <v>51</v>
      </c>
      <c r="L6" s="218">
        <v>134</v>
      </c>
      <c r="M6" s="3">
        <v>216</v>
      </c>
      <c r="N6" s="218">
        <v>53</v>
      </c>
      <c r="O6" s="221">
        <v>239</v>
      </c>
      <c r="Q6" s="204"/>
    </row>
    <row r="7" spans="2:30" ht="24.75" customHeight="1">
      <c r="B7" s="9" t="s">
        <v>99</v>
      </c>
      <c r="C7" s="16">
        <f>C5/C4</f>
        <v>0.77968671045982818</v>
      </c>
      <c r="D7" s="11">
        <f>D5/D4</f>
        <v>0.83333333333333337</v>
      </c>
      <c r="E7" s="222">
        <f>E5/E4</f>
        <v>0.70945945945945943</v>
      </c>
      <c r="F7" s="219">
        <f>F5/F4</f>
        <v>0.89090909090909087</v>
      </c>
      <c r="G7" s="12">
        <f t="shared" ref="G7:O7" si="0">G5/G4</f>
        <v>0.82352941176470584</v>
      </c>
      <c r="H7" s="222">
        <f t="shared" si="0"/>
        <v>0.60952380952380958</v>
      </c>
      <c r="I7" s="12">
        <f t="shared" si="0"/>
        <v>0.81547619047619047</v>
      </c>
      <c r="J7" s="12">
        <f t="shared" si="0"/>
        <v>0.76344086021505375</v>
      </c>
      <c r="K7" s="12">
        <f t="shared" si="0"/>
        <v>0.8214285714285714</v>
      </c>
      <c r="L7" s="219">
        <f t="shared" si="0"/>
        <v>0.88111888111888115</v>
      </c>
      <c r="M7" s="12">
        <f t="shared" si="0"/>
        <v>0.76727272727272722</v>
      </c>
      <c r="N7" s="219">
        <f t="shared" si="0"/>
        <v>0.875</v>
      </c>
      <c r="O7" s="222">
        <f t="shared" si="0"/>
        <v>0.73354231974921635</v>
      </c>
    </row>
    <row r="8" spans="2:30" ht="24.75" customHeight="1" thickBot="1">
      <c r="B8" s="13" t="s">
        <v>100</v>
      </c>
      <c r="C8" s="17">
        <f t="shared" ref="C8:E8" si="1">C6/C4</f>
        <v>0.96159676604345634</v>
      </c>
      <c r="D8" s="239">
        <f t="shared" si="1"/>
        <v>0.83333333333333337</v>
      </c>
      <c r="E8" s="240">
        <f t="shared" si="1"/>
        <v>1.0810810810810811</v>
      </c>
      <c r="F8" s="220">
        <f>F6/F4</f>
        <v>1.45</v>
      </c>
      <c r="G8" s="241">
        <f t="shared" ref="G8:O8" si="2">G6/G4</f>
        <v>1.3257918552036199</v>
      </c>
      <c r="H8" s="240">
        <f t="shared" si="2"/>
        <v>0.67619047619047623</v>
      </c>
      <c r="I8" s="241">
        <f t="shared" si="2"/>
        <v>0.9285714285714286</v>
      </c>
      <c r="J8" s="241">
        <f t="shared" si="2"/>
        <v>0.80645161290322576</v>
      </c>
      <c r="K8" s="241">
        <f t="shared" si="2"/>
        <v>0.9107142857142857</v>
      </c>
      <c r="L8" s="220">
        <f t="shared" si="2"/>
        <v>0.93706293706293708</v>
      </c>
      <c r="M8" s="241">
        <f t="shared" si="2"/>
        <v>0.78545454545454541</v>
      </c>
      <c r="N8" s="220">
        <f t="shared" si="2"/>
        <v>1.1041666666666667</v>
      </c>
      <c r="O8" s="240">
        <f t="shared" si="2"/>
        <v>0.7492163009404389</v>
      </c>
    </row>
    <row r="9" spans="2:30" ht="17.25" thickBot="1">
      <c r="B9" s="1230" t="s">
        <v>366</v>
      </c>
      <c r="C9" s="1231"/>
      <c r="D9" s="238">
        <f>_xlfn.RANK.EQ(D7,$D$7:$O$7)</f>
        <v>4</v>
      </c>
      <c r="E9" s="242">
        <f t="shared" ref="E9:O9" si="3">_xlfn.RANK.EQ(E7,$D$7:$O$7)</f>
        <v>11</v>
      </c>
      <c r="F9" s="243">
        <f t="shared" si="3"/>
        <v>1</v>
      </c>
      <c r="G9" s="237">
        <f t="shared" si="3"/>
        <v>5</v>
      </c>
      <c r="H9" s="242">
        <f t="shared" si="3"/>
        <v>12</v>
      </c>
      <c r="I9" s="237">
        <f t="shared" si="3"/>
        <v>7</v>
      </c>
      <c r="J9" s="237">
        <f t="shared" si="3"/>
        <v>9</v>
      </c>
      <c r="K9" s="237">
        <f t="shared" si="3"/>
        <v>6</v>
      </c>
      <c r="L9" s="243">
        <f t="shared" si="3"/>
        <v>2</v>
      </c>
      <c r="M9" s="237">
        <f t="shared" si="3"/>
        <v>8</v>
      </c>
      <c r="N9" s="243">
        <f t="shared" si="3"/>
        <v>3</v>
      </c>
      <c r="O9" s="242">
        <f t="shared" si="3"/>
        <v>10</v>
      </c>
    </row>
    <row r="10" spans="2:30" ht="27.75" customHeight="1" thickBot="1">
      <c r="B10" s="4" t="s">
        <v>472</v>
      </c>
      <c r="Q10" s="4" t="s">
        <v>473</v>
      </c>
    </row>
    <row r="11" spans="2:30" ht="21.75" customHeight="1">
      <c r="B11" s="5" t="s">
        <v>15</v>
      </c>
      <c r="C11" s="6" t="s">
        <v>94</v>
      </c>
      <c r="D11" s="212" t="s">
        <v>16</v>
      </c>
      <c r="E11" s="211" t="s">
        <v>52</v>
      </c>
      <c r="F11" s="211" t="s">
        <v>95</v>
      </c>
      <c r="G11" s="217" t="s">
        <v>84</v>
      </c>
      <c r="H11" s="217" t="s">
        <v>86</v>
      </c>
      <c r="I11" s="8" t="s">
        <v>87</v>
      </c>
      <c r="J11" s="211" t="s">
        <v>88</v>
      </c>
      <c r="K11" s="217" t="s">
        <v>89</v>
      </c>
      <c r="L11" s="8" t="s">
        <v>90</v>
      </c>
      <c r="M11" s="211" t="s">
        <v>91</v>
      </c>
      <c r="N11" s="211" t="s">
        <v>92</v>
      </c>
      <c r="O11" s="8" t="s">
        <v>93</v>
      </c>
      <c r="Q11" s="5" t="s">
        <v>15</v>
      </c>
      <c r="R11" s="6" t="s">
        <v>94</v>
      </c>
      <c r="S11" s="7" t="s">
        <v>16</v>
      </c>
      <c r="T11" s="8" t="s">
        <v>1573</v>
      </c>
      <c r="U11" s="8" t="s">
        <v>95</v>
      </c>
      <c r="V11" s="217" t="s">
        <v>1574</v>
      </c>
      <c r="W11" s="217" t="s">
        <v>86</v>
      </c>
      <c r="X11" s="8" t="s">
        <v>87</v>
      </c>
      <c r="Y11" s="8" t="s">
        <v>88</v>
      </c>
      <c r="Z11" s="217" t="s">
        <v>89</v>
      </c>
      <c r="AA11" s="8" t="s">
        <v>90</v>
      </c>
      <c r="AB11" s="8" t="s">
        <v>91</v>
      </c>
      <c r="AC11" s="8" t="s">
        <v>92</v>
      </c>
      <c r="AD11" s="8" t="s">
        <v>93</v>
      </c>
    </row>
    <row r="12" spans="2:30" ht="24.75" customHeight="1">
      <c r="B12" s="9" t="s">
        <v>96</v>
      </c>
      <c r="C12" s="15">
        <f>SUM(D12:O12)</f>
        <v>149</v>
      </c>
      <c r="D12" s="10">
        <v>3</v>
      </c>
      <c r="E12" s="3">
        <v>9</v>
      </c>
      <c r="F12" s="3">
        <v>14</v>
      </c>
      <c r="G12" s="218">
        <f>15-1</f>
        <v>14</v>
      </c>
      <c r="H12" s="218">
        <v>9</v>
      </c>
      <c r="I12" s="221">
        <v>10</v>
      </c>
      <c r="J12" s="3">
        <f>15-2</f>
        <v>13</v>
      </c>
      <c r="K12" s="218">
        <v>11</v>
      </c>
      <c r="L12" s="221">
        <v>12</v>
      </c>
      <c r="M12" s="3">
        <f>10-2</f>
        <v>8</v>
      </c>
      <c r="N12" s="3">
        <v>19</v>
      </c>
      <c r="O12" s="221">
        <v>27</v>
      </c>
      <c r="Q12" s="9" t="s">
        <v>96</v>
      </c>
      <c r="R12" s="15">
        <f>SUM(S12:AD12)</f>
        <v>163</v>
      </c>
      <c r="S12" s="10">
        <v>3</v>
      </c>
      <c r="T12" s="3">
        <v>10</v>
      </c>
      <c r="U12" s="3">
        <v>17</v>
      </c>
      <c r="V12" s="218">
        <v>15</v>
      </c>
      <c r="W12" s="218">
        <v>10</v>
      </c>
      <c r="X12" s="221">
        <v>11</v>
      </c>
      <c r="Y12" s="3">
        <v>15</v>
      </c>
      <c r="Z12" s="218">
        <v>12</v>
      </c>
      <c r="AA12" s="221">
        <v>13</v>
      </c>
      <c r="AB12" s="3">
        <v>10</v>
      </c>
      <c r="AC12" s="3">
        <v>20</v>
      </c>
      <c r="AD12" s="221">
        <v>27</v>
      </c>
    </row>
    <row r="13" spans="2:30" ht="24.75" customHeight="1">
      <c r="B13" s="9" t="s">
        <v>1575</v>
      </c>
      <c r="C13" s="15">
        <f>SUM(D13:O13)</f>
        <v>3092</v>
      </c>
      <c r="D13" s="10">
        <v>95</v>
      </c>
      <c r="E13" s="3">
        <f>202-20</f>
        <v>182</v>
      </c>
      <c r="F13" s="3">
        <f>346-60</f>
        <v>286</v>
      </c>
      <c r="G13" s="218">
        <f>298-20</f>
        <v>278</v>
      </c>
      <c r="H13" s="218">
        <f>172-20</f>
        <v>152</v>
      </c>
      <c r="I13" s="221">
        <f>243-20</f>
        <v>223</v>
      </c>
      <c r="J13" s="3">
        <f>338-40</f>
        <v>298</v>
      </c>
      <c r="K13" s="218">
        <f>246-20</f>
        <v>226</v>
      </c>
      <c r="L13" s="244">
        <f>317-20</f>
        <v>297</v>
      </c>
      <c r="M13" s="3">
        <f>177-40</f>
        <v>137</v>
      </c>
      <c r="N13" s="3">
        <f>390-20</f>
        <v>370</v>
      </c>
      <c r="O13" s="221">
        <v>548</v>
      </c>
      <c r="Q13" s="9" t="s">
        <v>97</v>
      </c>
      <c r="R13" s="15">
        <f>SUM(S13:AD13)</f>
        <v>3372</v>
      </c>
      <c r="S13" s="10">
        <v>95</v>
      </c>
      <c r="T13" s="3">
        <v>202</v>
      </c>
      <c r="U13" s="3">
        <v>346</v>
      </c>
      <c r="V13" s="218">
        <v>298</v>
      </c>
      <c r="W13" s="218">
        <v>172</v>
      </c>
      <c r="X13" s="221">
        <v>243</v>
      </c>
      <c r="Y13" s="3">
        <v>338</v>
      </c>
      <c r="Z13" s="218">
        <v>246</v>
      </c>
      <c r="AA13" s="221">
        <v>317</v>
      </c>
      <c r="AB13" s="3">
        <v>177</v>
      </c>
      <c r="AC13" s="3">
        <v>390</v>
      </c>
      <c r="AD13" s="221">
        <v>548</v>
      </c>
    </row>
    <row r="14" spans="2:30" ht="24.75" customHeight="1">
      <c r="B14" s="9" t="s">
        <v>9</v>
      </c>
      <c r="C14" s="15">
        <f>SUM(D14:O14)</f>
        <v>2332</v>
      </c>
      <c r="D14" s="10">
        <v>72</v>
      </c>
      <c r="E14" s="3">
        <f>162-8</f>
        <v>154</v>
      </c>
      <c r="F14" s="3">
        <f>268-29</f>
        <v>239</v>
      </c>
      <c r="G14" s="218">
        <f>267-17</f>
        <v>250</v>
      </c>
      <c r="H14" s="218">
        <f>147-9</f>
        <v>138</v>
      </c>
      <c r="I14" s="221">
        <f>185-9</f>
        <v>176</v>
      </c>
      <c r="J14" s="3">
        <f>248-9</f>
        <v>239</v>
      </c>
      <c r="K14" s="218">
        <v>200</v>
      </c>
      <c r="L14" s="221">
        <f>197-12</f>
        <v>185</v>
      </c>
      <c r="M14" s="3">
        <v>92</v>
      </c>
      <c r="N14" s="3">
        <v>264</v>
      </c>
      <c r="O14" s="221">
        <v>323</v>
      </c>
      <c r="Q14" s="9" t="s">
        <v>9</v>
      </c>
      <c r="R14" s="15">
        <f>SUM(S14:AD14)</f>
        <v>2464</v>
      </c>
      <c r="S14" s="10">
        <v>72</v>
      </c>
      <c r="T14" s="3">
        <v>162</v>
      </c>
      <c r="U14" s="3">
        <v>268</v>
      </c>
      <c r="V14" s="218">
        <v>267</v>
      </c>
      <c r="W14" s="218">
        <v>147</v>
      </c>
      <c r="X14" s="221">
        <v>185</v>
      </c>
      <c r="Y14" s="3">
        <v>248</v>
      </c>
      <c r="Z14" s="218">
        <v>211</v>
      </c>
      <c r="AA14" s="221">
        <v>197</v>
      </c>
      <c r="AB14" s="3">
        <v>111</v>
      </c>
      <c r="AC14" s="3">
        <v>273</v>
      </c>
      <c r="AD14" s="221">
        <v>323</v>
      </c>
    </row>
    <row r="15" spans="2:30" ht="24.75" customHeight="1">
      <c r="B15" s="9" t="s">
        <v>98</v>
      </c>
      <c r="C15" s="15">
        <f>SUM(D15:O15)</f>
        <v>2679</v>
      </c>
      <c r="D15" s="10">
        <v>72</v>
      </c>
      <c r="E15" s="3">
        <v>168</v>
      </c>
      <c r="F15" s="3">
        <v>268</v>
      </c>
      <c r="G15" s="218">
        <v>269</v>
      </c>
      <c r="H15" s="218">
        <f>179-9</f>
        <v>170</v>
      </c>
      <c r="I15" s="221">
        <f>191-9</f>
        <v>182</v>
      </c>
      <c r="J15" s="3">
        <v>278</v>
      </c>
      <c r="K15" s="218">
        <v>225</v>
      </c>
      <c r="L15" s="221">
        <v>213</v>
      </c>
      <c r="M15" s="3">
        <v>128</v>
      </c>
      <c r="N15" s="3">
        <v>323</v>
      </c>
      <c r="O15" s="221">
        <v>383</v>
      </c>
      <c r="Q15" s="9" t="s">
        <v>98</v>
      </c>
      <c r="R15" s="15">
        <f>SUM(S15:AD15)</f>
        <v>2708</v>
      </c>
      <c r="S15" s="10">
        <v>72</v>
      </c>
      <c r="T15" s="3">
        <v>168</v>
      </c>
      <c r="U15" s="3">
        <v>268</v>
      </c>
      <c r="V15" s="218">
        <v>269</v>
      </c>
      <c r="W15" s="218">
        <v>179</v>
      </c>
      <c r="X15" s="221">
        <v>191</v>
      </c>
      <c r="Y15" s="3">
        <v>278</v>
      </c>
      <c r="Z15" s="218">
        <v>236</v>
      </c>
      <c r="AA15" s="221">
        <v>213</v>
      </c>
      <c r="AB15" s="3">
        <v>128</v>
      </c>
      <c r="AC15" s="3">
        <v>323</v>
      </c>
      <c r="AD15" s="221">
        <v>383</v>
      </c>
    </row>
    <row r="16" spans="2:30" ht="24.75" customHeight="1">
      <c r="B16" s="9" t="s">
        <v>1576</v>
      </c>
      <c r="C16" s="16">
        <f t="shared" ref="C16:H16" si="4">C14/C13</f>
        <v>0.75420439844760667</v>
      </c>
      <c r="D16" s="210">
        <f t="shared" si="4"/>
        <v>0.75789473684210529</v>
      </c>
      <c r="E16" s="209">
        <f t="shared" si="4"/>
        <v>0.84615384615384615</v>
      </c>
      <c r="F16" s="209">
        <f t="shared" si="4"/>
        <v>0.83566433566433562</v>
      </c>
      <c r="G16" s="219">
        <f t="shared" si="4"/>
        <v>0.89928057553956831</v>
      </c>
      <c r="H16" s="219">
        <f t="shared" si="4"/>
        <v>0.90789473684210531</v>
      </c>
      <c r="I16" s="222">
        <v>0.60599999999999998</v>
      </c>
      <c r="J16" s="209">
        <f t="shared" ref="J16:N16" si="5">J14/J13</f>
        <v>0.80201342281879195</v>
      </c>
      <c r="K16" s="219">
        <f t="shared" si="5"/>
        <v>0.88495575221238942</v>
      </c>
      <c r="L16" s="222">
        <f t="shared" si="5"/>
        <v>0.62289562289562295</v>
      </c>
      <c r="M16" s="209">
        <f t="shared" si="5"/>
        <v>0.67153284671532842</v>
      </c>
      <c r="N16" s="209">
        <f t="shared" si="5"/>
        <v>0.71351351351351355</v>
      </c>
      <c r="O16" s="222">
        <f>O14/O13</f>
        <v>0.58941605839416056</v>
      </c>
      <c r="Q16" s="9" t="s">
        <v>1576</v>
      </c>
      <c r="R16" s="16">
        <f>R14/R13</f>
        <v>0.730723606168446</v>
      </c>
      <c r="S16" s="210">
        <f t="shared" ref="S16:W16" si="6">S14/S13</f>
        <v>0.75789473684210529</v>
      </c>
      <c r="T16" s="209">
        <f t="shared" si="6"/>
        <v>0.80198019801980203</v>
      </c>
      <c r="U16" s="209">
        <f t="shared" si="6"/>
        <v>0.77456647398843925</v>
      </c>
      <c r="V16" s="219">
        <f t="shared" si="6"/>
        <v>0.89597315436241609</v>
      </c>
      <c r="W16" s="219">
        <f t="shared" si="6"/>
        <v>0.85465116279069764</v>
      </c>
      <c r="X16" s="222">
        <v>0.60599999999999998</v>
      </c>
      <c r="Y16" s="209">
        <f t="shared" ref="Y16:AD16" si="7">Y14/Y13</f>
        <v>0.73372781065088755</v>
      </c>
      <c r="Z16" s="219">
        <f t="shared" si="7"/>
        <v>0.85772357723577231</v>
      </c>
      <c r="AA16" s="222">
        <f t="shared" si="7"/>
        <v>0.62145110410094639</v>
      </c>
      <c r="AB16" s="209">
        <f t="shared" si="7"/>
        <v>0.6271186440677966</v>
      </c>
      <c r="AC16" s="209">
        <f t="shared" si="7"/>
        <v>0.7</v>
      </c>
      <c r="AD16" s="222">
        <f t="shared" si="7"/>
        <v>0.58941605839416056</v>
      </c>
    </row>
    <row r="17" spans="1:30" ht="24.75" customHeight="1" thickBot="1">
      <c r="B17" s="213" t="s">
        <v>1577</v>
      </c>
      <c r="C17" s="214">
        <f t="shared" ref="C17:O17" si="8">C15/C13</f>
        <v>0.86642949547218628</v>
      </c>
      <c r="D17" s="215">
        <f t="shared" si="8"/>
        <v>0.75789473684210529</v>
      </c>
      <c r="E17" s="216">
        <f t="shared" si="8"/>
        <v>0.92307692307692313</v>
      </c>
      <c r="F17" s="216">
        <f t="shared" si="8"/>
        <v>0.93706293706293708</v>
      </c>
      <c r="G17" s="220">
        <f t="shared" si="8"/>
        <v>0.96762589928057552</v>
      </c>
      <c r="H17" s="220">
        <f t="shared" si="8"/>
        <v>1.118421052631579</v>
      </c>
      <c r="I17" s="240">
        <f t="shared" si="8"/>
        <v>0.81614349775784756</v>
      </c>
      <c r="J17" s="216">
        <f t="shared" si="8"/>
        <v>0.93288590604026844</v>
      </c>
      <c r="K17" s="220">
        <f t="shared" si="8"/>
        <v>0.99557522123893805</v>
      </c>
      <c r="L17" s="240">
        <f t="shared" si="8"/>
        <v>0.71717171717171713</v>
      </c>
      <c r="M17" s="216">
        <f t="shared" si="8"/>
        <v>0.93430656934306566</v>
      </c>
      <c r="N17" s="216">
        <f t="shared" si="8"/>
        <v>0.87297297297297294</v>
      </c>
      <c r="O17" s="240">
        <f t="shared" si="8"/>
        <v>0.69890510948905105</v>
      </c>
      <c r="Q17" s="13" t="s">
        <v>1577</v>
      </c>
      <c r="R17" s="17">
        <f>R15/R13</f>
        <v>0.8030842230130486</v>
      </c>
      <c r="S17" s="215">
        <f t="shared" ref="S17:AD17" si="9">S15/S13</f>
        <v>0.75789473684210529</v>
      </c>
      <c r="T17" s="216">
        <f t="shared" si="9"/>
        <v>0.83168316831683164</v>
      </c>
      <c r="U17" s="216">
        <f t="shared" si="9"/>
        <v>0.77456647398843925</v>
      </c>
      <c r="V17" s="220">
        <f t="shared" si="9"/>
        <v>0.90268456375838924</v>
      </c>
      <c r="W17" s="220">
        <f t="shared" si="9"/>
        <v>1.0406976744186047</v>
      </c>
      <c r="X17" s="240">
        <f t="shared" si="9"/>
        <v>0.78600823045267487</v>
      </c>
      <c r="Y17" s="216">
        <f t="shared" si="9"/>
        <v>0.8224852071005917</v>
      </c>
      <c r="Z17" s="220">
        <f t="shared" si="9"/>
        <v>0.95934959349593496</v>
      </c>
      <c r="AA17" s="240">
        <f t="shared" si="9"/>
        <v>0.67192429022082023</v>
      </c>
      <c r="AB17" s="216">
        <f t="shared" si="9"/>
        <v>0.7231638418079096</v>
      </c>
      <c r="AC17" s="216">
        <f t="shared" si="9"/>
        <v>0.82820512820512826</v>
      </c>
      <c r="AD17" s="240">
        <f t="shared" si="9"/>
        <v>0.69890510948905105</v>
      </c>
    </row>
    <row r="18" spans="1:30" ht="17.25" thickBot="1">
      <c r="B18" s="1230" t="s">
        <v>366</v>
      </c>
      <c r="C18" s="1231"/>
      <c r="D18" s="238">
        <f>_xlfn.RANK.EQ(D16,$D$16:$O$16)</f>
        <v>7</v>
      </c>
      <c r="E18" s="237">
        <f t="shared" ref="E18:O18" si="10">_xlfn.RANK.EQ(E16,$D$16:$O$16)</f>
        <v>4</v>
      </c>
      <c r="F18" s="237">
        <f t="shared" si="10"/>
        <v>5</v>
      </c>
      <c r="G18" s="243">
        <f t="shared" si="10"/>
        <v>2</v>
      </c>
      <c r="H18" s="243">
        <f t="shared" si="10"/>
        <v>1</v>
      </c>
      <c r="I18" s="242">
        <f t="shared" si="10"/>
        <v>11</v>
      </c>
      <c r="J18" s="237">
        <f t="shared" si="10"/>
        <v>6</v>
      </c>
      <c r="K18" s="243">
        <f t="shared" si="10"/>
        <v>3</v>
      </c>
      <c r="L18" s="242">
        <f t="shared" si="10"/>
        <v>10</v>
      </c>
      <c r="M18" s="237">
        <f t="shared" si="10"/>
        <v>9</v>
      </c>
      <c r="N18" s="237">
        <f t="shared" si="10"/>
        <v>8</v>
      </c>
      <c r="O18" s="242">
        <f t="shared" si="10"/>
        <v>12</v>
      </c>
      <c r="Q18" s="1230" t="s">
        <v>1578</v>
      </c>
      <c r="R18" s="1231"/>
      <c r="S18" s="238">
        <f>_xlfn.RANK.EQ(S16,$S$16:$AD$16)</f>
        <v>6</v>
      </c>
      <c r="T18" s="238">
        <f t="shared" ref="T18:AD18" si="11">_xlfn.RANK.EQ(T16,$S$16:$AD$16)</f>
        <v>4</v>
      </c>
      <c r="U18" s="238">
        <f t="shared" si="11"/>
        <v>5</v>
      </c>
      <c r="V18" s="287">
        <f t="shared" si="11"/>
        <v>1</v>
      </c>
      <c r="W18" s="287">
        <f t="shared" si="11"/>
        <v>3</v>
      </c>
      <c r="X18" s="288">
        <f t="shared" si="11"/>
        <v>11</v>
      </c>
      <c r="Y18" s="238">
        <f t="shared" si="11"/>
        <v>7</v>
      </c>
      <c r="Z18" s="287">
        <f t="shared" si="11"/>
        <v>2</v>
      </c>
      <c r="AA18" s="288">
        <f t="shared" si="11"/>
        <v>10</v>
      </c>
      <c r="AB18" s="238">
        <f t="shared" si="11"/>
        <v>9</v>
      </c>
      <c r="AC18" s="238">
        <f t="shared" si="11"/>
        <v>8</v>
      </c>
      <c r="AD18" s="288">
        <f t="shared" si="11"/>
        <v>12</v>
      </c>
    </row>
    <row r="19" spans="1:30" s="479" customFormat="1" ht="25.5" customHeight="1" thickBot="1">
      <c r="B19" s="478" t="s">
        <v>872</v>
      </c>
      <c r="Q19" s="478" t="s">
        <v>871</v>
      </c>
    </row>
    <row r="20" spans="1:30" ht="22.5" customHeight="1">
      <c r="A20" s="479"/>
      <c r="B20" s="5" t="s">
        <v>1579</v>
      </c>
      <c r="C20" s="6" t="s">
        <v>1580</v>
      </c>
      <c r="D20" s="431" t="s">
        <v>16</v>
      </c>
      <c r="E20" s="217" t="s">
        <v>52</v>
      </c>
      <c r="F20" s="286" t="s">
        <v>95</v>
      </c>
      <c r="G20" s="286" t="s">
        <v>84</v>
      </c>
      <c r="H20" s="286" t="s">
        <v>86</v>
      </c>
      <c r="I20" s="457" t="s">
        <v>87</v>
      </c>
      <c r="J20" s="286" t="s">
        <v>88</v>
      </c>
      <c r="K20" s="217" t="s">
        <v>89</v>
      </c>
      <c r="L20" s="286" t="s">
        <v>90</v>
      </c>
      <c r="M20" s="8" t="s">
        <v>91</v>
      </c>
      <c r="N20" s="8" t="s">
        <v>92</v>
      </c>
      <c r="O20" s="8" t="s">
        <v>93</v>
      </c>
      <c r="P20" s="479"/>
      <c r="Q20" s="5" t="s">
        <v>1579</v>
      </c>
      <c r="R20" s="6" t="s">
        <v>1580</v>
      </c>
      <c r="S20" s="431" t="s">
        <v>16</v>
      </c>
      <c r="T20" s="286" t="s">
        <v>52</v>
      </c>
      <c r="U20" s="217" t="s">
        <v>1581</v>
      </c>
      <c r="V20" s="286" t="s">
        <v>1574</v>
      </c>
      <c r="W20" s="286" t="s">
        <v>86</v>
      </c>
      <c r="X20" s="286" t="s">
        <v>87</v>
      </c>
      <c r="Y20" s="286" t="s">
        <v>88</v>
      </c>
      <c r="Z20" s="217" t="s">
        <v>89</v>
      </c>
      <c r="AA20" s="286" t="s">
        <v>90</v>
      </c>
      <c r="AB20" s="8" t="s">
        <v>91</v>
      </c>
      <c r="AC20" s="8" t="s">
        <v>92</v>
      </c>
      <c r="AD20" s="8" t="s">
        <v>93</v>
      </c>
    </row>
    <row r="21" spans="1:30" ht="22.5" customHeight="1">
      <c r="A21" s="479"/>
      <c r="B21" s="9" t="s">
        <v>96</v>
      </c>
      <c r="C21" s="15">
        <f>SUM(D21:O21)</f>
        <v>158</v>
      </c>
      <c r="D21" s="432">
        <v>4</v>
      </c>
      <c r="E21" s="218">
        <v>5</v>
      </c>
      <c r="F21" s="3">
        <v>16</v>
      </c>
      <c r="G21" s="3">
        <v>17</v>
      </c>
      <c r="H21" s="3">
        <v>19</v>
      </c>
      <c r="I21" s="3">
        <v>14</v>
      </c>
      <c r="J21" s="3">
        <v>16</v>
      </c>
      <c r="K21" s="218">
        <v>9</v>
      </c>
      <c r="L21" s="3">
        <v>19</v>
      </c>
      <c r="M21" s="221">
        <v>5</v>
      </c>
      <c r="N21" s="221">
        <v>12</v>
      </c>
      <c r="O21" s="221">
        <v>22</v>
      </c>
      <c r="P21" s="479"/>
      <c r="Q21" s="9" t="s">
        <v>96</v>
      </c>
      <c r="R21" s="15">
        <f>SUM(S21:AD21)</f>
        <v>173</v>
      </c>
      <c r="S21" s="432">
        <v>4</v>
      </c>
      <c r="T21" s="3">
        <v>7</v>
      </c>
      <c r="U21" s="218">
        <v>17</v>
      </c>
      <c r="V21" s="3">
        <v>18</v>
      </c>
      <c r="W21" s="3">
        <v>21</v>
      </c>
      <c r="X21" s="3">
        <v>15</v>
      </c>
      <c r="Y21" s="3">
        <v>17</v>
      </c>
      <c r="Z21" s="218">
        <v>11</v>
      </c>
      <c r="AA21" s="3">
        <v>20</v>
      </c>
      <c r="AB21" s="221">
        <v>6</v>
      </c>
      <c r="AC21" s="221">
        <v>13</v>
      </c>
      <c r="AD21" s="221">
        <v>24</v>
      </c>
    </row>
    <row r="22" spans="1:30" ht="22.5" customHeight="1">
      <c r="A22" s="479"/>
      <c r="B22" s="9" t="s">
        <v>1582</v>
      </c>
      <c r="C22" s="15">
        <f>SUM(D22:O22)</f>
        <v>3296</v>
      </c>
      <c r="D22" s="432">
        <v>120</v>
      </c>
      <c r="E22" s="218">
        <v>98</v>
      </c>
      <c r="F22" s="553">
        <v>316</v>
      </c>
      <c r="G22" s="553">
        <v>334</v>
      </c>
      <c r="H22" s="553">
        <v>388</v>
      </c>
      <c r="I22" s="553">
        <v>278</v>
      </c>
      <c r="J22" s="553">
        <v>367</v>
      </c>
      <c r="K22" s="218">
        <v>192</v>
      </c>
      <c r="L22" s="553">
        <v>350</v>
      </c>
      <c r="M22" s="221">
        <v>100</v>
      </c>
      <c r="N22" s="221">
        <v>262</v>
      </c>
      <c r="O22" s="221">
        <v>491</v>
      </c>
      <c r="P22" s="479"/>
      <c r="Q22" s="9" t="s">
        <v>1583</v>
      </c>
      <c r="R22" s="15">
        <f>SUM(S22:AD22)</f>
        <v>3596</v>
      </c>
      <c r="S22" s="432">
        <v>120</v>
      </c>
      <c r="T22" s="3">
        <v>138</v>
      </c>
      <c r="U22" s="218">
        <v>336</v>
      </c>
      <c r="V22" s="3">
        <v>354</v>
      </c>
      <c r="W22" s="3">
        <v>428</v>
      </c>
      <c r="X22" s="3">
        <v>298</v>
      </c>
      <c r="Y22" s="3">
        <v>387</v>
      </c>
      <c r="Z22" s="218">
        <v>232</v>
      </c>
      <c r="AA22" s="3">
        <v>370</v>
      </c>
      <c r="AB22" s="221">
        <v>120</v>
      </c>
      <c r="AC22" s="221">
        <v>282</v>
      </c>
      <c r="AD22" s="221">
        <v>531</v>
      </c>
    </row>
    <row r="23" spans="1:30" ht="22.5" customHeight="1">
      <c r="A23" s="479"/>
      <c r="B23" s="9" t="s">
        <v>9</v>
      </c>
      <c r="C23" s="15">
        <f>SUM(D23:O23)</f>
        <v>2351</v>
      </c>
      <c r="D23" s="432">
        <v>111</v>
      </c>
      <c r="E23" s="218">
        <v>81</v>
      </c>
      <c r="F23" s="553">
        <v>246</v>
      </c>
      <c r="G23" s="553">
        <v>241</v>
      </c>
      <c r="H23" s="553">
        <v>281</v>
      </c>
      <c r="I23" s="553">
        <v>193</v>
      </c>
      <c r="J23" s="553">
        <v>254</v>
      </c>
      <c r="K23" s="218">
        <v>158</v>
      </c>
      <c r="L23" s="553">
        <v>251</v>
      </c>
      <c r="M23" s="221">
        <v>55</v>
      </c>
      <c r="N23" s="221">
        <v>178</v>
      </c>
      <c r="O23" s="221">
        <v>302</v>
      </c>
      <c r="P23" s="479"/>
      <c r="Q23" s="9" t="s">
        <v>9</v>
      </c>
      <c r="R23" s="15">
        <f>SUM(S23:AD23)</f>
        <v>2508</v>
      </c>
      <c r="S23" s="432">
        <v>111</v>
      </c>
      <c r="T23" s="3">
        <v>97</v>
      </c>
      <c r="U23" s="218">
        <v>254</v>
      </c>
      <c r="V23" s="3">
        <v>250</v>
      </c>
      <c r="W23" s="3">
        <v>301</v>
      </c>
      <c r="X23" s="3">
        <v>204</v>
      </c>
      <c r="Y23" s="3">
        <v>268</v>
      </c>
      <c r="Z23" s="218">
        <v>177</v>
      </c>
      <c r="AA23" s="3">
        <v>264</v>
      </c>
      <c r="AB23" s="221">
        <f>55+14</f>
        <v>69</v>
      </c>
      <c r="AC23" s="221">
        <v>183</v>
      </c>
      <c r="AD23" s="221">
        <v>330</v>
      </c>
    </row>
    <row r="24" spans="1:30" ht="22.5" customHeight="1">
      <c r="A24" s="479"/>
      <c r="B24" s="9" t="s">
        <v>1584</v>
      </c>
      <c r="C24" s="15">
        <f>SUM(D24:O24)</f>
        <v>2730</v>
      </c>
      <c r="D24" s="432">
        <v>121</v>
      </c>
      <c r="E24" s="218">
        <v>93</v>
      </c>
      <c r="F24" s="3">
        <v>267</v>
      </c>
      <c r="G24" s="3">
        <v>274</v>
      </c>
      <c r="H24" s="3">
        <v>329</v>
      </c>
      <c r="I24" s="3">
        <v>251</v>
      </c>
      <c r="J24" s="3">
        <v>279</v>
      </c>
      <c r="K24" s="218">
        <v>173</v>
      </c>
      <c r="L24" s="3">
        <v>315</v>
      </c>
      <c r="M24" s="221">
        <v>89</v>
      </c>
      <c r="N24" s="221">
        <v>203</v>
      </c>
      <c r="O24" s="221">
        <v>336</v>
      </c>
      <c r="P24" s="479"/>
      <c r="Q24" s="9" t="s">
        <v>1585</v>
      </c>
      <c r="R24" s="15">
        <f>SUM(S24:AD24)</f>
        <v>2887</v>
      </c>
      <c r="S24" s="432">
        <v>121</v>
      </c>
      <c r="T24" s="3">
        <v>109</v>
      </c>
      <c r="U24" s="218">
        <v>275</v>
      </c>
      <c r="V24" s="3">
        <v>283</v>
      </c>
      <c r="W24" s="3">
        <v>349</v>
      </c>
      <c r="X24" s="3">
        <v>262</v>
      </c>
      <c r="Y24" s="3">
        <v>293</v>
      </c>
      <c r="Z24" s="218">
        <v>192</v>
      </c>
      <c r="AA24" s="3">
        <v>328</v>
      </c>
      <c r="AB24" s="221">
        <f>89+14</f>
        <v>103</v>
      </c>
      <c r="AC24" s="221">
        <v>208</v>
      </c>
      <c r="AD24" s="221">
        <v>364</v>
      </c>
    </row>
    <row r="25" spans="1:30" ht="22.5" customHeight="1">
      <c r="A25" s="479"/>
      <c r="B25" s="9" t="s">
        <v>1586</v>
      </c>
      <c r="C25" s="16">
        <f>C23/C22</f>
        <v>0.71328883495145634</v>
      </c>
      <c r="D25" s="433">
        <f>D23/D22</f>
        <v>0.92500000000000004</v>
      </c>
      <c r="E25" s="435">
        <f>E23/E22</f>
        <v>0.82653061224489799</v>
      </c>
      <c r="F25" s="306">
        <f t="shared" ref="F25:O26" si="12">F23/F22</f>
        <v>0.77848101265822789</v>
      </c>
      <c r="G25" s="306">
        <f t="shared" si="12"/>
        <v>0.72155688622754488</v>
      </c>
      <c r="H25" s="306">
        <f t="shared" si="12"/>
        <v>0.72422680412371132</v>
      </c>
      <c r="I25" s="306">
        <f t="shared" si="12"/>
        <v>0.69424460431654678</v>
      </c>
      <c r="J25" s="306">
        <f t="shared" si="12"/>
        <v>0.69209809264305178</v>
      </c>
      <c r="K25" s="435">
        <f t="shared" si="12"/>
        <v>0.82291666666666663</v>
      </c>
      <c r="L25" s="306">
        <f t="shared" si="12"/>
        <v>0.71714285714285719</v>
      </c>
      <c r="M25" s="436">
        <f t="shared" si="12"/>
        <v>0.55000000000000004</v>
      </c>
      <c r="N25" s="436">
        <f t="shared" si="12"/>
        <v>0.67938931297709926</v>
      </c>
      <c r="O25" s="436">
        <f t="shared" si="12"/>
        <v>0.61507128309572301</v>
      </c>
      <c r="P25" s="479"/>
      <c r="Q25" s="307" t="s">
        <v>1586</v>
      </c>
      <c r="R25" s="16">
        <f>R23/R22</f>
        <v>0.69744160177975534</v>
      </c>
      <c r="S25" s="433">
        <f>S23/S22</f>
        <v>0.92500000000000004</v>
      </c>
      <c r="T25" s="306">
        <f>T23/T22</f>
        <v>0.70289855072463769</v>
      </c>
      <c r="U25" s="435">
        <f t="shared" ref="U25:AC25" si="13">U23/U22</f>
        <v>0.75595238095238093</v>
      </c>
      <c r="V25" s="306">
        <f t="shared" si="13"/>
        <v>0.70621468926553677</v>
      </c>
      <c r="W25" s="306">
        <f t="shared" si="13"/>
        <v>0.70327102803738317</v>
      </c>
      <c r="X25" s="306">
        <f t="shared" si="13"/>
        <v>0.68456375838926176</v>
      </c>
      <c r="Y25" s="306">
        <f t="shared" si="13"/>
        <v>0.69250645994832039</v>
      </c>
      <c r="Z25" s="435">
        <f t="shared" si="13"/>
        <v>0.76293103448275867</v>
      </c>
      <c r="AA25" s="306">
        <f t="shared" si="13"/>
        <v>0.71351351351351355</v>
      </c>
      <c r="AB25" s="436">
        <f t="shared" si="13"/>
        <v>0.57499999999999996</v>
      </c>
      <c r="AC25" s="436">
        <f t="shared" si="13"/>
        <v>0.64893617021276595</v>
      </c>
      <c r="AD25" s="436">
        <f>AD23/AD22</f>
        <v>0.62146892655367236</v>
      </c>
    </row>
    <row r="26" spans="1:30" ht="22.5" customHeight="1" thickBot="1">
      <c r="A26" s="479"/>
      <c r="B26" s="13" t="s">
        <v>1577</v>
      </c>
      <c r="C26" s="17">
        <f>C24/C22</f>
        <v>0.82827669902912626</v>
      </c>
      <c r="D26" s="434">
        <f>D24/D22</f>
        <v>1.0083333333333333</v>
      </c>
      <c r="E26" s="220">
        <f>E24/E22</f>
        <v>0.94897959183673475</v>
      </c>
      <c r="F26" s="216">
        <f t="shared" ref="F26:I26" si="14">F24/F22</f>
        <v>0.84493670886075944</v>
      </c>
      <c r="G26" s="216">
        <f t="shared" si="14"/>
        <v>0.82035928143712578</v>
      </c>
      <c r="H26" s="216">
        <f t="shared" si="14"/>
        <v>0.84793814432989689</v>
      </c>
      <c r="I26" s="216">
        <f t="shared" si="14"/>
        <v>0.90287769784172667</v>
      </c>
      <c r="J26" s="209">
        <f t="shared" si="12"/>
        <v>1.0984251968503937</v>
      </c>
      <c r="K26" s="219">
        <f t="shared" si="12"/>
        <v>1.0949367088607596</v>
      </c>
      <c r="L26" s="209">
        <f t="shared" si="12"/>
        <v>1.2549800796812749</v>
      </c>
      <c r="M26" s="222">
        <f t="shared" si="12"/>
        <v>1.6181818181818182</v>
      </c>
      <c r="N26" s="222">
        <f t="shared" si="12"/>
        <v>1.1404494382022472</v>
      </c>
      <c r="O26" s="222">
        <f t="shared" si="12"/>
        <v>1.1125827814569536</v>
      </c>
      <c r="P26" s="479"/>
      <c r="Q26" s="13" t="s">
        <v>100</v>
      </c>
      <c r="R26" s="17">
        <f>R24/R22</f>
        <v>0.80283648498331484</v>
      </c>
      <c r="S26" s="434">
        <f>S24/S22</f>
        <v>1.0083333333333333</v>
      </c>
      <c r="T26" s="216">
        <f>T24/T22</f>
        <v>0.78985507246376807</v>
      </c>
      <c r="U26" s="220">
        <f t="shared" ref="U26:X26" si="15">U24/U22</f>
        <v>0.81845238095238093</v>
      </c>
      <c r="V26" s="216">
        <f t="shared" si="15"/>
        <v>0.79943502824858759</v>
      </c>
      <c r="W26" s="216">
        <f t="shared" si="15"/>
        <v>0.81542056074766356</v>
      </c>
      <c r="X26" s="216">
        <f t="shared" si="15"/>
        <v>0.87919463087248317</v>
      </c>
      <c r="Y26" s="209">
        <f>Y24/Y23</f>
        <v>1.0932835820895523</v>
      </c>
      <c r="Z26" s="219">
        <f>Z24/Z23</f>
        <v>1.0847457627118644</v>
      </c>
      <c r="AA26" s="209">
        <f>AA24/AA23</f>
        <v>1.2424242424242424</v>
      </c>
      <c r="AB26" s="222">
        <f>AB24/AB23</f>
        <v>1.4927536231884058</v>
      </c>
      <c r="AC26" s="222">
        <f>AC24/AC23</f>
        <v>1.1366120218579234</v>
      </c>
      <c r="AD26" s="222">
        <f>AD24/AD23</f>
        <v>1.103030303030303</v>
      </c>
    </row>
    <row r="27" spans="1:30" ht="17.25" customHeight="1" thickBot="1">
      <c r="A27" s="479"/>
      <c r="B27" s="1230" t="s">
        <v>1587</v>
      </c>
      <c r="C27" s="1231"/>
      <c r="D27" s="287">
        <f>_xlfn.RANK.EQ($D$25,$D$25:$O$25)</f>
        <v>1</v>
      </c>
      <c r="E27" s="287">
        <f>_xlfn.RANK.EQ($E$25,$D$25:$O$25)</f>
        <v>2</v>
      </c>
      <c r="F27" s="238">
        <f>_xlfn.RANK.EQ(F25,$D$25:$O$25)</f>
        <v>4</v>
      </c>
      <c r="G27" s="238">
        <f t="shared" ref="G27:O27" si="16">_xlfn.RANK.EQ(G25,$D$25:$O$25)</f>
        <v>6</v>
      </c>
      <c r="H27" s="238">
        <f t="shared" si="16"/>
        <v>5</v>
      </c>
      <c r="I27" s="238">
        <f t="shared" si="16"/>
        <v>8</v>
      </c>
      <c r="J27" s="238">
        <f t="shared" si="16"/>
        <v>9</v>
      </c>
      <c r="K27" s="287">
        <f t="shared" si="16"/>
        <v>3</v>
      </c>
      <c r="L27" s="238">
        <f t="shared" si="16"/>
        <v>7</v>
      </c>
      <c r="M27" s="288">
        <f t="shared" si="16"/>
        <v>12</v>
      </c>
      <c r="N27" s="288">
        <f>_xlfn.RANK.EQ(N25,$D$25:$O$25)</f>
        <v>10</v>
      </c>
      <c r="O27" s="288">
        <f t="shared" si="16"/>
        <v>11</v>
      </c>
      <c r="P27" s="479"/>
      <c r="Q27" s="1230" t="s">
        <v>1587</v>
      </c>
      <c r="R27" s="1231"/>
      <c r="S27" s="287">
        <f>_xlfn.RANK.EQ($S$25,$S$25:$AD$25)</f>
        <v>1</v>
      </c>
      <c r="T27" s="238">
        <f>_xlfn.RANK.EQ($T$25,$S$25:$AD$25)</f>
        <v>7</v>
      </c>
      <c r="U27" s="287">
        <f>_xlfn.RANK.EQ($U$25,$S$25:$AD$25)</f>
        <v>3</v>
      </c>
      <c r="V27" s="238">
        <f>_xlfn.RANK.EQ($V$25,$S$25:$AD$25)</f>
        <v>5</v>
      </c>
      <c r="W27" s="238">
        <f>_xlfn.RANK.EQ($W$25,$S$25:$AD$25)</f>
        <v>6</v>
      </c>
      <c r="X27" s="238">
        <f>_xlfn.RANK.EQ($X$25,$S$25:$AD$25)</f>
        <v>9</v>
      </c>
      <c r="Y27" s="238">
        <f>_xlfn.RANK.EQ($Y$25,$S$25:$AD$25)</f>
        <v>8</v>
      </c>
      <c r="Z27" s="287">
        <f>_xlfn.RANK.EQ($Z$25,$S$25:$AD$25)</f>
        <v>2</v>
      </c>
      <c r="AA27" s="238">
        <f>_xlfn.RANK.EQ(AA25,$S$25:$AD$25)</f>
        <v>4</v>
      </c>
      <c r="AB27" s="288">
        <f>_xlfn.RANK.EQ(AB25,$S$25:$AD$25)</f>
        <v>12</v>
      </c>
      <c r="AC27" s="288">
        <f t="shared" ref="AC27:AD27" si="17">_xlfn.RANK.EQ(AC25,$S$25:$AD$25)</f>
        <v>10</v>
      </c>
      <c r="AD27" s="288">
        <f t="shared" si="17"/>
        <v>11</v>
      </c>
    </row>
    <row r="28" spans="1:30" ht="25.5" customHeight="1" thickBot="1">
      <c r="B28" s="4" t="s">
        <v>1588</v>
      </c>
      <c r="Q28" s="4" t="s">
        <v>1589</v>
      </c>
    </row>
    <row r="29" spans="1:30" ht="22.5" customHeight="1">
      <c r="B29" s="5" t="s">
        <v>1432</v>
      </c>
      <c r="C29" s="6" t="s">
        <v>1590</v>
      </c>
      <c r="D29" s="456" t="s">
        <v>1591</v>
      </c>
      <c r="E29" s="217" t="s">
        <v>1592</v>
      </c>
      <c r="F29" s="457" t="s">
        <v>1593</v>
      </c>
      <c r="G29" s="217" t="s">
        <v>1594</v>
      </c>
      <c r="H29" s="457" t="s">
        <v>86</v>
      </c>
      <c r="I29" s="457" t="s">
        <v>87</v>
      </c>
      <c r="J29" s="457" t="s">
        <v>88</v>
      </c>
      <c r="K29" s="457" t="s">
        <v>89</v>
      </c>
      <c r="L29" s="457" t="s">
        <v>90</v>
      </c>
      <c r="M29" s="457" t="s">
        <v>91</v>
      </c>
      <c r="N29" s="457" t="s">
        <v>92</v>
      </c>
      <c r="O29" s="217" t="s">
        <v>93</v>
      </c>
      <c r="Q29" s="5" t="s">
        <v>1537</v>
      </c>
      <c r="R29" s="6" t="s">
        <v>1590</v>
      </c>
      <c r="S29" s="456" t="s">
        <v>1595</v>
      </c>
      <c r="T29" s="217" t="s">
        <v>1592</v>
      </c>
      <c r="U29" s="457" t="s">
        <v>1596</v>
      </c>
      <c r="V29" s="217" t="s">
        <v>1574</v>
      </c>
      <c r="W29" s="457" t="s">
        <v>86</v>
      </c>
      <c r="X29" s="457" t="s">
        <v>87</v>
      </c>
      <c r="Y29" s="457" t="s">
        <v>88</v>
      </c>
      <c r="Z29" s="457" t="s">
        <v>89</v>
      </c>
      <c r="AA29" s="457" t="s">
        <v>90</v>
      </c>
      <c r="AB29" s="457" t="s">
        <v>91</v>
      </c>
      <c r="AC29" s="457" t="s">
        <v>92</v>
      </c>
      <c r="AD29" s="217" t="s">
        <v>93</v>
      </c>
    </row>
    <row r="30" spans="1:30" ht="22.5" customHeight="1">
      <c r="B30" s="9" t="s">
        <v>1597</v>
      </c>
      <c r="C30" s="15">
        <f>SUM(D30:O30)</f>
        <v>145</v>
      </c>
      <c r="D30" s="10">
        <v>4</v>
      </c>
      <c r="E30" s="218">
        <v>11</v>
      </c>
      <c r="F30" s="3">
        <v>20</v>
      </c>
      <c r="G30" s="218">
        <v>13</v>
      </c>
      <c r="H30" s="3">
        <v>10</v>
      </c>
      <c r="I30" s="3">
        <v>9</v>
      </c>
      <c r="J30" s="3">
        <v>8</v>
      </c>
      <c r="K30" s="3">
        <v>9</v>
      </c>
      <c r="L30" s="3">
        <v>21</v>
      </c>
      <c r="M30" s="3">
        <v>12</v>
      </c>
      <c r="N30" s="3">
        <v>10</v>
      </c>
      <c r="O30" s="218">
        <v>18</v>
      </c>
      <c r="Q30" s="9" t="s">
        <v>1597</v>
      </c>
      <c r="R30" s="15">
        <f>SUM(S30:AD30)</f>
        <v>160</v>
      </c>
      <c r="S30" s="10">
        <v>4</v>
      </c>
      <c r="T30" s="218">
        <v>13</v>
      </c>
      <c r="U30" s="3">
        <v>22</v>
      </c>
      <c r="V30" s="218">
        <v>14</v>
      </c>
      <c r="W30" s="3">
        <v>12</v>
      </c>
      <c r="X30" s="3">
        <v>10</v>
      </c>
      <c r="Y30" s="3">
        <v>8</v>
      </c>
      <c r="Z30" s="3">
        <v>12</v>
      </c>
      <c r="AA30" s="3">
        <v>21</v>
      </c>
      <c r="AB30" s="3">
        <v>14</v>
      </c>
      <c r="AC30" s="3">
        <v>10</v>
      </c>
      <c r="AD30" s="218">
        <f>19+1</f>
        <v>20</v>
      </c>
    </row>
    <row r="31" spans="1:30" ht="22.5" customHeight="1">
      <c r="B31" s="9" t="s">
        <v>1598</v>
      </c>
      <c r="C31" s="15">
        <f>SUM(D31:O31)</f>
        <v>3208</v>
      </c>
      <c r="D31" s="552">
        <v>110</v>
      </c>
      <c r="E31" s="218">
        <v>275</v>
      </c>
      <c r="F31" s="553">
        <v>394</v>
      </c>
      <c r="G31" s="218">
        <v>290</v>
      </c>
      <c r="H31" s="553">
        <v>234</v>
      </c>
      <c r="I31" s="553">
        <v>210</v>
      </c>
      <c r="J31" s="553">
        <v>163</v>
      </c>
      <c r="K31" s="553">
        <v>227</v>
      </c>
      <c r="L31" s="553">
        <v>414</v>
      </c>
      <c r="M31" s="553">
        <v>250</v>
      </c>
      <c r="N31" s="553">
        <v>211</v>
      </c>
      <c r="O31" s="218">
        <v>430</v>
      </c>
      <c r="Q31" s="9" t="s">
        <v>1598</v>
      </c>
      <c r="R31" s="15">
        <f>SUM(S31:AD31)</f>
        <v>3508</v>
      </c>
      <c r="S31" s="552">
        <v>110</v>
      </c>
      <c r="T31" s="218">
        <v>315</v>
      </c>
      <c r="U31" s="553">
        <v>434</v>
      </c>
      <c r="V31" s="218">
        <v>310</v>
      </c>
      <c r="W31" s="553">
        <v>274</v>
      </c>
      <c r="X31" s="553">
        <v>230</v>
      </c>
      <c r="Y31" s="553">
        <v>163</v>
      </c>
      <c r="Z31" s="553">
        <v>287</v>
      </c>
      <c r="AA31" s="553">
        <v>414</v>
      </c>
      <c r="AB31" s="553">
        <v>290</v>
      </c>
      <c r="AC31" s="553">
        <v>211</v>
      </c>
      <c r="AD31" s="218">
        <f>440+30</f>
        <v>470</v>
      </c>
    </row>
    <row r="32" spans="1:30" ht="22.5" customHeight="1">
      <c r="B32" s="9" t="s">
        <v>1440</v>
      </c>
      <c r="C32" s="15">
        <f>SUM(D32:O32)</f>
        <v>1907</v>
      </c>
      <c r="D32" s="552">
        <v>65</v>
      </c>
      <c r="E32" s="218">
        <v>177</v>
      </c>
      <c r="F32" s="553">
        <v>234</v>
      </c>
      <c r="G32" s="218">
        <v>190</v>
      </c>
      <c r="H32" s="553">
        <v>133</v>
      </c>
      <c r="I32" s="553">
        <v>111</v>
      </c>
      <c r="J32" s="553">
        <v>99</v>
      </c>
      <c r="K32" s="553">
        <v>135</v>
      </c>
      <c r="L32" s="553">
        <v>240</v>
      </c>
      <c r="M32" s="553">
        <v>111</v>
      </c>
      <c r="N32" s="553">
        <v>132</v>
      </c>
      <c r="O32" s="218">
        <v>280</v>
      </c>
      <c r="Q32" s="9" t="s">
        <v>1440</v>
      </c>
      <c r="R32" s="15">
        <f>SUM(S32:AD32)</f>
        <v>2030</v>
      </c>
      <c r="S32" s="552">
        <v>65</v>
      </c>
      <c r="T32" s="218">
        <v>198</v>
      </c>
      <c r="U32" s="553">
        <v>246</v>
      </c>
      <c r="V32" s="218">
        <v>196</v>
      </c>
      <c r="W32" s="553">
        <v>156</v>
      </c>
      <c r="X32" s="553">
        <v>119</v>
      </c>
      <c r="Y32" s="553">
        <v>99</v>
      </c>
      <c r="Z32" s="553">
        <v>156</v>
      </c>
      <c r="AA32" s="553">
        <v>240</v>
      </c>
      <c r="AB32" s="553">
        <v>123</v>
      </c>
      <c r="AC32" s="553">
        <v>132</v>
      </c>
      <c r="AD32" s="218">
        <v>300</v>
      </c>
    </row>
    <row r="33" spans="2:30" ht="22.5" customHeight="1">
      <c r="B33" s="9" t="s">
        <v>1599</v>
      </c>
      <c r="C33" s="15">
        <f>SUM(D33:O33)</f>
        <v>2192</v>
      </c>
      <c r="D33" s="10">
        <v>67</v>
      </c>
      <c r="E33" s="218">
        <v>207</v>
      </c>
      <c r="F33" s="3">
        <v>291</v>
      </c>
      <c r="G33" s="218">
        <v>199</v>
      </c>
      <c r="H33" s="3">
        <v>143</v>
      </c>
      <c r="I33" s="3">
        <v>134</v>
      </c>
      <c r="J33" s="3">
        <v>106</v>
      </c>
      <c r="K33" s="3">
        <v>148</v>
      </c>
      <c r="L33" s="3">
        <v>272</v>
      </c>
      <c r="M33" s="3">
        <v>138</v>
      </c>
      <c r="N33" s="3">
        <v>146</v>
      </c>
      <c r="O33" s="218">
        <f>313+28</f>
        <v>341</v>
      </c>
      <c r="Q33" s="9" t="s">
        <v>1599</v>
      </c>
      <c r="R33" s="15">
        <f>SUM(S33:AD33)</f>
        <v>2317</v>
      </c>
      <c r="S33" s="10">
        <v>67</v>
      </c>
      <c r="T33" s="218">
        <v>228</v>
      </c>
      <c r="U33" s="3">
        <v>303</v>
      </c>
      <c r="V33" s="218">
        <v>205</v>
      </c>
      <c r="W33" s="3">
        <v>166</v>
      </c>
      <c r="X33" s="3">
        <v>142</v>
      </c>
      <c r="Y33" s="3">
        <v>106</v>
      </c>
      <c r="Z33" s="3">
        <v>169</v>
      </c>
      <c r="AA33" s="3">
        <v>272</v>
      </c>
      <c r="AB33" s="3">
        <v>150</v>
      </c>
      <c r="AC33" s="3">
        <v>146</v>
      </c>
      <c r="AD33" s="218">
        <f>335+28</f>
        <v>363</v>
      </c>
    </row>
    <row r="34" spans="2:30" ht="22.5" customHeight="1">
      <c r="B34" s="9" t="s">
        <v>1600</v>
      </c>
      <c r="C34" s="16">
        <f>C32/C31</f>
        <v>0.59445137157107231</v>
      </c>
      <c r="D34" s="458">
        <f>D32/D31</f>
        <v>0.59090909090909094</v>
      </c>
      <c r="E34" s="435">
        <f>E32/E31</f>
        <v>0.64363636363636367</v>
      </c>
      <c r="F34" s="306">
        <f>F32/F31</f>
        <v>0.59390862944162437</v>
      </c>
      <c r="G34" s="435">
        <f t="shared" ref="G34:O35" si="18">G32/G31</f>
        <v>0.65517241379310343</v>
      </c>
      <c r="H34" s="306">
        <f t="shared" si="18"/>
        <v>0.56837606837606836</v>
      </c>
      <c r="I34" s="306">
        <f t="shared" si="18"/>
        <v>0.52857142857142858</v>
      </c>
      <c r="J34" s="306">
        <f t="shared" si="18"/>
        <v>0.6073619631901841</v>
      </c>
      <c r="K34" s="306">
        <f t="shared" si="18"/>
        <v>0.59471365638766516</v>
      </c>
      <c r="L34" s="306">
        <f t="shared" si="18"/>
        <v>0.57971014492753625</v>
      </c>
      <c r="M34" s="306">
        <f t="shared" si="18"/>
        <v>0.44400000000000001</v>
      </c>
      <c r="N34" s="306">
        <f t="shared" si="18"/>
        <v>0.62559241706161139</v>
      </c>
      <c r="O34" s="435">
        <f t="shared" si="18"/>
        <v>0.65116279069767447</v>
      </c>
      <c r="Q34" s="307" t="s">
        <v>1600</v>
      </c>
      <c r="R34" s="16">
        <f>R32/R31</f>
        <v>0.57867730900798175</v>
      </c>
      <c r="S34" s="458">
        <f>S32/S31</f>
        <v>0.59090909090909094</v>
      </c>
      <c r="T34" s="435">
        <f>T32/T31</f>
        <v>0.62857142857142856</v>
      </c>
      <c r="U34" s="306">
        <f t="shared" ref="U34:AC35" si="19">U32/U31</f>
        <v>0.56682027649769584</v>
      </c>
      <c r="V34" s="435">
        <f t="shared" si="19"/>
        <v>0.63225806451612898</v>
      </c>
      <c r="W34" s="306">
        <f t="shared" si="19"/>
        <v>0.56934306569343063</v>
      </c>
      <c r="X34" s="306">
        <f t="shared" si="19"/>
        <v>0.5173913043478261</v>
      </c>
      <c r="Y34" s="306">
        <f t="shared" si="19"/>
        <v>0.6073619631901841</v>
      </c>
      <c r="Z34" s="306">
        <f t="shared" si="19"/>
        <v>0.54355400696864109</v>
      </c>
      <c r="AA34" s="306">
        <f t="shared" si="19"/>
        <v>0.57971014492753625</v>
      </c>
      <c r="AB34" s="306">
        <f t="shared" si="19"/>
        <v>0.42413793103448277</v>
      </c>
      <c r="AC34" s="306">
        <f t="shared" si="19"/>
        <v>0.62559241706161139</v>
      </c>
      <c r="AD34" s="435">
        <f>AD32/AD31</f>
        <v>0.63829787234042556</v>
      </c>
    </row>
    <row r="35" spans="2:30" ht="22.5" customHeight="1" thickBot="1">
      <c r="B35" s="213" t="s">
        <v>1601</v>
      </c>
      <c r="C35" s="214">
        <f>C33/C31</f>
        <v>0.68329177057356605</v>
      </c>
      <c r="D35" s="215">
        <f>D33/D31</f>
        <v>0.60909090909090913</v>
      </c>
      <c r="E35" s="220">
        <f>E33/E31</f>
        <v>0.75272727272727269</v>
      </c>
      <c r="F35" s="216">
        <f t="shared" ref="F35:I35" si="20">F33/F31</f>
        <v>0.73857868020304573</v>
      </c>
      <c r="G35" s="220">
        <f t="shared" si="20"/>
        <v>0.68620689655172418</v>
      </c>
      <c r="H35" s="216">
        <f t="shared" si="20"/>
        <v>0.61111111111111116</v>
      </c>
      <c r="I35" s="216">
        <f t="shared" si="20"/>
        <v>0.63809523809523805</v>
      </c>
      <c r="J35" s="216">
        <f t="shared" si="18"/>
        <v>1.0707070707070707</v>
      </c>
      <c r="K35" s="216">
        <f t="shared" si="18"/>
        <v>1.0962962962962963</v>
      </c>
      <c r="L35" s="216">
        <f t="shared" si="18"/>
        <v>1.1333333333333333</v>
      </c>
      <c r="M35" s="216">
        <f t="shared" si="18"/>
        <v>1.2432432432432432</v>
      </c>
      <c r="N35" s="216">
        <f>N33/N32</f>
        <v>1.106060606060606</v>
      </c>
      <c r="O35" s="220">
        <f t="shared" si="18"/>
        <v>1.2178571428571427</v>
      </c>
      <c r="Q35" s="213" t="s">
        <v>1601</v>
      </c>
      <c r="R35" s="214">
        <f>R33/R31</f>
        <v>0.66049030786773089</v>
      </c>
      <c r="S35" s="215">
        <f>S33/S31</f>
        <v>0.60909090909090913</v>
      </c>
      <c r="T35" s="220">
        <f>T33/T31</f>
        <v>0.72380952380952379</v>
      </c>
      <c r="U35" s="216">
        <f t="shared" ref="U35:X35" si="21">U33/U31</f>
        <v>0.6981566820276498</v>
      </c>
      <c r="V35" s="220">
        <f t="shared" si="21"/>
        <v>0.66129032258064513</v>
      </c>
      <c r="W35" s="216">
        <f t="shared" si="21"/>
        <v>0.6058394160583942</v>
      </c>
      <c r="X35" s="216">
        <f t="shared" si="21"/>
        <v>0.61739130434782608</v>
      </c>
      <c r="Y35" s="216">
        <f>Y33/Y32</f>
        <v>1.0707070707070707</v>
      </c>
      <c r="Z35" s="216">
        <f t="shared" si="19"/>
        <v>1.0833333333333333</v>
      </c>
      <c r="AA35" s="216">
        <f t="shared" si="19"/>
        <v>1.1333333333333333</v>
      </c>
      <c r="AB35" s="216">
        <f>AB33/AB32</f>
        <v>1.2195121951219512</v>
      </c>
      <c r="AC35" s="216">
        <f>AC33/AC32</f>
        <v>1.106060606060606</v>
      </c>
      <c r="AD35" s="220">
        <f>AD33/AD32</f>
        <v>1.21</v>
      </c>
    </row>
    <row r="36" spans="2:30" ht="17.25" customHeight="1" thickBot="1">
      <c r="B36" s="1230" t="s">
        <v>1587</v>
      </c>
      <c r="C36" s="1231"/>
      <c r="D36" s="500">
        <f>_xlfn.RANK.EQ($D$34,$D$34:$O$34)</f>
        <v>8</v>
      </c>
      <c r="E36" s="660">
        <f>_xlfn.RANK.EQ($E$34,$D$34:$O$34)</f>
        <v>3</v>
      </c>
      <c r="F36" s="500">
        <f t="shared" ref="F36:K36" si="22">_xlfn.RANK.EQ(F34,$D$34:$O$34)</f>
        <v>7</v>
      </c>
      <c r="G36" s="660">
        <f t="shared" si="22"/>
        <v>1</v>
      </c>
      <c r="H36" s="500">
        <f t="shared" si="22"/>
        <v>10</v>
      </c>
      <c r="I36" s="500">
        <f t="shared" si="22"/>
        <v>11</v>
      </c>
      <c r="J36" s="500">
        <f t="shared" si="22"/>
        <v>5</v>
      </c>
      <c r="K36" s="500">
        <f t="shared" si="22"/>
        <v>6</v>
      </c>
      <c r="L36" s="500">
        <f>_xlfn.RANK.EQ(L34:L34,$D$34:$O$34)</f>
        <v>9</v>
      </c>
      <c r="M36" s="500">
        <f>_xlfn.RANK.EQ(M34,$D$34:$O$34)</f>
        <v>12</v>
      </c>
      <c r="N36" s="500">
        <f>_xlfn.RANK.EQ(N34,$D$34:$O$34)</f>
        <v>4</v>
      </c>
      <c r="O36" s="715">
        <f>_xlfn.RANK.EQ(O34,$D$34:$O$34)</f>
        <v>2</v>
      </c>
      <c r="Q36" s="1230" t="s">
        <v>1587</v>
      </c>
      <c r="R36" s="1231"/>
      <c r="S36" s="500">
        <f t="shared" ref="S36:AD36" si="23">_xlfn.RANK.EQ(S34,$S$34:$AD$34)</f>
        <v>6</v>
      </c>
      <c r="T36" s="660">
        <f t="shared" si="23"/>
        <v>3</v>
      </c>
      <c r="U36" s="500">
        <f t="shared" si="23"/>
        <v>9</v>
      </c>
      <c r="V36" s="660">
        <f t="shared" si="23"/>
        <v>2</v>
      </c>
      <c r="W36" s="500">
        <f t="shared" si="23"/>
        <v>8</v>
      </c>
      <c r="X36" s="500">
        <f t="shared" si="23"/>
        <v>11</v>
      </c>
      <c r="Y36" s="500">
        <f t="shared" si="23"/>
        <v>5</v>
      </c>
      <c r="Z36" s="500">
        <f t="shared" si="23"/>
        <v>10</v>
      </c>
      <c r="AA36" s="500">
        <f t="shared" si="23"/>
        <v>7</v>
      </c>
      <c r="AB36" s="500">
        <f t="shared" si="23"/>
        <v>12</v>
      </c>
      <c r="AC36" s="500">
        <f t="shared" si="23"/>
        <v>4</v>
      </c>
      <c r="AD36" s="715">
        <f t="shared" si="23"/>
        <v>1</v>
      </c>
    </row>
    <row r="37" spans="2:30" ht="25.5" customHeight="1" thickBot="1">
      <c r="B37" s="4" t="s">
        <v>1602</v>
      </c>
      <c r="Q37" s="4" t="s">
        <v>1720</v>
      </c>
    </row>
    <row r="38" spans="2:30" ht="22.5" customHeight="1">
      <c r="B38" s="5" t="s">
        <v>15</v>
      </c>
      <c r="C38" s="6" t="s">
        <v>94</v>
      </c>
      <c r="D38" s="431" t="s">
        <v>16</v>
      </c>
      <c r="E38" s="217" t="s">
        <v>52</v>
      </c>
      <c r="F38" s="457" t="s">
        <v>95</v>
      </c>
      <c r="G38" s="457" t="s">
        <v>84</v>
      </c>
      <c r="H38" s="217" t="s">
        <v>86</v>
      </c>
      <c r="I38" s="457" t="s">
        <v>87</v>
      </c>
      <c r="J38" s="457" t="s">
        <v>88</v>
      </c>
      <c r="K38" s="457" t="s">
        <v>89</v>
      </c>
      <c r="L38" s="457" t="s">
        <v>90</v>
      </c>
      <c r="M38" s="457" t="s">
        <v>91</v>
      </c>
      <c r="N38" s="457" t="s">
        <v>92</v>
      </c>
      <c r="O38" s="457" t="s">
        <v>93</v>
      </c>
      <c r="Q38" s="5" t="s">
        <v>15</v>
      </c>
      <c r="R38" s="6" t="s">
        <v>94</v>
      </c>
      <c r="S38" s="456" t="s">
        <v>16</v>
      </c>
      <c r="T38" s="217" t="s">
        <v>52</v>
      </c>
      <c r="U38" s="457" t="s">
        <v>95</v>
      </c>
      <c r="V38" s="457" t="s">
        <v>84</v>
      </c>
      <c r="W38" s="217" t="s">
        <v>86</v>
      </c>
      <c r="X38" s="457" t="s">
        <v>87</v>
      </c>
      <c r="Y38" s="457" t="s">
        <v>88</v>
      </c>
      <c r="Z38" s="457" t="s">
        <v>89</v>
      </c>
      <c r="AA38" s="457" t="s">
        <v>90</v>
      </c>
      <c r="AB38" s="457" t="s">
        <v>91</v>
      </c>
      <c r="AC38" s="217" t="s">
        <v>92</v>
      </c>
      <c r="AD38" s="457" t="s">
        <v>93</v>
      </c>
    </row>
    <row r="39" spans="2:30" ht="22.5" customHeight="1">
      <c r="B39" s="9" t="s">
        <v>96</v>
      </c>
      <c r="C39" s="15">
        <f>SUM(D39:O39)</f>
        <v>161</v>
      </c>
      <c r="D39" s="432">
        <v>5</v>
      </c>
      <c r="E39" s="218">
        <v>10</v>
      </c>
      <c r="F39" s="3">
        <v>21</v>
      </c>
      <c r="G39" s="3">
        <v>15</v>
      </c>
      <c r="H39" s="218">
        <v>11</v>
      </c>
      <c r="I39" s="3">
        <v>8</v>
      </c>
      <c r="J39" s="3">
        <v>19</v>
      </c>
      <c r="K39" s="3">
        <v>13</v>
      </c>
      <c r="L39" s="3">
        <v>11</v>
      </c>
      <c r="M39" s="3">
        <v>13</v>
      </c>
      <c r="N39" s="3">
        <v>10</v>
      </c>
      <c r="O39" s="3">
        <v>25</v>
      </c>
      <c r="Q39" s="9" t="s">
        <v>96</v>
      </c>
      <c r="R39" s="15">
        <f>SUM(S39:AD39)</f>
        <v>173</v>
      </c>
      <c r="S39" s="10">
        <v>6</v>
      </c>
      <c r="T39" s="218">
        <v>12</v>
      </c>
      <c r="U39" s="3">
        <v>22</v>
      </c>
      <c r="V39" s="3">
        <v>17</v>
      </c>
      <c r="W39" s="218">
        <v>12</v>
      </c>
      <c r="X39" s="3">
        <v>9</v>
      </c>
      <c r="Y39" s="3">
        <v>20</v>
      </c>
      <c r="Z39" s="3">
        <v>15</v>
      </c>
      <c r="AA39" s="3">
        <v>11</v>
      </c>
      <c r="AB39" s="3">
        <v>13</v>
      </c>
      <c r="AC39" s="218">
        <v>11</v>
      </c>
      <c r="AD39" s="3">
        <v>25</v>
      </c>
    </row>
    <row r="40" spans="2:30" ht="22.5" customHeight="1">
      <c r="B40" s="9" t="s">
        <v>97</v>
      </c>
      <c r="C40" s="15">
        <f>SUM(D40:O40)</f>
        <v>3556</v>
      </c>
      <c r="D40" s="432">
        <v>120</v>
      </c>
      <c r="E40" s="218">
        <v>204</v>
      </c>
      <c r="F40" s="3">
        <v>455</v>
      </c>
      <c r="G40" s="3">
        <v>318</v>
      </c>
      <c r="H40" s="218">
        <v>235</v>
      </c>
      <c r="I40" s="3">
        <v>173</v>
      </c>
      <c r="J40" s="3">
        <v>456</v>
      </c>
      <c r="K40" s="3">
        <v>290</v>
      </c>
      <c r="L40" s="3">
        <v>260</v>
      </c>
      <c r="M40" s="3">
        <v>277</v>
      </c>
      <c r="N40" s="3">
        <v>209</v>
      </c>
      <c r="O40" s="3">
        <v>559</v>
      </c>
      <c r="Q40" s="9" t="s">
        <v>97</v>
      </c>
      <c r="R40" s="15">
        <f>SUM(S40:AD40)</f>
        <v>3796</v>
      </c>
      <c r="S40" s="10">
        <v>140</v>
      </c>
      <c r="T40" s="218">
        <v>244</v>
      </c>
      <c r="U40" s="3">
        <v>475</v>
      </c>
      <c r="V40" s="3">
        <v>358</v>
      </c>
      <c r="W40" s="218">
        <v>255</v>
      </c>
      <c r="X40" s="3">
        <v>193</v>
      </c>
      <c r="Y40" s="3">
        <v>476</v>
      </c>
      <c r="Z40" s="3">
        <v>330</v>
      </c>
      <c r="AA40" s="3">
        <v>260</v>
      </c>
      <c r="AB40" s="3">
        <v>277</v>
      </c>
      <c r="AC40" s="218">
        <v>229</v>
      </c>
      <c r="AD40" s="3">
        <v>559</v>
      </c>
    </row>
    <row r="41" spans="2:30" ht="22.5" customHeight="1">
      <c r="B41" s="9" t="s">
        <v>9</v>
      </c>
      <c r="C41" s="15">
        <f>SUM(D41:O41)</f>
        <v>2093</v>
      </c>
      <c r="D41" s="432">
        <v>76</v>
      </c>
      <c r="E41" s="218">
        <v>170</v>
      </c>
      <c r="F41" s="3">
        <v>283</v>
      </c>
      <c r="G41" s="3">
        <v>194</v>
      </c>
      <c r="H41" s="218">
        <v>165</v>
      </c>
      <c r="I41" s="3">
        <v>89</v>
      </c>
      <c r="J41" s="3">
        <v>272</v>
      </c>
      <c r="K41" s="3">
        <v>158</v>
      </c>
      <c r="L41" s="3">
        <v>129</v>
      </c>
      <c r="M41" s="3">
        <v>133</v>
      </c>
      <c r="N41" s="3">
        <v>131</v>
      </c>
      <c r="O41" s="3">
        <v>293</v>
      </c>
      <c r="Q41" s="9" t="s">
        <v>9</v>
      </c>
      <c r="R41" s="15">
        <f>SUM(S41:AD41)</f>
        <v>2205</v>
      </c>
      <c r="S41" s="10">
        <v>85</v>
      </c>
      <c r="T41" s="218">
        <v>195</v>
      </c>
      <c r="U41" s="3">
        <v>292</v>
      </c>
      <c r="V41" s="3">
        <v>216</v>
      </c>
      <c r="W41" s="218">
        <v>170</v>
      </c>
      <c r="X41" s="3">
        <v>97</v>
      </c>
      <c r="Y41" s="3">
        <v>281</v>
      </c>
      <c r="Z41" s="3">
        <v>172</v>
      </c>
      <c r="AA41" s="3">
        <v>129</v>
      </c>
      <c r="AB41" s="3">
        <v>133</v>
      </c>
      <c r="AC41" s="218">
        <v>142</v>
      </c>
      <c r="AD41" s="3">
        <v>293</v>
      </c>
    </row>
    <row r="42" spans="2:30" ht="22.5" customHeight="1" thickBot="1">
      <c r="B42" s="749" t="s">
        <v>99</v>
      </c>
      <c r="C42" s="16">
        <f t="shared" ref="C42:O42" si="24">C41/C40</f>
        <v>0.58858267716535428</v>
      </c>
      <c r="D42" s="433">
        <f t="shared" si="24"/>
        <v>0.6333333333333333</v>
      </c>
      <c r="E42" s="435">
        <f t="shared" si="24"/>
        <v>0.83333333333333337</v>
      </c>
      <c r="F42" s="306">
        <f t="shared" si="24"/>
        <v>0.62197802197802199</v>
      </c>
      <c r="G42" s="306">
        <f t="shared" si="24"/>
        <v>0.61006289308176098</v>
      </c>
      <c r="H42" s="435">
        <f t="shared" si="24"/>
        <v>0.7021276595744681</v>
      </c>
      <c r="I42" s="306">
        <f t="shared" si="24"/>
        <v>0.51445086705202314</v>
      </c>
      <c r="J42" s="306">
        <f t="shared" si="24"/>
        <v>0.59649122807017541</v>
      </c>
      <c r="K42" s="306">
        <f t="shared" si="24"/>
        <v>0.54482758620689653</v>
      </c>
      <c r="L42" s="306">
        <f t="shared" si="24"/>
        <v>0.49615384615384617</v>
      </c>
      <c r="M42" s="306">
        <f t="shared" si="24"/>
        <v>0.48014440433212996</v>
      </c>
      <c r="N42" s="306">
        <f t="shared" si="24"/>
        <v>0.62679425837320579</v>
      </c>
      <c r="O42" s="306">
        <f t="shared" si="24"/>
        <v>0.52415026833631484</v>
      </c>
      <c r="Q42" s="748" t="s">
        <v>99</v>
      </c>
      <c r="R42" s="16">
        <f t="shared" ref="R42:AD42" si="25">R41/R40</f>
        <v>0.58087460484720754</v>
      </c>
      <c r="S42" s="458">
        <f t="shared" si="25"/>
        <v>0.6071428571428571</v>
      </c>
      <c r="T42" s="435">
        <f t="shared" si="25"/>
        <v>0.79918032786885251</v>
      </c>
      <c r="U42" s="306">
        <f t="shared" si="25"/>
        <v>0.61473684210526314</v>
      </c>
      <c r="V42" s="306">
        <f t="shared" si="25"/>
        <v>0.6033519553072626</v>
      </c>
      <c r="W42" s="435">
        <f t="shared" si="25"/>
        <v>0.66666666666666663</v>
      </c>
      <c r="X42" s="306">
        <f t="shared" si="25"/>
        <v>0.50259067357512954</v>
      </c>
      <c r="Y42" s="306">
        <f t="shared" si="25"/>
        <v>0.59033613445378152</v>
      </c>
      <c r="Z42" s="306">
        <f t="shared" si="25"/>
        <v>0.52121212121212124</v>
      </c>
      <c r="AA42" s="306">
        <f t="shared" si="25"/>
        <v>0.49615384615384617</v>
      </c>
      <c r="AB42" s="306">
        <f t="shared" si="25"/>
        <v>0.48014440433212996</v>
      </c>
      <c r="AC42" s="435">
        <f t="shared" si="25"/>
        <v>0.62008733624454149</v>
      </c>
      <c r="AD42" s="306">
        <f t="shared" si="25"/>
        <v>0.52415026833631484</v>
      </c>
    </row>
    <row r="43" spans="2:30" ht="17.25" customHeight="1" thickBot="1">
      <c r="B43" s="1230" t="s">
        <v>366</v>
      </c>
      <c r="C43" s="1231"/>
      <c r="D43" s="660">
        <f>_xlfn.RANK.EQ(D$42,$D$42:$O$42)</f>
        <v>3</v>
      </c>
      <c r="E43" s="660">
        <f>_xlfn.RANK.EQ($E$42,$D$42:$O$42)</f>
        <v>1</v>
      </c>
      <c r="F43" s="500">
        <f t="shared" ref="F43:O43" si="26">_xlfn.RANK.EQ(F42,$D$42:$O$42)</f>
        <v>5</v>
      </c>
      <c r="G43" s="500">
        <f t="shared" si="26"/>
        <v>6</v>
      </c>
      <c r="H43" s="660">
        <f t="shared" si="26"/>
        <v>2</v>
      </c>
      <c r="I43" s="500">
        <f t="shared" si="26"/>
        <v>10</v>
      </c>
      <c r="J43" s="500">
        <f t="shared" si="26"/>
        <v>7</v>
      </c>
      <c r="K43" s="500">
        <f t="shared" si="26"/>
        <v>8</v>
      </c>
      <c r="L43" s="500">
        <f t="shared" si="26"/>
        <v>11</v>
      </c>
      <c r="M43" s="500">
        <f t="shared" si="26"/>
        <v>12</v>
      </c>
      <c r="N43" s="500">
        <f t="shared" si="26"/>
        <v>4</v>
      </c>
      <c r="O43" s="501">
        <f t="shared" si="26"/>
        <v>9</v>
      </c>
      <c r="Q43" s="1230" t="s">
        <v>366</v>
      </c>
      <c r="R43" s="1231"/>
      <c r="S43" s="500">
        <f t="shared" ref="S43:AD43" si="27">_xlfn.RANK.EQ(S42,$S$42:$AD$42)</f>
        <v>5</v>
      </c>
      <c r="T43" s="660">
        <f t="shared" si="27"/>
        <v>1</v>
      </c>
      <c r="U43" s="500">
        <f t="shared" si="27"/>
        <v>4</v>
      </c>
      <c r="V43" s="500">
        <f t="shared" si="27"/>
        <v>6</v>
      </c>
      <c r="W43" s="660">
        <f t="shared" si="27"/>
        <v>2</v>
      </c>
      <c r="X43" s="500">
        <f t="shared" si="27"/>
        <v>10</v>
      </c>
      <c r="Y43" s="500">
        <f t="shared" si="27"/>
        <v>7</v>
      </c>
      <c r="Z43" s="500">
        <f t="shared" si="27"/>
        <v>9</v>
      </c>
      <c r="AA43" s="500">
        <f t="shared" si="27"/>
        <v>11</v>
      </c>
      <c r="AB43" s="500">
        <f t="shared" si="27"/>
        <v>12</v>
      </c>
      <c r="AC43" s="660">
        <f t="shared" si="27"/>
        <v>3</v>
      </c>
      <c r="AD43" s="501">
        <f t="shared" si="27"/>
        <v>8</v>
      </c>
    </row>
    <row r="44" spans="2:30" ht="25.5" customHeight="1" thickBot="1">
      <c r="B44" s="4" t="s">
        <v>1958</v>
      </c>
    </row>
    <row r="45" spans="2:30" ht="22.5" customHeight="1">
      <c r="B45" s="5" t="s">
        <v>15</v>
      </c>
      <c r="C45" s="6" t="s">
        <v>94</v>
      </c>
      <c r="D45" s="456" t="s">
        <v>16</v>
      </c>
      <c r="E45" s="457" t="s">
        <v>52</v>
      </c>
      <c r="F45" s="217" t="s">
        <v>95</v>
      </c>
      <c r="G45" s="457" t="s">
        <v>84</v>
      </c>
      <c r="H45" s="457" t="s">
        <v>86</v>
      </c>
      <c r="I45" s="457" t="s">
        <v>87</v>
      </c>
      <c r="J45" s="217" t="s">
        <v>88</v>
      </c>
      <c r="K45" s="457" t="s">
        <v>89</v>
      </c>
      <c r="L45" s="457" t="s">
        <v>90</v>
      </c>
      <c r="M45" s="217" t="s">
        <v>91</v>
      </c>
      <c r="N45" s="457" t="s">
        <v>92</v>
      </c>
      <c r="O45" s="457" t="s">
        <v>93</v>
      </c>
    </row>
    <row r="46" spans="2:30" ht="22.5" customHeight="1">
      <c r="B46" s="9" t="s">
        <v>96</v>
      </c>
      <c r="C46" s="15">
        <f>SUM(D46:O46)</f>
        <v>181</v>
      </c>
      <c r="D46" s="10">
        <v>6</v>
      </c>
      <c r="E46" s="3">
        <v>12</v>
      </c>
      <c r="F46" s="218">
        <v>23</v>
      </c>
      <c r="G46" s="3">
        <v>17</v>
      </c>
      <c r="H46" s="3">
        <v>14</v>
      </c>
      <c r="I46" s="3">
        <v>21</v>
      </c>
      <c r="J46" s="218">
        <v>12</v>
      </c>
      <c r="K46" s="3">
        <v>12</v>
      </c>
      <c r="L46" s="3">
        <v>22</v>
      </c>
      <c r="M46" s="218">
        <v>9</v>
      </c>
      <c r="N46" s="3">
        <v>12</v>
      </c>
      <c r="O46" s="3">
        <v>21</v>
      </c>
    </row>
    <row r="47" spans="2:30" ht="22.5" customHeight="1">
      <c r="B47" s="9" t="s">
        <v>97</v>
      </c>
      <c r="C47" s="15">
        <f>SUM(D47:O47)</f>
        <v>3910</v>
      </c>
      <c r="D47" s="10">
        <v>115</v>
      </c>
      <c r="E47" s="3">
        <v>303</v>
      </c>
      <c r="F47" s="218">
        <v>501</v>
      </c>
      <c r="G47" s="3">
        <v>363</v>
      </c>
      <c r="H47" s="3">
        <v>283</v>
      </c>
      <c r="I47" s="3">
        <v>454</v>
      </c>
      <c r="J47" s="218">
        <v>239</v>
      </c>
      <c r="K47" s="3">
        <v>284</v>
      </c>
      <c r="L47" s="3">
        <v>435</v>
      </c>
      <c r="M47" s="218">
        <v>187</v>
      </c>
      <c r="N47" s="3">
        <v>285</v>
      </c>
      <c r="O47" s="3">
        <v>461</v>
      </c>
    </row>
    <row r="48" spans="2:30" ht="22.5" customHeight="1">
      <c r="B48" s="9" t="s">
        <v>9</v>
      </c>
      <c r="C48" s="15">
        <f>SUM(D48:O48)</f>
        <v>2255</v>
      </c>
      <c r="D48" s="10">
        <v>59</v>
      </c>
      <c r="E48" s="3">
        <v>168</v>
      </c>
      <c r="F48" s="218">
        <v>330</v>
      </c>
      <c r="G48" s="3">
        <v>190</v>
      </c>
      <c r="H48" s="3">
        <v>166</v>
      </c>
      <c r="I48" s="3">
        <v>265</v>
      </c>
      <c r="J48" s="218">
        <v>146</v>
      </c>
      <c r="K48" s="3">
        <v>150</v>
      </c>
      <c r="L48" s="3">
        <v>245</v>
      </c>
      <c r="M48" s="218">
        <v>117</v>
      </c>
      <c r="N48" s="3">
        <v>160</v>
      </c>
      <c r="O48" s="3">
        <v>259</v>
      </c>
    </row>
    <row r="49" spans="2:15" ht="22.5" customHeight="1" thickBot="1">
      <c r="B49" s="9" t="s">
        <v>99</v>
      </c>
      <c r="C49" s="16">
        <f t="shared" ref="C49:O49" si="28">C48/C47</f>
        <v>0.57672634271099743</v>
      </c>
      <c r="D49" s="925">
        <f t="shared" si="28"/>
        <v>0.5130434782608696</v>
      </c>
      <c r="E49" s="926">
        <f t="shared" si="28"/>
        <v>0.5544554455445545</v>
      </c>
      <c r="F49" s="435">
        <f t="shared" si="28"/>
        <v>0.6586826347305389</v>
      </c>
      <c r="G49" s="926">
        <f t="shared" si="28"/>
        <v>0.52341597796143247</v>
      </c>
      <c r="H49" s="926">
        <f t="shared" si="28"/>
        <v>0.58657243816254412</v>
      </c>
      <c r="I49" s="926">
        <f t="shared" si="28"/>
        <v>0.58370044052863435</v>
      </c>
      <c r="J49" s="435">
        <f t="shared" si="28"/>
        <v>0.61087866108786615</v>
      </c>
      <c r="K49" s="926">
        <f t="shared" si="28"/>
        <v>0.528169014084507</v>
      </c>
      <c r="L49" s="926">
        <f t="shared" si="28"/>
        <v>0.56321839080459768</v>
      </c>
      <c r="M49" s="435">
        <f t="shared" si="28"/>
        <v>0.62566844919786091</v>
      </c>
      <c r="N49" s="926">
        <f t="shared" si="28"/>
        <v>0.56140350877192979</v>
      </c>
      <c r="O49" s="926">
        <f t="shared" si="28"/>
        <v>0.56182212581344904</v>
      </c>
    </row>
    <row r="50" spans="2:15" ht="22.5" customHeight="1" thickBot="1">
      <c r="B50" s="1230" t="s">
        <v>366</v>
      </c>
      <c r="C50" s="1231"/>
      <c r="D50" s="1192">
        <f>_xlfn.RANK.EQ(D$49,$D$49:$O$49)</f>
        <v>12</v>
      </c>
      <c r="E50" s="927">
        <f t="shared" ref="E50:O50" si="29">_xlfn.RANK.EQ(E$49,$D$49:$O$49)</f>
        <v>9</v>
      </c>
      <c r="F50" s="660">
        <f t="shared" si="29"/>
        <v>1</v>
      </c>
      <c r="G50" s="927">
        <f t="shared" si="29"/>
        <v>11</v>
      </c>
      <c r="H50" s="927">
        <f t="shared" si="29"/>
        <v>4</v>
      </c>
      <c r="I50" s="927">
        <f t="shared" si="29"/>
        <v>5</v>
      </c>
      <c r="J50" s="660">
        <f t="shared" si="29"/>
        <v>3</v>
      </c>
      <c r="K50" s="927">
        <f t="shared" si="29"/>
        <v>10</v>
      </c>
      <c r="L50" s="927">
        <f t="shared" si="29"/>
        <v>6</v>
      </c>
      <c r="M50" s="660">
        <f t="shared" si="29"/>
        <v>2</v>
      </c>
      <c r="N50" s="927">
        <f t="shared" si="29"/>
        <v>8</v>
      </c>
      <c r="O50" s="928">
        <f t="shared" si="29"/>
        <v>7</v>
      </c>
    </row>
    <row r="51" spans="2:15" ht="29.25" customHeight="1" thickBot="1">
      <c r="B51" s="4" t="s">
        <v>1963</v>
      </c>
    </row>
    <row r="52" spans="2:15" ht="23.25" customHeight="1">
      <c r="B52" s="5" t="s">
        <v>15</v>
      </c>
      <c r="C52" s="6" t="s">
        <v>94</v>
      </c>
      <c r="D52" s="456" t="s">
        <v>16</v>
      </c>
      <c r="E52" s="457" t="s">
        <v>52</v>
      </c>
      <c r="F52" s="457" t="s">
        <v>95</v>
      </c>
      <c r="G52" s="457" t="s">
        <v>84</v>
      </c>
      <c r="H52" s="457" t="s">
        <v>86</v>
      </c>
      <c r="I52" s="457" t="s">
        <v>87</v>
      </c>
      <c r="J52" s="457" t="s">
        <v>88</v>
      </c>
      <c r="K52" s="457" t="s">
        <v>89</v>
      </c>
      <c r="L52" s="457" t="s">
        <v>90</v>
      </c>
      <c r="M52" s="457" t="s">
        <v>91</v>
      </c>
      <c r="N52" s="457" t="s">
        <v>92</v>
      </c>
      <c r="O52" s="457" t="s">
        <v>93</v>
      </c>
    </row>
    <row r="53" spans="2:15" ht="23.25" customHeight="1">
      <c r="B53" s="9" t="s">
        <v>96</v>
      </c>
      <c r="C53" s="15">
        <f>SUM(D53:O53)</f>
        <v>0</v>
      </c>
      <c r="D53" s="10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</row>
    <row r="54" spans="2:15" ht="23.25" customHeight="1">
      <c r="B54" s="9" t="s">
        <v>97</v>
      </c>
      <c r="C54" s="15">
        <f>SUM(D54:O54)</f>
        <v>0</v>
      </c>
      <c r="D54" s="10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</row>
    <row r="55" spans="2:15" ht="23.25" customHeight="1">
      <c r="B55" s="9" t="s">
        <v>9</v>
      </c>
      <c r="C55" s="15">
        <f>SUM(D55:O55)</f>
        <v>0</v>
      </c>
      <c r="D55" s="10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2:15" ht="23.25" customHeight="1" thickBot="1">
      <c r="B56" s="9" t="s">
        <v>99</v>
      </c>
      <c r="C56" s="16" t="e">
        <f t="shared" ref="C56" si="30">C55/C54</f>
        <v>#DIV/0!</v>
      </c>
      <c r="D56" s="925" t="e">
        <f t="shared" ref="D56" si="31">D55/D54</f>
        <v>#DIV/0!</v>
      </c>
      <c r="E56" s="926" t="e">
        <f t="shared" ref="E56" si="32">E55/E54</f>
        <v>#DIV/0!</v>
      </c>
      <c r="F56" s="926" t="e">
        <f t="shared" ref="F56" si="33">F55/F54</f>
        <v>#DIV/0!</v>
      </c>
      <c r="G56" s="926" t="e">
        <f t="shared" ref="G56" si="34">G55/G54</f>
        <v>#DIV/0!</v>
      </c>
      <c r="H56" s="926" t="e">
        <f t="shared" ref="H56" si="35">H55/H54</f>
        <v>#DIV/0!</v>
      </c>
      <c r="I56" s="926" t="e">
        <f t="shared" ref="I56" si="36">I55/I54</f>
        <v>#DIV/0!</v>
      </c>
      <c r="J56" s="926" t="e">
        <f t="shared" ref="J56" si="37">J55/J54</f>
        <v>#DIV/0!</v>
      </c>
      <c r="K56" s="926" t="e">
        <f t="shared" ref="K56" si="38">K55/K54</f>
        <v>#DIV/0!</v>
      </c>
      <c r="L56" s="926" t="e">
        <f t="shared" ref="L56" si="39">L55/L54</f>
        <v>#DIV/0!</v>
      </c>
      <c r="M56" s="926" t="e">
        <f t="shared" ref="M56" si="40">M55/M54</f>
        <v>#DIV/0!</v>
      </c>
      <c r="N56" s="926" t="e">
        <f t="shared" ref="N56" si="41">N55/N54</f>
        <v>#DIV/0!</v>
      </c>
      <c r="O56" s="926" t="e">
        <f t="shared" ref="O56" si="42">O55/O54</f>
        <v>#DIV/0!</v>
      </c>
    </row>
    <row r="57" spans="2:15" ht="23.25" customHeight="1" thickBot="1">
      <c r="B57" s="1230" t="s">
        <v>366</v>
      </c>
      <c r="C57" s="1231"/>
      <c r="D57" s="1192" t="e">
        <f t="shared" ref="D57:O57" si="43">_xlfn.RANK.EQ(D$56,$D$56:$O$56)</f>
        <v>#DIV/0!</v>
      </c>
      <c r="E57" s="927" t="e">
        <f t="shared" si="43"/>
        <v>#DIV/0!</v>
      </c>
      <c r="F57" s="927" t="e">
        <f t="shared" si="43"/>
        <v>#DIV/0!</v>
      </c>
      <c r="G57" s="927" t="e">
        <f t="shared" si="43"/>
        <v>#DIV/0!</v>
      </c>
      <c r="H57" s="927" t="e">
        <f t="shared" si="43"/>
        <v>#DIV/0!</v>
      </c>
      <c r="I57" s="927" t="e">
        <f t="shared" si="43"/>
        <v>#DIV/0!</v>
      </c>
      <c r="J57" s="927" t="e">
        <f t="shared" si="43"/>
        <v>#DIV/0!</v>
      </c>
      <c r="K57" s="927" t="e">
        <f t="shared" si="43"/>
        <v>#DIV/0!</v>
      </c>
      <c r="L57" s="927" t="e">
        <f t="shared" si="43"/>
        <v>#DIV/0!</v>
      </c>
      <c r="M57" s="927" t="e">
        <f t="shared" si="43"/>
        <v>#DIV/0!</v>
      </c>
      <c r="N57" s="927" t="e">
        <f t="shared" si="43"/>
        <v>#DIV/0!</v>
      </c>
      <c r="O57" s="927" t="e">
        <f t="shared" si="43"/>
        <v>#DIV/0!</v>
      </c>
    </row>
  </sheetData>
  <mergeCells count="11">
    <mergeCell ref="B50:C50"/>
    <mergeCell ref="B57:C57"/>
    <mergeCell ref="B43:C43"/>
    <mergeCell ref="Q43:R43"/>
    <mergeCell ref="B9:C9"/>
    <mergeCell ref="B27:C27"/>
    <mergeCell ref="Q18:R18"/>
    <mergeCell ref="Q27:R27"/>
    <mergeCell ref="B36:C36"/>
    <mergeCell ref="Q36:R36"/>
    <mergeCell ref="B18:C18"/>
  </mergeCells>
  <phoneticPr fontId="6" type="noConversion"/>
  <pageMargins left="0.25" right="0.25" top="0.75" bottom="0.75" header="0.3" footer="0.3"/>
  <pageSetup paperSize="9" scale="49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5D4C7-BC38-4FD7-9AD7-0B8490B1D2D9}">
  <sheetPr>
    <tabColor theme="4" tint="0.39997558519241921"/>
  </sheetPr>
  <dimension ref="A1:T19"/>
  <sheetViews>
    <sheetView zoomScale="85" zoomScaleNormal="85" workbookViewId="0">
      <pane ySplit="2" topLeftCell="A3" activePane="bottomLeft" state="frozen"/>
      <selection pane="bottomLeft" activeCell="Q23" sqref="Q23"/>
    </sheetView>
  </sheetViews>
  <sheetFormatPr defaultRowHeight="16.5"/>
  <cols>
    <col min="1" max="4" width="9" style="1013"/>
    <col min="5" max="5" width="26.375" style="1013" bestFit="1" customWidth="1"/>
    <col min="6" max="6" width="8.125" style="1013" customWidth="1"/>
    <col min="7" max="7" width="69.875" style="1014" bestFit="1" customWidth="1"/>
    <col min="8" max="9" width="9" style="1013" customWidth="1"/>
    <col min="10" max="11" width="10.625" style="1013" bestFit="1" customWidth="1"/>
    <col min="12" max="16" width="9" style="1013"/>
    <col min="17" max="17" width="6.5" style="1013" customWidth="1"/>
    <col min="18" max="16384" width="9" style="1013"/>
  </cols>
  <sheetData>
    <row r="1" spans="1:20" ht="17.25" thickBot="1">
      <c r="L1" s="1207">
        <f>SUM(L3:L75)</f>
        <v>347</v>
      </c>
      <c r="M1" s="1207">
        <f>SUM(M3:M75)</f>
        <v>217</v>
      </c>
      <c r="N1" s="1207">
        <f>SUM(N3:N75)</f>
        <v>246</v>
      </c>
      <c r="O1" s="1208">
        <f>M1/L1</f>
        <v>0.62536023054755041</v>
      </c>
      <c r="P1" s="1208">
        <f>N1/L1</f>
        <v>0.70893371757925072</v>
      </c>
    </row>
    <row r="2" spans="1:20" ht="17.25" thickBot="1">
      <c r="A2" s="1209" t="s">
        <v>766</v>
      </c>
      <c r="B2" s="1210" t="s">
        <v>18</v>
      </c>
      <c r="C2" s="1210" t="s">
        <v>1731</v>
      </c>
      <c r="D2" s="1210" t="s">
        <v>1732</v>
      </c>
      <c r="E2" s="1211" t="s">
        <v>761</v>
      </c>
      <c r="F2" s="1212" t="s">
        <v>796</v>
      </c>
      <c r="G2" s="1213" t="s">
        <v>1733</v>
      </c>
      <c r="H2" s="1210" t="s">
        <v>19</v>
      </c>
      <c r="I2" s="1210" t="s">
        <v>20</v>
      </c>
      <c r="J2" s="1214" t="s">
        <v>1734</v>
      </c>
      <c r="K2" s="1214" t="s">
        <v>1735</v>
      </c>
      <c r="L2" s="1210" t="s">
        <v>97</v>
      </c>
      <c r="M2" s="1210" t="s">
        <v>9</v>
      </c>
      <c r="N2" s="1210" t="s">
        <v>25</v>
      </c>
      <c r="O2" s="1210" t="s">
        <v>26</v>
      </c>
      <c r="P2" s="1215" t="s">
        <v>8</v>
      </c>
    </row>
    <row r="3" spans="1:20">
      <c r="A3" s="1078" t="s">
        <v>1667</v>
      </c>
      <c r="B3" s="282" t="s">
        <v>7</v>
      </c>
      <c r="C3" s="224" t="s">
        <v>1149</v>
      </c>
      <c r="D3" s="224" t="s">
        <v>478</v>
      </c>
      <c r="E3" s="1193" t="s">
        <v>786</v>
      </c>
      <c r="F3" s="224">
        <v>1</v>
      </c>
      <c r="G3" s="1199" t="s">
        <v>1959</v>
      </c>
      <c r="H3" s="224">
        <v>75</v>
      </c>
      <c r="I3" s="224">
        <v>300</v>
      </c>
      <c r="J3" s="590">
        <v>46034</v>
      </c>
      <c r="K3" s="225">
        <v>46142</v>
      </c>
      <c r="L3" s="282">
        <v>20</v>
      </c>
      <c r="M3" s="113">
        <v>10</v>
      </c>
      <c r="N3" s="224">
        <v>16</v>
      </c>
      <c r="O3" s="1204">
        <f>M3/L3</f>
        <v>0.5</v>
      </c>
      <c r="P3" s="1194">
        <f>N3/L3</f>
        <v>0.8</v>
      </c>
      <c r="Q3" s="1178"/>
    </row>
    <row r="4" spans="1:20">
      <c r="A4" s="1086" t="s">
        <v>1667</v>
      </c>
      <c r="B4" s="1198" t="s">
        <v>825</v>
      </c>
      <c r="C4" s="1195" t="s">
        <v>1646</v>
      </c>
      <c r="D4" s="1195" t="s">
        <v>1224</v>
      </c>
      <c r="E4" s="575" t="s">
        <v>1630</v>
      </c>
      <c r="F4" s="1195">
        <v>1</v>
      </c>
      <c r="G4" s="1200" t="s">
        <v>1960</v>
      </c>
      <c r="H4" s="1195">
        <v>120</v>
      </c>
      <c r="I4" s="1195">
        <v>960</v>
      </c>
      <c r="J4" s="1202">
        <v>46042</v>
      </c>
      <c r="K4" s="1203">
        <v>46219</v>
      </c>
      <c r="L4" s="1198">
        <v>25</v>
      </c>
      <c r="M4" s="1195">
        <v>12</v>
      </c>
      <c r="N4" s="1195">
        <v>12</v>
      </c>
      <c r="O4" s="1205">
        <f>M4/L4</f>
        <v>0.48</v>
      </c>
      <c r="P4" s="1196">
        <f>N4/L4</f>
        <v>0.48</v>
      </c>
      <c r="Q4" s="1178"/>
    </row>
    <row r="5" spans="1:20">
      <c r="A5" s="1086" t="s">
        <v>1667</v>
      </c>
      <c r="B5" s="270" t="s">
        <v>858</v>
      </c>
      <c r="C5" s="83" t="s">
        <v>194</v>
      </c>
      <c r="D5" s="83" t="s">
        <v>326</v>
      </c>
      <c r="E5" s="575" t="s">
        <v>798</v>
      </c>
      <c r="F5" s="83">
        <v>1</v>
      </c>
      <c r="G5" s="1201" t="s">
        <v>1961</v>
      </c>
      <c r="H5" s="83">
        <v>38</v>
      </c>
      <c r="I5" s="83">
        <v>150</v>
      </c>
      <c r="J5" s="586">
        <v>46046</v>
      </c>
      <c r="K5" s="85">
        <v>46194</v>
      </c>
      <c r="L5" s="270">
        <v>20</v>
      </c>
      <c r="M5" s="82">
        <v>19</v>
      </c>
      <c r="N5" s="83">
        <v>21</v>
      </c>
      <c r="O5" s="1206">
        <f>M5/L5</f>
        <v>0.95</v>
      </c>
      <c r="P5" s="1197">
        <f>N5/L5</f>
        <v>1.05</v>
      </c>
      <c r="Q5" s="1178"/>
    </row>
    <row r="6" spans="1:20" ht="17.25" thickBot="1">
      <c r="A6" s="1093" t="s">
        <v>1667</v>
      </c>
      <c r="B6" s="338" t="s">
        <v>7</v>
      </c>
      <c r="C6" s="296" t="s">
        <v>225</v>
      </c>
      <c r="D6" s="296" t="s">
        <v>326</v>
      </c>
      <c r="E6" s="1216" t="s">
        <v>813</v>
      </c>
      <c r="F6" s="296">
        <v>1</v>
      </c>
      <c r="G6" s="1217" t="s">
        <v>1962</v>
      </c>
      <c r="H6" s="296">
        <v>58</v>
      </c>
      <c r="I6" s="296">
        <v>230</v>
      </c>
      <c r="J6" s="657">
        <v>46049</v>
      </c>
      <c r="K6" s="810">
        <v>46134</v>
      </c>
      <c r="L6" s="338">
        <v>20</v>
      </c>
      <c r="M6" s="189">
        <v>10</v>
      </c>
      <c r="N6" s="296">
        <v>10</v>
      </c>
      <c r="O6" s="1218">
        <f>M6/L6</f>
        <v>0.5</v>
      </c>
      <c r="P6" s="1219">
        <f>N6/L6</f>
        <v>0.5</v>
      </c>
      <c r="Q6" s="1191">
        <f>COUNTA(G3:G6)</f>
        <v>4</v>
      </c>
      <c r="R6" s="997">
        <f>SUM(L3:L6)</f>
        <v>85</v>
      </c>
      <c r="S6" s="997">
        <f>SUM(M3:M6)</f>
        <v>51</v>
      </c>
      <c r="T6" s="998">
        <f>S6/R6</f>
        <v>0.6</v>
      </c>
    </row>
    <row r="7" spans="1:20" s="1275" customFormat="1">
      <c r="A7" s="1270" t="s">
        <v>1970</v>
      </c>
      <c r="B7" s="819" t="s">
        <v>858</v>
      </c>
      <c r="C7" s="819" t="s">
        <v>194</v>
      </c>
      <c r="D7" s="819" t="s">
        <v>326</v>
      </c>
      <c r="E7" s="1271" t="s">
        <v>869</v>
      </c>
      <c r="F7" s="819">
        <v>1</v>
      </c>
      <c r="G7" s="819" t="s">
        <v>272</v>
      </c>
      <c r="H7" s="819">
        <v>39</v>
      </c>
      <c r="I7" s="819">
        <v>152</v>
      </c>
      <c r="J7" s="834">
        <v>46055</v>
      </c>
      <c r="K7" s="834">
        <v>46115</v>
      </c>
      <c r="L7" s="819">
        <v>20</v>
      </c>
      <c r="M7" s="1272">
        <v>6</v>
      </c>
      <c r="N7" s="819">
        <v>9</v>
      </c>
      <c r="O7" s="1273">
        <f t="shared" ref="O7:O19" si="0">M7/L7</f>
        <v>0.3</v>
      </c>
      <c r="P7" s="1274">
        <f t="shared" ref="P7:P19" si="1">N7/L7</f>
        <v>0.45</v>
      </c>
    </row>
    <row r="8" spans="1:20" s="1275" customFormat="1">
      <c r="A8" s="1276" t="s">
        <v>1970</v>
      </c>
      <c r="B8" s="1277" t="s">
        <v>7</v>
      </c>
      <c r="C8" s="1277" t="s">
        <v>235</v>
      </c>
      <c r="D8" s="1277" t="s">
        <v>2</v>
      </c>
      <c r="E8" s="1277" t="s">
        <v>771</v>
      </c>
      <c r="F8" s="1277">
        <v>1</v>
      </c>
      <c r="G8" s="1277" t="s">
        <v>1964</v>
      </c>
      <c r="H8" s="1277">
        <v>150</v>
      </c>
      <c r="I8" s="1277">
        <v>600</v>
      </c>
      <c r="J8" s="1278">
        <v>46058</v>
      </c>
      <c r="K8" s="1278">
        <v>46286</v>
      </c>
      <c r="L8" s="1277">
        <v>20</v>
      </c>
      <c r="M8" s="480">
        <v>11</v>
      </c>
      <c r="N8" s="1277">
        <v>12</v>
      </c>
      <c r="O8" s="1279">
        <f t="shared" si="0"/>
        <v>0.55000000000000004</v>
      </c>
      <c r="P8" s="1280">
        <f t="shared" si="1"/>
        <v>0.6</v>
      </c>
    </row>
    <row r="9" spans="1:20" s="1275" customFormat="1">
      <c r="A9" s="1276" t="s">
        <v>1970</v>
      </c>
      <c r="B9" s="480" t="s">
        <v>3</v>
      </c>
      <c r="C9" s="480" t="s">
        <v>227</v>
      </c>
      <c r="D9" s="480" t="s">
        <v>2</v>
      </c>
      <c r="E9" s="480" t="s">
        <v>1965</v>
      </c>
      <c r="F9" s="480">
        <v>1</v>
      </c>
      <c r="G9" s="480" t="s">
        <v>1966</v>
      </c>
      <c r="H9" s="480">
        <v>112</v>
      </c>
      <c r="I9" s="480">
        <v>890</v>
      </c>
      <c r="J9" s="1281">
        <v>46062</v>
      </c>
      <c r="K9" s="1281">
        <v>46230</v>
      </c>
      <c r="L9" s="480">
        <v>22</v>
      </c>
      <c r="M9" s="480">
        <v>9</v>
      </c>
      <c r="N9" s="480">
        <v>9</v>
      </c>
      <c r="O9" s="1279">
        <f t="shared" si="0"/>
        <v>0.40909090909090912</v>
      </c>
      <c r="P9" s="1280">
        <f t="shared" si="1"/>
        <v>0.40909090909090912</v>
      </c>
    </row>
    <row r="10" spans="1:20" s="1275" customFormat="1">
      <c r="A10" s="1276" t="s">
        <v>1970</v>
      </c>
      <c r="B10" s="1277" t="s">
        <v>3</v>
      </c>
      <c r="C10" s="1277" t="s">
        <v>226</v>
      </c>
      <c r="D10" s="1277" t="s">
        <v>478</v>
      </c>
      <c r="E10" s="1282" t="s">
        <v>762</v>
      </c>
      <c r="F10" s="1277">
        <v>1</v>
      </c>
      <c r="G10" s="1277" t="s">
        <v>1967</v>
      </c>
      <c r="H10" s="1277">
        <v>90</v>
      </c>
      <c r="I10" s="1277">
        <v>720</v>
      </c>
      <c r="J10" s="1278">
        <v>46064</v>
      </c>
      <c r="K10" s="1278">
        <v>46202</v>
      </c>
      <c r="L10" s="1277">
        <v>20</v>
      </c>
      <c r="M10" s="480">
        <v>13</v>
      </c>
      <c r="N10" s="1277">
        <v>13</v>
      </c>
      <c r="O10" s="1279">
        <f t="shared" si="0"/>
        <v>0.65</v>
      </c>
      <c r="P10" s="1280">
        <f t="shared" si="1"/>
        <v>0.65</v>
      </c>
    </row>
    <row r="11" spans="1:20" s="1275" customFormat="1">
      <c r="A11" s="1276" t="s">
        <v>1970</v>
      </c>
      <c r="B11" s="1277" t="s">
        <v>7</v>
      </c>
      <c r="C11" s="1277" t="s">
        <v>1149</v>
      </c>
      <c r="D11" s="1277" t="s">
        <v>326</v>
      </c>
      <c r="E11" s="1277" t="s">
        <v>771</v>
      </c>
      <c r="F11" s="1277">
        <v>1</v>
      </c>
      <c r="G11" s="1277" t="s">
        <v>1007</v>
      </c>
      <c r="H11" s="1277">
        <v>73</v>
      </c>
      <c r="I11" s="1277">
        <v>290</v>
      </c>
      <c r="J11" s="1278">
        <v>46076</v>
      </c>
      <c r="K11" s="1278">
        <v>46210</v>
      </c>
      <c r="L11" s="1277">
        <v>20</v>
      </c>
      <c r="M11" s="480">
        <v>12</v>
      </c>
      <c r="N11" s="1277">
        <v>16</v>
      </c>
      <c r="O11" s="1279">
        <f t="shared" si="0"/>
        <v>0.6</v>
      </c>
      <c r="P11" s="1280">
        <f t="shared" si="1"/>
        <v>0.8</v>
      </c>
    </row>
    <row r="12" spans="1:20" s="1275" customFormat="1">
      <c r="A12" s="1276" t="s">
        <v>1970</v>
      </c>
      <c r="B12" s="1277" t="s">
        <v>7</v>
      </c>
      <c r="C12" s="1277" t="s">
        <v>225</v>
      </c>
      <c r="D12" s="1277" t="s">
        <v>2</v>
      </c>
      <c r="E12" s="1277" t="s">
        <v>771</v>
      </c>
      <c r="F12" s="1277">
        <v>1</v>
      </c>
      <c r="G12" s="1277" t="s">
        <v>1968</v>
      </c>
      <c r="H12" s="1277">
        <v>108</v>
      </c>
      <c r="I12" s="1277">
        <v>705</v>
      </c>
      <c r="J12" s="1278">
        <v>46077</v>
      </c>
      <c r="K12" s="1278">
        <v>46237</v>
      </c>
      <c r="L12" s="1277">
        <v>20</v>
      </c>
      <c r="M12" s="480">
        <v>13</v>
      </c>
      <c r="N12" s="1277">
        <v>13</v>
      </c>
      <c r="O12" s="1279">
        <f t="shared" si="0"/>
        <v>0.65</v>
      </c>
      <c r="P12" s="1280">
        <f t="shared" si="1"/>
        <v>0.65</v>
      </c>
    </row>
    <row r="13" spans="1:20" s="1275" customFormat="1" ht="17.25" thickBot="1">
      <c r="A13" s="1283" t="s">
        <v>1970</v>
      </c>
      <c r="B13" s="1284" t="s">
        <v>3</v>
      </c>
      <c r="C13" s="1284" t="s">
        <v>225</v>
      </c>
      <c r="D13" s="1284" t="s">
        <v>2</v>
      </c>
      <c r="E13" s="1285" t="s">
        <v>762</v>
      </c>
      <c r="F13" s="1284">
        <v>1</v>
      </c>
      <c r="G13" s="1284" t="s">
        <v>1969</v>
      </c>
      <c r="H13" s="1284">
        <v>113</v>
      </c>
      <c r="I13" s="1284">
        <v>900</v>
      </c>
      <c r="J13" s="1286">
        <v>46077</v>
      </c>
      <c r="K13" s="1286">
        <v>46244</v>
      </c>
      <c r="L13" s="1284">
        <v>20</v>
      </c>
      <c r="M13" s="1287">
        <v>8</v>
      </c>
      <c r="N13" s="1284">
        <v>8</v>
      </c>
      <c r="O13" s="1288">
        <f t="shared" si="0"/>
        <v>0.4</v>
      </c>
      <c r="P13" s="1289">
        <f t="shared" si="1"/>
        <v>0.4</v>
      </c>
    </row>
    <row r="14" spans="1:20">
      <c r="A14" s="1221" t="s">
        <v>1975</v>
      </c>
      <c r="B14" s="224" t="s">
        <v>7</v>
      </c>
      <c r="C14" s="224" t="s">
        <v>225</v>
      </c>
      <c r="D14" s="224" t="s">
        <v>2</v>
      </c>
      <c r="E14" s="1222" t="s">
        <v>773</v>
      </c>
      <c r="F14" s="224">
        <v>1</v>
      </c>
      <c r="G14" s="224" t="s">
        <v>1971</v>
      </c>
      <c r="H14" s="224">
        <v>90</v>
      </c>
      <c r="I14" s="224">
        <v>715</v>
      </c>
      <c r="J14" s="225">
        <v>46084</v>
      </c>
      <c r="K14" s="225">
        <v>46217</v>
      </c>
      <c r="L14" s="224">
        <v>20</v>
      </c>
      <c r="M14" s="113">
        <v>19</v>
      </c>
      <c r="N14" s="224">
        <v>20</v>
      </c>
      <c r="O14" s="1228">
        <f t="shared" si="0"/>
        <v>0.95</v>
      </c>
      <c r="P14" s="1194">
        <f t="shared" si="1"/>
        <v>1</v>
      </c>
    </row>
    <row r="15" spans="1:20">
      <c r="A15" s="1223" t="s">
        <v>1975</v>
      </c>
      <c r="B15" s="83" t="s">
        <v>3</v>
      </c>
      <c r="C15" s="83" t="s">
        <v>225</v>
      </c>
      <c r="D15" s="83" t="s">
        <v>807</v>
      </c>
      <c r="E15" s="83" t="s">
        <v>927</v>
      </c>
      <c r="F15" s="83">
        <v>1</v>
      </c>
      <c r="G15" s="83" t="s">
        <v>880</v>
      </c>
      <c r="H15" s="83">
        <v>108</v>
      </c>
      <c r="I15" s="83">
        <v>864</v>
      </c>
      <c r="J15" s="85">
        <v>46085</v>
      </c>
      <c r="K15" s="85">
        <v>46241</v>
      </c>
      <c r="L15" s="83">
        <v>20</v>
      </c>
      <c r="M15" s="82">
        <v>17</v>
      </c>
      <c r="N15" s="83">
        <v>18</v>
      </c>
      <c r="O15" s="1227">
        <f t="shared" si="0"/>
        <v>0.85</v>
      </c>
      <c r="P15" s="1229">
        <f t="shared" si="1"/>
        <v>0.9</v>
      </c>
    </row>
    <row r="16" spans="1:20">
      <c r="A16" s="1223" t="s">
        <v>1975</v>
      </c>
      <c r="B16" s="83" t="s">
        <v>7</v>
      </c>
      <c r="C16" s="83" t="s">
        <v>228</v>
      </c>
      <c r="D16" s="83" t="s">
        <v>326</v>
      </c>
      <c r="E16" s="83" t="s">
        <v>773</v>
      </c>
      <c r="F16" s="83">
        <v>1</v>
      </c>
      <c r="G16" s="83" t="s">
        <v>1972</v>
      </c>
      <c r="H16" s="83">
        <v>70</v>
      </c>
      <c r="I16" s="83">
        <v>280</v>
      </c>
      <c r="J16" s="85">
        <v>46086</v>
      </c>
      <c r="K16" s="85">
        <v>46189</v>
      </c>
      <c r="L16" s="83">
        <v>20</v>
      </c>
      <c r="M16" s="82">
        <v>8</v>
      </c>
      <c r="N16" s="83">
        <v>13</v>
      </c>
      <c r="O16" s="1220">
        <f t="shared" si="0"/>
        <v>0.4</v>
      </c>
      <c r="P16" s="1196">
        <f t="shared" si="1"/>
        <v>0.65</v>
      </c>
    </row>
    <row r="17" spans="1:16">
      <c r="A17" s="1223" t="s">
        <v>1975</v>
      </c>
      <c r="B17" s="83" t="s">
        <v>858</v>
      </c>
      <c r="C17" s="83" t="s">
        <v>194</v>
      </c>
      <c r="D17" s="83" t="s">
        <v>326</v>
      </c>
      <c r="E17" s="1195" t="s">
        <v>798</v>
      </c>
      <c r="F17" s="83">
        <v>2</v>
      </c>
      <c r="G17" s="83" t="s">
        <v>1232</v>
      </c>
      <c r="H17" s="83">
        <v>38</v>
      </c>
      <c r="I17" s="83">
        <v>150</v>
      </c>
      <c r="J17" s="85">
        <v>46088</v>
      </c>
      <c r="K17" s="85">
        <v>46222</v>
      </c>
      <c r="L17" s="83">
        <v>20</v>
      </c>
      <c r="M17" s="82">
        <v>18</v>
      </c>
      <c r="N17" s="83">
        <v>21</v>
      </c>
      <c r="O17" s="1220">
        <f t="shared" si="0"/>
        <v>0.9</v>
      </c>
      <c r="P17" s="1196">
        <f t="shared" si="1"/>
        <v>1.05</v>
      </c>
    </row>
    <row r="18" spans="1:16">
      <c r="A18" s="1223" t="s">
        <v>1975</v>
      </c>
      <c r="B18" s="83" t="s">
        <v>47</v>
      </c>
      <c r="C18" s="83" t="s">
        <v>1205</v>
      </c>
      <c r="D18" s="83" t="s">
        <v>1209</v>
      </c>
      <c r="E18" s="1195" t="s">
        <v>763</v>
      </c>
      <c r="F18" s="83">
        <v>1</v>
      </c>
      <c r="G18" s="83" t="s">
        <v>1973</v>
      </c>
      <c r="H18" s="83">
        <v>176</v>
      </c>
      <c r="I18" s="83">
        <v>1232</v>
      </c>
      <c r="J18" s="85">
        <v>46090</v>
      </c>
      <c r="K18" s="85">
        <v>46393</v>
      </c>
      <c r="L18" s="83">
        <v>20</v>
      </c>
      <c r="M18" s="82">
        <v>20</v>
      </c>
      <c r="N18" s="83">
        <v>22</v>
      </c>
      <c r="O18" s="1220">
        <f t="shared" si="0"/>
        <v>1</v>
      </c>
      <c r="P18" s="1196">
        <f t="shared" si="1"/>
        <v>1.1000000000000001</v>
      </c>
    </row>
    <row r="19" spans="1:16" ht="17.25" thickBot="1">
      <c r="A19" s="1224" t="s">
        <v>1975</v>
      </c>
      <c r="B19" s="205" t="s">
        <v>47</v>
      </c>
      <c r="C19" s="205" t="s">
        <v>769</v>
      </c>
      <c r="D19" s="205" t="s">
        <v>2</v>
      </c>
      <c r="E19" s="205" t="s">
        <v>763</v>
      </c>
      <c r="F19" s="205">
        <v>1</v>
      </c>
      <c r="G19" s="205" t="s">
        <v>1974</v>
      </c>
      <c r="H19" s="205">
        <v>174</v>
      </c>
      <c r="I19" s="205">
        <v>870</v>
      </c>
      <c r="J19" s="208">
        <v>46091</v>
      </c>
      <c r="K19" s="208">
        <v>46344</v>
      </c>
      <c r="L19" s="205">
        <v>20</v>
      </c>
      <c r="M19" s="191">
        <v>12</v>
      </c>
      <c r="N19" s="205">
        <v>13</v>
      </c>
      <c r="O19" s="1225">
        <f t="shared" si="0"/>
        <v>0.6</v>
      </c>
      <c r="P19" s="1226">
        <f t="shared" si="1"/>
        <v>0.65</v>
      </c>
    </row>
  </sheetData>
  <autoFilter ref="A2:P6" xr:uid="{00000000-0009-0000-0000-000001000000}"/>
  <phoneticPr fontId="6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7BBC9-5EEA-4785-9653-9BF1A75BDF15}">
  <sheetPr>
    <tabColor theme="4" tint="0.79998168889431442"/>
  </sheetPr>
  <dimension ref="A1:U193"/>
  <sheetViews>
    <sheetView tabSelected="1" zoomScale="85" zoomScaleNormal="85" workbookViewId="0">
      <pane ySplit="2" topLeftCell="A3" activePane="bottomLeft" state="frozen"/>
      <selection activeCell="L21" sqref="L21"/>
      <selection pane="bottomLeft" activeCell="M3" sqref="M3:M20"/>
    </sheetView>
  </sheetViews>
  <sheetFormatPr defaultRowHeight="16.5"/>
  <cols>
    <col min="1" max="4" width="9" style="1013"/>
    <col min="5" max="5" width="26.375" style="1013" bestFit="1" customWidth="1"/>
    <col min="6" max="6" width="8.125" style="1013" customWidth="1"/>
    <col min="7" max="7" width="69.875" style="1014" bestFit="1" customWidth="1"/>
    <col min="8" max="9" width="9" style="1013" customWidth="1"/>
    <col min="10" max="11" width="10.625" style="1013" bestFit="1" customWidth="1"/>
    <col min="12" max="16" width="9" style="1013"/>
    <col min="17" max="17" width="6.5" style="1013" customWidth="1"/>
    <col min="18" max="16384" width="9" style="1013"/>
  </cols>
  <sheetData>
    <row r="1" spans="1:21">
      <c r="L1" s="1015">
        <f>SUM(L3:L278)</f>
        <v>3950</v>
      </c>
      <c r="M1" s="1015">
        <f>SUM(M3:M278)</f>
        <v>2292</v>
      </c>
      <c r="N1" s="1015">
        <f>SUM(N3:N278)</f>
        <v>2928</v>
      </c>
      <c r="O1" s="1016">
        <f>M1/L1</f>
        <v>0.58025316455696208</v>
      </c>
      <c r="P1" s="1016">
        <f>N1/L1</f>
        <v>0.74126582278481012</v>
      </c>
    </row>
    <row r="2" spans="1:21" ht="17.25" thickBot="1">
      <c r="A2" s="1073" t="s">
        <v>766</v>
      </c>
      <c r="B2" s="1073" t="s">
        <v>18</v>
      </c>
      <c r="C2" s="1073" t="s">
        <v>1731</v>
      </c>
      <c r="D2" s="1073" t="s">
        <v>1732</v>
      </c>
      <c r="E2" s="1074" t="s">
        <v>761</v>
      </c>
      <c r="F2" s="1075" t="s">
        <v>796</v>
      </c>
      <c r="G2" s="1076" t="s">
        <v>1733</v>
      </c>
      <c r="H2" s="1073" t="s">
        <v>19</v>
      </c>
      <c r="I2" s="1073" t="s">
        <v>20</v>
      </c>
      <c r="J2" s="1077" t="s">
        <v>1734</v>
      </c>
      <c r="K2" s="1077" t="s">
        <v>1735</v>
      </c>
      <c r="L2" s="1073" t="s">
        <v>97</v>
      </c>
      <c r="M2" s="1073" t="s">
        <v>9</v>
      </c>
      <c r="N2" s="1073" t="s">
        <v>25</v>
      </c>
      <c r="O2" s="1073" t="s">
        <v>26</v>
      </c>
      <c r="P2" s="1073" t="s">
        <v>8</v>
      </c>
    </row>
    <row r="3" spans="1:21">
      <c r="A3" s="1078" t="s">
        <v>1667</v>
      </c>
      <c r="B3" s="1079" t="s">
        <v>858</v>
      </c>
      <c r="C3" s="1079" t="s">
        <v>1736</v>
      </c>
      <c r="D3" s="1079" t="s">
        <v>326</v>
      </c>
      <c r="E3" s="1080" t="s">
        <v>1737</v>
      </c>
      <c r="F3" s="1079">
        <v>1</v>
      </c>
      <c r="G3" s="1081" t="s">
        <v>1738</v>
      </c>
      <c r="H3" s="1079">
        <v>47</v>
      </c>
      <c r="I3" s="1079">
        <v>139</v>
      </c>
      <c r="J3" s="1082">
        <v>45663</v>
      </c>
      <c r="K3" s="1082">
        <v>45751</v>
      </c>
      <c r="L3" s="1079">
        <v>20</v>
      </c>
      <c r="M3" s="1083">
        <v>12</v>
      </c>
      <c r="N3" s="1079">
        <v>13</v>
      </c>
      <c r="O3" s="1084">
        <f>M3/L3</f>
        <v>0.6</v>
      </c>
      <c r="P3" s="1085">
        <f>N3/L3</f>
        <v>0.65</v>
      </c>
      <c r="Q3" s="1178"/>
    </row>
    <row r="4" spans="1:21">
      <c r="A4" s="1086" t="s">
        <v>1667</v>
      </c>
      <c r="B4" s="1025" t="s">
        <v>47</v>
      </c>
      <c r="C4" s="1025" t="s">
        <v>1739</v>
      </c>
      <c r="D4" s="1025" t="s">
        <v>326</v>
      </c>
      <c r="E4" s="1035" t="s">
        <v>763</v>
      </c>
      <c r="F4" s="1025">
        <v>1</v>
      </c>
      <c r="G4" s="1022" t="s">
        <v>1139</v>
      </c>
      <c r="H4" s="1025">
        <v>62</v>
      </c>
      <c r="I4" s="1025">
        <v>370</v>
      </c>
      <c r="J4" s="1027">
        <v>45665</v>
      </c>
      <c r="K4" s="1027">
        <v>45757</v>
      </c>
      <c r="L4" s="1025">
        <v>20</v>
      </c>
      <c r="M4" s="1028">
        <v>5</v>
      </c>
      <c r="N4" s="1025">
        <v>6</v>
      </c>
      <c r="O4" s="1052">
        <f t="shared" ref="O4:O32" si="0">M4/L4</f>
        <v>0.25</v>
      </c>
      <c r="P4" s="1087">
        <f t="shared" ref="P4:P32" si="1">N4/L4</f>
        <v>0.3</v>
      </c>
      <c r="Q4" s="1178"/>
    </row>
    <row r="5" spans="1:21">
      <c r="A5" s="1086" t="s">
        <v>1667</v>
      </c>
      <c r="B5" s="1025" t="s">
        <v>858</v>
      </c>
      <c r="C5" s="1025" t="s">
        <v>1736</v>
      </c>
      <c r="D5" s="1025" t="s">
        <v>326</v>
      </c>
      <c r="E5" s="1035" t="s">
        <v>1740</v>
      </c>
      <c r="F5" s="1025">
        <v>1</v>
      </c>
      <c r="G5" s="1026" t="s">
        <v>272</v>
      </c>
      <c r="H5" s="1025">
        <v>37</v>
      </c>
      <c r="I5" s="1025">
        <v>152</v>
      </c>
      <c r="J5" s="1027">
        <v>45666</v>
      </c>
      <c r="K5" s="1027">
        <v>45727</v>
      </c>
      <c r="L5" s="1025">
        <v>20</v>
      </c>
      <c r="M5" s="1028">
        <v>7</v>
      </c>
      <c r="N5" s="1025">
        <v>7</v>
      </c>
      <c r="O5" s="1052">
        <f>M5/L5</f>
        <v>0.35</v>
      </c>
      <c r="P5" s="1087">
        <f>N5/L5</f>
        <v>0.35</v>
      </c>
      <c r="Q5" s="1178"/>
    </row>
    <row r="6" spans="1:21">
      <c r="A6" s="1086" t="s">
        <v>1667</v>
      </c>
      <c r="B6" s="1025" t="s">
        <v>858</v>
      </c>
      <c r="C6" s="1025" t="s">
        <v>1736</v>
      </c>
      <c r="D6" s="1025" t="s">
        <v>326</v>
      </c>
      <c r="E6" s="1035" t="s">
        <v>1741</v>
      </c>
      <c r="F6" s="1025">
        <v>1</v>
      </c>
      <c r="G6" s="1022" t="s">
        <v>1232</v>
      </c>
      <c r="H6" s="1025">
        <v>38</v>
      </c>
      <c r="I6" s="1025">
        <v>150</v>
      </c>
      <c r="J6" s="1027">
        <v>45675</v>
      </c>
      <c r="K6" s="1027">
        <v>45823</v>
      </c>
      <c r="L6" s="1025">
        <v>20</v>
      </c>
      <c r="M6" s="1028">
        <v>15</v>
      </c>
      <c r="N6" s="1025">
        <v>16</v>
      </c>
      <c r="O6" s="1052">
        <f>M6/L6</f>
        <v>0.75</v>
      </c>
      <c r="P6" s="1087">
        <f>N6/L6</f>
        <v>0.8</v>
      </c>
      <c r="Q6" s="1178"/>
    </row>
    <row r="7" spans="1:21">
      <c r="A7" s="1086" t="s">
        <v>1667</v>
      </c>
      <c r="B7" s="1025" t="s">
        <v>47</v>
      </c>
      <c r="C7" s="1025" t="s">
        <v>1736</v>
      </c>
      <c r="D7" s="1025" t="s">
        <v>326</v>
      </c>
      <c r="E7" s="1035" t="s">
        <v>763</v>
      </c>
      <c r="F7" s="1025">
        <v>1</v>
      </c>
      <c r="G7" s="1026" t="s">
        <v>1742</v>
      </c>
      <c r="H7" s="1025">
        <v>93</v>
      </c>
      <c r="I7" s="1025">
        <v>370</v>
      </c>
      <c r="J7" s="1027">
        <v>45677</v>
      </c>
      <c r="K7" s="1027">
        <v>45813</v>
      </c>
      <c r="L7" s="1025">
        <v>13</v>
      </c>
      <c r="M7" s="1028">
        <v>10</v>
      </c>
      <c r="N7" s="1025">
        <v>10</v>
      </c>
      <c r="O7" s="1052">
        <f t="shared" si="0"/>
        <v>0.76923076923076927</v>
      </c>
      <c r="P7" s="1087">
        <f t="shared" si="1"/>
        <v>0.76923076923076927</v>
      </c>
      <c r="Q7" s="1178"/>
    </row>
    <row r="8" spans="1:21" ht="17.25" thickBot="1">
      <c r="A8" s="1093" t="s">
        <v>1667</v>
      </c>
      <c r="B8" s="1050" t="s">
        <v>47</v>
      </c>
      <c r="C8" s="1050" t="s">
        <v>1743</v>
      </c>
      <c r="D8" s="1050" t="s">
        <v>2</v>
      </c>
      <c r="E8" s="1064" t="s">
        <v>809</v>
      </c>
      <c r="F8" s="1050">
        <v>1</v>
      </c>
      <c r="G8" s="1094" t="s">
        <v>1744</v>
      </c>
      <c r="H8" s="1050">
        <v>174</v>
      </c>
      <c r="I8" s="1050">
        <v>870</v>
      </c>
      <c r="J8" s="1095">
        <v>45677</v>
      </c>
      <c r="K8" s="1095">
        <v>45944</v>
      </c>
      <c r="L8" s="1050">
        <v>22</v>
      </c>
      <c r="M8" s="1096">
        <v>10</v>
      </c>
      <c r="N8" s="1050">
        <v>10</v>
      </c>
      <c r="O8" s="1097">
        <f t="shared" si="0"/>
        <v>0.45454545454545453</v>
      </c>
      <c r="P8" s="1098">
        <f t="shared" si="1"/>
        <v>0.45454545454545453</v>
      </c>
      <c r="Q8" s="1191">
        <f>COUNTA(G3:G8)</f>
        <v>6</v>
      </c>
      <c r="R8" s="997">
        <f>SUM(L3:L8)</f>
        <v>115</v>
      </c>
      <c r="S8" s="997">
        <f>SUM(M3:M8)</f>
        <v>59</v>
      </c>
      <c r="T8" s="998">
        <f>S8/R8</f>
        <v>0.5130434782608696</v>
      </c>
      <c r="U8"/>
    </row>
    <row r="9" spans="1:21">
      <c r="A9" s="1290" t="s">
        <v>1669</v>
      </c>
      <c r="B9" s="1291" t="s">
        <v>1412</v>
      </c>
      <c r="C9" s="1291" t="s">
        <v>1745</v>
      </c>
      <c r="D9" s="1291" t="s">
        <v>1211</v>
      </c>
      <c r="E9" s="1292" t="s">
        <v>1643</v>
      </c>
      <c r="F9" s="1291">
        <v>1</v>
      </c>
      <c r="G9" s="1293" t="s">
        <v>1746</v>
      </c>
      <c r="H9" s="1291">
        <v>93</v>
      </c>
      <c r="I9" s="1291">
        <v>370</v>
      </c>
      <c r="J9" s="1294">
        <v>45693</v>
      </c>
      <c r="K9" s="1294">
        <v>45860</v>
      </c>
      <c r="L9" s="1291">
        <v>20</v>
      </c>
      <c r="M9" s="1291">
        <v>6</v>
      </c>
      <c r="N9" s="1291">
        <v>10</v>
      </c>
      <c r="O9" s="1295">
        <f t="shared" si="0"/>
        <v>0.3</v>
      </c>
      <c r="P9" s="1296">
        <f t="shared" si="1"/>
        <v>0.5</v>
      </c>
      <c r="Q9" s="1188"/>
    </row>
    <row r="10" spans="1:21">
      <c r="A10" s="1297" t="s">
        <v>1669</v>
      </c>
      <c r="B10" s="1298" t="s">
        <v>825</v>
      </c>
      <c r="C10" s="1298" t="s">
        <v>1747</v>
      </c>
      <c r="D10" s="1298" t="s">
        <v>1224</v>
      </c>
      <c r="E10" s="1299" t="s">
        <v>1630</v>
      </c>
      <c r="F10" s="1298">
        <v>1</v>
      </c>
      <c r="G10" s="1300" t="s">
        <v>1748</v>
      </c>
      <c r="H10" s="1298">
        <v>90</v>
      </c>
      <c r="I10" s="1298">
        <v>720</v>
      </c>
      <c r="J10" s="1301">
        <v>45699</v>
      </c>
      <c r="K10" s="1301">
        <v>45832</v>
      </c>
      <c r="L10" s="1298">
        <v>20</v>
      </c>
      <c r="M10" s="1298">
        <v>16</v>
      </c>
      <c r="N10" s="1298">
        <v>16</v>
      </c>
      <c r="O10" s="1302">
        <f t="shared" si="0"/>
        <v>0.8</v>
      </c>
      <c r="P10" s="1303">
        <f t="shared" si="1"/>
        <v>0.8</v>
      </c>
      <c r="Q10" s="1188"/>
    </row>
    <row r="11" spans="1:21">
      <c r="A11" s="1297" t="s">
        <v>1669</v>
      </c>
      <c r="B11" s="1298" t="s">
        <v>1638</v>
      </c>
      <c r="C11" s="1298" t="s">
        <v>1749</v>
      </c>
      <c r="D11" s="1298" t="s">
        <v>1214</v>
      </c>
      <c r="E11" s="1299" t="s">
        <v>1750</v>
      </c>
      <c r="F11" s="1298">
        <v>1</v>
      </c>
      <c r="G11" s="1300" t="s">
        <v>1751</v>
      </c>
      <c r="H11" s="1298">
        <v>133</v>
      </c>
      <c r="I11" s="1298">
        <v>660</v>
      </c>
      <c r="J11" s="1301">
        <v>45699</v>
      </c>
      <c r="K11" s="1301">
        <v>45890</v>
      </c>
      <c r="L11" s="1298">
        <v>20</v>
      </c>
      <c r="M11" s="1298">
        <v>18</v>
      </c>
      <c r="N11" s="1298">
        <v>22</v>
      </c>
      <c r="O11" s="1302">
        <f t="shared" si="0"/>
        <v>0.9</v>
      </c>
      <c r="P11" s="1303">
        <f t="shared" si="1"/>
        <v>1.1000000000000001</v>
      </c>
      <c r="Q11" s="1188"/>
    </row>
    <row r="12" spans="1:21">
      <c r="A12" s="1297" t="s">
        <v>1669</v>
      </c>
      <c r="B12" s="1298" t="s">
        <v>825</v>
      </c>
      <c r="C12" s="1298" t="s">
        <v>1752</v>
      </c>
      <c r="D12" s="1298" t="s">
        <v>1214</v>
      </c>
      <c r="E12" s="1299" t="s">
        <v>1630</v>
      </c>
      <c r="F12" s="1298">
        <v>1</v>
      </c>
      <c r="G12" s="1300" t="s">
        <v>1753</v>
      </c>
      <c r="H12" s="1298">
        <v>105</v>
      </c>
      <c r="I12" s="1298">
        <v>940</v>
      </c>
      <c r="J12" s="1301">
        <v>45701</v>
      </c>
      <c r="K12" s="1301">
        <v>45873</v>
      </c>
      <c r="L12" s="1298">
        <v>33</v>
      </c>
      <c r="M12" s="1298">
        <v>20</v>
      </c>
      <c r="N12" s="1298">
        <v>20</v>
      </c>
      <c r="O12" s="1302">
        <f t="shared" si="0"/>
        <v>0.60606060606060608</v>
      </c>
      <c r="P12" s="1303">
        <f t="shared" si="1"/>
        <v>0.60606060606060608</v>
      </c>
      <c r="Q12" s="1188"/>
    </row>
    <row r="13" spans="1:21">
      <c r="A13" s="1297" t="s">
        <v>1669</v>
      </c>
      <c r="B13" s="1298" t="s">
        <v>825</v>
      </c>
      <c r="C13" s="1298" t="s">
        <v>1743</v>
      </c>
      <c r="D13" s="1298" t="s">
        <v>1224</v>
      </c>
      <c r="E13" s="1299" t="s">
        <v>1754</v>
      </c>
      <c r="F13" s="1298">
        <v>2</v>
      </c>
      <c r="G13" s="1300" t="s">
        <v>1755</v>
      </c>
      <c r="H13" s="1298">
        <v>120</v>
      </c>
      <c r="I13" s="1298">
        <v>960</v>
      </c>
      <c r="J13" s="1301">
        <v>45706</v>
      </c>
      <c r="K13" s="1301">
        <v>45880</v>
      </c>
      <c r="L13" s="1298">
        <v>20</v>
      </c>
      <c r="M13" s="1298">
        <v>13</v>
      </c>
      <c r="N13" s="1298">
        <v>14</v>
      </c>
      <c r="O13" s="1302">
        <f t="shared" si="0"/>
        <v>0.65</v>
      </c>
      <c r="P13" s="1303">
        <f t="shared" si="1"/>
        <v>0.7</v>
      </c>
      <c r="Q13" s="1188"/>
    </row>
    <row r="14" spans="1:21">
      <c r="A14" s="1297" t="s">
        <v>1669</v>
      </c>
      <c r="B14" s="1298" t="s">
        <v>1756</v>
      </c>
      <c r="C14" s="1298" t="s">
        <v>1736</v>
      </c>
      <c r="D14" s="1298" t="s">
        <v>1211</v>
      </c>
      <c r="E14" s="1299" t="s">
        <v>1757</v>
      </c>
      <c r="F14" s="1298">
        <v>2</v>
      </c>
      <c r="G14" s="1300" t="s">
        <v>1758</v>
      </c>
      <c r="H14" s="1298">
        <v>38</v>
      </c>
      <c r="I14" s="1298">
        <v>139</v>
      </c>
      <c r="J14" s="1301">
        <v>45706</v>
      </c>
      <c r="K14" s="1301">
        <v>45793</v>
      </c>
      <c r="L14" s="1298">
        <v>20</v>
      </c>
      <c r="M14" s="1298">
        <v>12</v>
      </c>
      <c r="N14" s="1298">
        <v>12</v>
      </c>
      <c r="O14" s="1302">
        <f t="shared" si="0"/>
        <v>0.6</v>
      </c>
      <c r="P14" s="1303">
        <f t="shared" si="1"/>
        <v>0.6</v>
      </c>
      <c r="Q14" s="1188"/>
    </row>
    <row r="15" spans="1:21">
      <c r="A15" s="1297" t="s">
        <v>1669</v>
      </c>
      <c r="B15" s="1298" t="s">
        <v>825</v>
      </c>
      <c r="C15" s="1298" t="s">
        <v>1759</v>
      </c>
      <c r="D15" s="1298" t="s">
        <v>1214</v>
      </c>
      <c r="E15" s="1299" t="s">
        <v>1647</v>
      </c>
      <c r="F15" s="1298">
        <v>1</v>
      </c>
      <c r="G15" s="1300" t="s">
        <v>1760</v>
      </c>
      <c r="H15" s="1298">
        <v>115</v>
      </c>
      <c r="I15" s="1298">
        <v>916</v>
      </c>
      <c r="J15" s="1301">
        <v>45707</v>
      </c>
      <c r="K15" s="1301">
        <v>45874</v>
      </c>
      <c r="L15" s="1298">
        <v>25</v>
      </c>
      <c r="M15" s="1298">
        <v>21</v>
      </c>
      <c r="N15" s="1298">
        <v>21</v>
      </c>
      <c r="O15" s="1302">
        <f t="shared" si="0"/>
        <v>0.84</v>
      </c>
      <c r="P15" s="1303">
        <f t="shared" si="1"/>
        <v>0.84</v>
      </c>
      <c r="Q15" s="1188"/>
    </row>
    <row r="16" spans="1:21">
      <c r="A16" s="1297" t="s">
        <v>1669</v>
      </c>
      <c r="B16" s="1298" t="s">
        <v>1756</v>
      </c>
      <c r="C16" s="1298" t="s">
        <v>1736</v>
      </c>
      <c r="D16" s="1298" t="s">
        <v>1211</v>
      </c>
      <c r="E16" s="1299" t="s">
        <v>1761</v>
      </c>
      <c r="F16" s="1298">
        <v>2</v>
      </c>
      <c r="G16" s="1300" t="s">
        <v>1762</v>
      </c>
      <c r="H16" s="1298">
        <v>38</v>
      </c>
      <c r="I16" s="1298">
        <v>152</v>
      </c>
      <c r="J16" s="1301">
        <v>45713</v>
      </c>
      <c r="K16" s="1301">
        <v>45764</v>
      </c>
      <c r="L16" s="1298">
        <v>20</v>
      </c>
      <c r="M16" s="1298">
        <v>8</v>
      </c>
      <c r="N16" s="1298">
        <v>8</v>
      </c>
      <c r="O16" s="1302">
        <f t="shared" si="0"/>
        <v>0.4</v>
      </c>
      <c r="P16" s="1303">
        <f t="shared" si="1"/>
        <v>0.4</v>
      </c>
      <c r="Q16" s="1188"/>
    </row>
    <row r="17" spans="1:20">
      <c r="A17" s="1297" t="s">
        <v>1669</v>
      </c>
      <c r="B17" s="1298" t="s">
        <v>825</v>
      </c>
      <c r="C17" s="1298" t="s">
        <v>1736</v>
      </c>
      <c r="D17" s="1298" t="s">
        <v>1214</v>
      </c>
      <c r="E17" s="1299" t="s">
        <v>1630</v>
      </c>
      <c r="F17" s="1298">
        <v>1</v>
      </c>
      <c r="G17" s="1300" t="s">
        <v>1763</v>
      </c>
      <c r="H17" s="1298">
        <v>113</v>
      </c>
      <c r="I17" s="1298">
        <v>900</v>
      </c>
      <c r="J17" s="1301">
        <v>45714</v>
      </c>
      <c r="K17" s="1301">
        <v>45883</v>
      </c>
      <c r="L17" s="1298">
        <v>35</v>
      </c>
      <c r="M17" s="1298">
        <v>11</v>
      </c>
      <c r="N17" s="1298">
        <v>12</v>
      </c>
      <c r="O17" s="1302">
        <f t="shared" si="0"/>
        <v>0.31428571428571428</v>
      </c>
      <c r="P17" s="1303">
        <f t="shared" si="1"/>
        <v>0.34285714285714286</v>
      </c>
      <c r="Q17" s="1188"/>
    </row>
    <row r="18" spans="1:20">
      <c r="A18" s="1297" t="s">
        <v>1669</v>
      </c>
      <c r="B18" s="1298" t="s">
        <v>825</v>
      </c>
      <c r="C18" s="1298" t="s">
        <v>1736</v>
      </c>
      <c r="D18" s="1298" t="s">
        <v>1214</v>
      </c>
      <c r="E18" s="1299" t="s">
        <v>1630</v>
      </c>
      <c r="F18" s="1298">
        <v>1</v>
      </c>
      <c r="G18" s="1300" t="s">
        <v>1764</v>
      </c>
      <c r="H18" s="1298">
        <v>118</v>
      </c>
      <c r="I18" s="1298">
        <v>940</v>
      </c>
      <c r="J18" s="1301">
        <v>45714</v>
      </c>
      <c r="K18" s="1301">
        <v>45888</v>
      </c>
      <c r="L18" s="1298">
        <v>35</v>
      </c>
      <c r="M18" s="1298">
        <v>8</v>
      </c>
      <c r="N18" s="1298">
        <v>12</v>
      </c>
      <c r="O18" s="1302">
        <f t="shared" si="0"/>
        <v>0.22857142857142856</v>
      </c>
      <c r="P18" s="1303">
        <f t="shared" si="1"/>
        <v>0.34285714285714286</v>
      </c>
      <c r="Q18" s="1188"/>
    </row>
    <row r="19" spans="1:20">
      <c r="A19" s="1297" t="s">
        <v>1669</v>
      </c>
      <c r="B19" s="1298" t="s">
        <v>825</v>
      </c>
      <c r="C19" s="1298" t="s">
        <v>1752</v>
      </c>
      <c r="D19" s="1298" t="s">
        <v>1765</v>
      </c>
      <c r="E19" s="1299" t="s">
        <v>1766</v>
      </c>
      <c r="F19" s="1298">
        <v>1</v>
      </c>
      <c r="G19" s="1300" t="s">
        <v>1767</v>
      </c>
      <c r="H19" s="1298">
        <v>108</v>
      </c>
      <c r="I19" s="1298">
        <v>760</v>
      </c>
      <c r="J19" s="1301">
        <v>45714</v>
      </c>
      <c r="K19" s="1301">
        <v>45870</v>
      </c>
      <c r="L19" s="1298">
        <v>25</v>
      </c>
      <c r="M19" s="1298">
        <v>20</v>
      </c>
      <c r="N19" s="1298">
        <v>20</v>
      </c>
      <c r="O19" s="1302">
        <f t="shared" si="0"/>
        <v>0.8</v>
      </c>
      <c r="P19" s="1303">
        <f t="shared" si="1"/>
        <v>0.8</v>
      </c>
      <c r="Q19" s="1188"/>
    </row>
    <row r="20" spans="1:20" ht="17.25" thickBot="1">
      <c r="A20" s="1304" t="s">
        <v>1669</v>
      </c>
      <c r="B20" s="1305" t="s">
        <v>825</v>
      </c>
      <c r="C20" s="1305" t="s">
        <v>1749</v>
      </c>
      <c r="D20" s="1305" t="s">
        <v>1224</v>
      </c>
      <c r="E20" s="1306" t="s">
        <v>1630</v>
      </c>
      <c r="F20" s="1305">
        <v>1</v>
      </c>
      <c r="G20" s="1307" t="s">
        <v>1768</v>
      </c>
      <c r="H20" s="1305">
        <v>126</v>
      </c>
      <c r="I20" s="1305">
        <v>880</v>
      </c>
      <c r="J20" s="1308">
        <v>45716</v>
      </c>
      <c r="K20" s="1308">
        <v>45901</v>
      </c>
      <c r="L20" s="1305">
        <v>30</v>
      </c>
      <c r="M20" s="1305">
        <v>15</v>
      </c>
      <c r="N20" s="1305">
        <v>15</v>
      </c>
      <c r="O20" s="1309">
        <f t="shared" si="0"/>
        <v>0.5</v>
      </c>
      <c r="P20" s="1310">
        <f t="shared" si="1"/>
        <v>0.5</v>
      </c>
      <c r="Q20" s="1191">
        <f>COUNTA(G9:G20)</f>
        <v>12</v>
      </c>
      <c r="R20" s="997">
        <f>SUM(L9:L20)</f>
        <v>303</v>
      </c>
      <c r="S20" s="997">
        <f>SUM(M9:M20)</f>
        <v>168</v>
      </c>
      <c r="T20" s="998">
        <f>S20/R20</f>
        <v>0.5544554455445545</v>
      </c>
    </row>
    <row r="21" spans="1:20">
      <c r="A21" s="1078" t="s">
        <v>1672</v>
      </c>
      <c r="B21" s="1079" t="s">
        <v>825</v>
      </c>
      <c r="C21" s="1079" t="s">
        <v>1743</v>
      </c>
      <c r="D21" s="1079" t="s">
        <v>1765</v>
      </c>
      <c r="E21" s="1080" t="s">
        <v>1630</v>
      </c>
      <c r="F21" s="1079">
        <v>1</v>
      </c>
      <c r="G21" s="1081" t="s">
        <v>1769</v>
      </c>
      <c r="H21" s="1079">
        <v>103</v>
      </c>
      <c r="I21" s="1079">
        <v>820</v>
      </c>
      <c r="J21" s="1100">
        <v>45720</v>
      </c>
      <c r="K21" s="1100">
        <v>45881</v>
      </c>
      <c r="L21" s="1079">
        <v>30</v>
      </c>
      <c r="M21" s="1079">
        <v>11</v>
      </c>
      <c r="N21" s="1079">
        <v>11</v>
      </c>
      <c r="O21" s="1101">
        <f t="shared" si="0"/>
        <v>0.36666666666666664</v>
      </c>
      <c r="P21" s="1102">
        <f t="shared" si="1"/>
        <v>0.36666666666666664</v>
      </c>
      <c r="Q21" s="1188"/>
    </row>
    <row r="22" spans="1:20">
      <c r="A22" s="1086" t="s">
        <v>1672</v>
      </c>
      <c r="B22" s="1025" t="s">
        <v>1638</v>
      </c>
      <c r="C22" s="1025" t="s">
        <v>1749</v>
      </c>
      <c r="D22" s="1025" t="s">
        <v>1211</v>
      </c>
      <c r="E22" s="1035" t="s">
        <v>1770</v>
      </c>
      <c r="F22" s="1025">
        <v>4</v>
      </c>
      <c r="G22" s="1026" t="s">
        <v>1771</v>
      </c>
      <c r="H22" s="1025">
        <v>73</v>
      </c>
      <c r="I22" s="1025">
        <v>289</v>
      </c>
      <c r="J22" s="1037">
        <v>45720</v>
      </c>
      <c r="K22" s="1037">
        <v>45826</v>
      </c>
      <c r="L22" s="1025">
        <v>20</v>
      </c>
      <c r="M22" s="1025">
        <v>18</v>
      </c>
      <c r="N22" s="1025">
        <v>23</v>
      </c>
      <c r="O22" s="1024">
        <f t="shared" si="0"/>
        <v>0.9</v>
      </c>
      <c r="P22" s="1103">
        <f t="shared" si="1"/>
        <v>1.1499999999999999</v>
      </c>
      <c r="Q22" s="1188"/>
    </row>
    <row r="23" spans="1:20">
      <c r="A23" s="1086" t="s">
        <v>1672</v>
      </c>
      <c r="B23" s="1025" t="s">
        <v>1638</v>
      </c>
      <c r="C23" s="1025" t="s">
        <v>1749</v>
      </c>
      <c r="D23" s="1025" t="s">
        <v>1214</v>
      </c>
      <c r="E23" s="1035" t="s">
        <v>1640</v>
      </c>
      <c r="F23" s="1025">
        <v>1</v>
      </c>
      <c r="G23" s="1026" t="s">
        <v>1772</v>
      </c>
      <c r="H23" s="1025">
        <v>133</v>
      </c>
      <c r="I23" s="1025">
        <v>660</v>
      </c>
      <c r="J23" s="1037">
        <v>45721</v>
      </c>
      <c r="K23" s="1037">
        <v>45912</v>
      </c>
      <c r="L23" s="1025">
        <v>20</v>
      </c>
      <c r="M23" s="1025">
        <v>19</v>
      </c>
      <c r="N23" s="1025">
        <v>19</v>
      </c>
      <c r="O23" s="1024">
        <f t="shared" si="0"/>
        <v>0.95</v>
      </c>
      <c r="P23" s="1103">
        <f t="shared" si="1"/>
        <v>0.95</v>
      </c>
      <c r="Q23" s="1188"/>
    </row>
    <row r="24" spans="1:20">
      <c r="A24" s="1086" t="s">
        <v>1672</v>
      </c>
      <c r="B24" s="1025" t="s">
        <v>1756</v>
      </c>
      <c r="C24" s="1025" t="s">
        <v>1736</v>
      </c>
      <c r="D24" s="1025" t="s">
        <v>1211</v>
      </c>
      <c r="E24" s="1035" t="s">
        <v>798</v>
      </c>
      <c r="F24" s="1025">
        <v>2</v>
      </c>
      <c r="G24" s="1026" t="s">
        <v>1773</v>
      </c>
      <c r="H24" s="1028">
        <v>51</v>
      </c>
      <c r="I24" s="1028">
        <v>150</v>
      </c>
      <c r="J24" s="1037">
        <v>45724</v>
      </c>
      <c r="K24" s="1037">
        <v>45858</v>
      </c>
      <c r="L24" s="1025">
        <v>20</v>
      </c>
      <c r="M24" s="1025">
        <v>15</v>
      </c>
      <c r="N24" s="1025">
        <v>15</v>
      </c>
      <c r="O24" s="1024">
        <f t="shared" si="0"/>
        <v>0.75</v>
      </c>
      <c r="P24" s="1103">
        <f t="shared" si="1"/>
        <v>0.75</v>
      </c>
      <c r="Q24" s="1188"/>
    </row>
    <row r="25" spans="1:20">
      <c r="A25" s="1086" t="s">
        <v>1672</v>
      </c>
      <c r="B25" s="1025" t="s">
        <v>1638</v>
      </c>
      <c r="C25" s="1025" t="s">
        <v>1752</v>
      </c>
      <c r="D25" s="1025" t="s">
        <v>1214</v>
      </c>
      <c r="E25" s="1035" t="s">
        <v>1774</v>
      </c>
      <c r="F25" s="1025">
        <v>1</v>
      </c>
      <c r="G25" s="1026" t="s">
        <v>1775</v>
      </c>
      <c r="H25" s="1025">
        <v>108</v>
      </c>
      <c r="I25" s="1025">
        <v>645</v>
      </c>
      <c r="J25" s="1037">
        <v>45726</v>
      </c>
      <c r="K25" s="1037">
        <v>45877</v>
      </c>
      <c r="L25" s="1025">
        <v>20</v>
      </c>
      <c r="M25" s="1025">
        <v>20</v>
      </c>
      <c r="N25" s="1025">
        <v>27</v>
      </c>
      <c r="O25" s="1024">
        <f t="shared" si="0"/>
        <v>1</v>
      </c>
      <c r="P25" s="1103">
        <f t="shared" si="1"/>
        <v>1.35</v>
      </c>
      <c r="Q25" s="1188"/>
    </row>
    <row r="26" spans="1:20">
      <c r="A26" s="1086" t="s">
        <v>1672</v>
      </c>
      <c r="B26" s="1025" t="s">
        <v>1412</v>
      </c>
      <c r="C26" s="1025" t="s">
        <v>1776</v>
      </c>
      <c r="D26" s="1025" t="s">
        <v>1211</v>
      </c>
      <c r="E26" s="1035" t="s">
        <v>1643</v>
      </c>
      <c r="F26" s="1025">
        <v>1</v>
      </c>
      <c r="G26" s="1026" t="s">
        <v>1777</v>
      </c>
      <c r="H26" s="1025">
        <v>124</v>
      </c>
      <c r="I26" s="1025">
        <v>370</v>
      </c>
      <c r="J26" s="1037">
        <v>45727</v>
      </c>
      <c r="K26" s="1037">
        <v>45905</v>
      </c>
      <c r="L26" s="1025">
        <v>10</v>
      </c>
      <c r="M26" s="1025">
        <v>7</v>
      </c>
      <c r="N26" s="1025">
        <v>7</v>
      </c>
      <c r="O26" s="1024">
        <f t="shared" si="0"/>
        <v>0.7</v>
      </c>
      <c r="P26" s="1103">
        <f t="shared" si="1"/>
        <v>0.7</v>
      </c>
      <c r="Q26" s="1188"/>
    </row>
    <row r="27" spans="1:20">
      <c r="A27" s="1086" t="s">
        <v>1672</v>
      </c>
      <c r="B27" s="1025" t="s">
        <v>1638</v>
      </c>
      <c r="C27" s="1025" t="s">
        <v>1778</v>
      </c>
      <c r="D27" s="1025" t="s">
        <v>1214</v>
      </c>
      <c r="E27" s="1035" t="s">
        <v>1640</v>
      </c>
      <c r="F27" s="1025">
        <v>1</v>
      </c>
      <c r="G27" s="1026" t="s">
        <v>1779</v>
      </c>
      <c r="H27" s="1053">
        <v>133</v>
      </c>
      <c r="I27" s="1053">
        <v>665</v>
      </c>
      <c r="J27" s="1037">
        <v>45727</v>
      </c>
      <c r="K27" s="1037">
        <v>45917</v>
      </c>
      <c r="L27" s="1025">
        <v>26</v>
      </c>
      <c r="M27" s="1025">
        <v>14</v>
      </c>
      <c r="N27" s="1025">
        <v>19</v>
      </c>
      <c r="O27" s="1024">
        <f t="shared" si="0"/>
        <v>0.53846153846153844</v>
      </c>
      <c r="P27" s="1103">
        <f t="shared" si="1"/>
        <v>0.73076923076923073</v>
      </c>
      <c r="Q27" s="1188"/>
    </row>
    <row r="28" spans="1:20">
      <c r="A28" s="1086" t="s">
        <v>1672</v>
      </c>
      <c r="B28" s="1025" t="s">
        <v>825</v>
      </c>
      <c r="C28" s="1025" t="s">
        <v>1747</v>
      </c>
      <c r="D28" s="1025" t="s">
        <v>1224</v>
      </c>
      <c r="E28" s="1035" t="s">
        <v>1630</v>
      </c>
      <c r="F28" s="1025">
        <v>1</v>
      </c>
      <c r="G28" s="1026" t="s">
        <v>1780</v>
      </c>
      <c r="H28" s="1025">
        <v>90</v>
      </c>
      <c r="I28" s="1025">
        <v>720</v>
      </c>
      <c r="J28" s="1037">
        <v>45729</v>
      </c>
      <c r="K28" s="1037">
        <v>45861</v>
      </c>
      <c r="L28" s="1025">
        <v>20</v>
      </c>
      <c r="M28" s="1025">
        <v>15</v>
      </c>
      <c r="N28" s="1025">
        <v>15</v>
      </c>
      <c r="O28" s="1024">
        <f t="shared" si="0"/>
        <v>0.75</v>
      </c>
      <c r="P28" s="1103">
        <f t="shared" si="1"/>
        <v>0.75</v>
      </c>
      <c r="Q28" s="1188"/>
    </row>
    <row r="29" spans="1:20">
      <c r="A29" s="1086" t="s">
        <v>1672</v>
      </c>
      <c r="B29" s="1025" t="s">
        <v>825</v>
      </c>
      <c r="C29" s="1025" t="s">
        <v>1743</v>
      </c>
      <c r="D29" s="1025" t="s">
        <v>1214</v>
      </c>
      <c r="E29" s="1035" t="s">
        <v>1754</v>
      </c>
      <c r="F29" s="1025">
        <v>1</v>
      </c>
      <c r="G29" s="1026" t="s">
        <v>1781</v>
      </c>
      <c r="H29" s="1025">
        <v>98</v>
      </c>
      <c r="I29" s="1025">
        <v>777</v>
      </c>
      <c r="J29" s="1037">
        <v>45729</v>
      </c>
      <c r="K29" s="1037">
        <v>45870</v>
      </c>
      <c r="L29" s="1025">
        <v>22</v>
      </c>
      <c r="M29" s="1025">
        <v>17</v>
      </c>
      <c r="N29" s="1025">
        <v>17</v>
      </c>
      <c r="O29" s="1024">
        <f t="shared" si="0"/>
        <v>0.77272727272727271</v>
      </c>
      <c r="P29" s="1103">
        <f t="shared" si="1"/>
        <v>0.77272727272727271</v>
      </c>
      <c r="Q29" s="1188"/>
    </row>
    <row r="30" spans="1:20">
      <c r="A30" s="1086" t="s">
        <v>1672</v>
      </c>
      <c r="B30" s="1025" t="s">
        <v>1638</v>
      </c>
      <c r="C30" s="1025" t="s">
        <v>1782</v>
      </c>
      <c r="D30" s="1025" t="s">
        <v>1214</v>
      </c>
      <c r="E30" s="1035" t="s">
        <v>1641</v>
      </c>
      <c r="F30" s="1025">
        <v>1</v>
      </c>
      <c r="G30" s="1026" t="s">
        <v>1783</v>
      </c>
      <c r="H30" s="1025">
        <v>140</v>
      </c>
      <c r="I30" s="1025">
        <v>700</v>
      </c>
      <c r="J30" s="1037">
        <v>45729</v>
      </c>
      <c r="K30" s="1037">
        <v>45944</v>
      </c>
      <c r="L30" s="1025">
        <v>20</v>
      </c>
      <c r="M30" s="1025">
        <v>17</v>
      </c>
      <c r="N30" s="1025">
        <v>23</v>
      </c>
      <c r="O30" s="1024">
        <f t="shared" si="0"/>
        <v>0.85</v>
      </c>
      <c r="P30" s="1103">
        <f t="shared" si="1"/>
        <v>1.1499999999999999</v>
      </c>
      <c r="Q30" s="1188"/>
    </row>
    <row r="31" spans="1:20">
      <c r="A31" s="1086" t="s">
        <v>1672</v>
      </c>
      <c r="B31" s="1025" t="s">
        <v>1638</v>
      </c>
      <c r="C31" s="1025" t="s">
        <v>1736</v>
      </c>
      <c r="D31" s="1025" t="s">
        <v>1765</v>
      </c>
      <c r="E31" s="1035" t="s">
        <v>1770</v>
      </c>
      <c r="F31" s="1025">
        <v>1</v>
      </c>
      <c r="G31" s="1026" t="s">
        <v>1784</v>
      </c>
      <c r="H31" s="1025">
        <v>128</v>
      </c>
      <c r="I31" s="1025">
        <v>640</v>
      </c>
      <c r="J31" s="1037">
        <v>45730</v>
      </c>
      <c r="K31" s="1037">
        <v>45846</v>
      </c>
      <c r="L31" s="1025">
        <v>20</v>
      </c>
      <c r="M31" s="1025">
        <v>13</v>
      </c>
      <c r="N31" s="1025">
        <v>22</v>
      </c>
      <c r="O31" s="1024">
        <f t="shared" si="0"/>
        <v>0.65</v>
      </c>
      <c r="P31" s="1103">
        <f t="shared" si="1"/>
        <v>1.1000000000000001</v>
      </c>
      <c r="Q31" s="1188"/>
    </row>
    <row r="32" spans="1:20">
      <c r="A32" s="1086" t="s">
        <v>1672</v>
      </c>
      <c r="B32" s="1025" t="s">
        <v>1412</v>
      </c>
      <c r="C32" s="1025" t="s">
        <v>1749</v>
      </c>
      <c r="D32" s="1025" t="s">
        <v>1211</v>
      </c>
      <c r="E32" s="1035" t="s">
        <v>1643</v>
      </c>
      <c r="F32" s="1025">
        <v>1</v>
      </c>
      <c r="G32" s="1026" t="s">
        <v>1785</v>
      </c>
      <c r="H32" s="1025">
        <v>125</v>
      </c>
      <c r="I32" s="1025">
        <v>370</v>
      </c>
      <c r="J32" s="1037">
        <v>45733</v>
      </c>
      <c r="K32" s="1037">
        <v>45931</v>
      </c>
      <c r="L32" s="1025">
        <v>20</v>
      </c>
      <c r="M32" s="1025">
        <v>10</v>
      </c>
      <c r="N32" s="1025">
        <v>23</v>
      </c>
      <c r="O32" s="1024">
        <f t="shared" si="0"/>
        <v>0.5</v>
      </c>
      <c r="P32" s="1103">
        <f t="shared" si="1"/>
        <v>1.1499999999999999</v>
      </c>
      <c r="Q32" s="1188"/>
    </row>
    <row r="33" spans="1:20">
      <c r="A33" s="1086" t="s">
        <v>1672</v>
      </c>
      <c r="B33" s="1025" t="s">
        <v>825</v>
      </c>
      <c r="C33" s="1025" t="s">
        <v>1749</v>
      </c>
      <c r="D33" s="1025" t="s">
        <v>1765</v>
      </c>
      <c r="E33" s="1035" t="s">
        <v>1630</v>
      </c>
      <c r="F33" s="1025">
        <v>1</v>
      </c>
      <c r="G33" s="1026" t="s">
        <v>1786</v>
      </c>
      <c r="H33" s="1025">
        <v>126</v>
      </c>
      <c r="I33" s="1025">
        <v>880</v>
      </c>
      <c r="J33" s="1037">
        <v>45734</v>
      </c>
      <c r="K33" s="1037">
        <v>45877</v>
      </c>
      <c r="L33" s="1025">
        <v>30</v>
      </c>
      <c r="M33" s="1025">
        <v>11</v>
      </c>
      <c r="N33" s="1025">
        <v>11</v>
      </c>
      <c r="O33" s="1054">
        <v>0.5</v>
      </c>
      <c r="P33" s="1107">
        <v>1.1499999999999999</v>
      </c>
      <c r="Q33" s="1189"/>
    </row>
    <row r="34" spans="1:20">
      <c r="A34" s="1086" t="s">
        <v>1672</v>
      </c>
      <c r="B34" s="1025" t="s">
        <v>1638</v>
      </c>
      <c r="C34" s="1025" t="s">
        <v>1745</v>
      </c>
      <c r="D34" s="1025" t="s">
        <v>1211</v>
      </c>
      <c r="E34" s="1035" t="s">
        <v>1641</v>
      </c>
      <c r="F34" s="1025">
        <v>1</v>
      </c>
      <c r="G34" s="1026" t="s">
        <v>1787</v>
      </c>
      <c r="H34" s="1025">
        <v>80</v>
      </c>
      <c r="I34" s="1025">
        <v>320</v>
      </c>
      <c r="J34" s="1037">
        <v>45734</v>
      </c>
      <c r="K34" s="1037">
        <v>45852</v>
      </c>
      <c r="L34" s="1025">
        <v>18</v>
      </c>
      <c r="M34" s="1025">
        <v>7</v>
      </c>
      <c r="N34" s="1025">
        <v>7</v>
      </c>
      <c r="O34" s="1024">
        <f>M34/L34</f>
        <v>0.3888888888888889</v>
      </c>
      <c r="P34" s="1103">
        <f>N34/L34</f>
        <v>0.3888888888888889</v>
      </c>
      <c r="Q34" s="1188"/>
    </row>
    <row r="35" spans="1:20">
      <c r="A35" s="1086" t="s">
        <v>1672</v>
      </c>
      <c r="B35" s="1025" t="s">
        <v>1638</v>
      </c>
      <c r="C35" s="1025" t="s">
        <v>1788</v>
      </c>
      <c r="D35" s="1025" t="s">
        <v>1215</v>
      </c>
      <c r="E35" s="1035" t="s">
        <v>1789</v>
      </c>
      <c r="F35" s="1025">
        <v>1</v>
      </c>
      <c r="G35" s="1026" t="s">
        <v>1790</v>
      </c>
      <c r="H35" s="1025">
        <v>176</v>
      </c>
      <c r="I35" s="1025">
        <v>1232</v>
      </c>
      <c r="J35" s="1037">
        <v>45734</v>
      </c>
      <c r="K35" s="1037">
        <v>46022</v>
      </c>
      <c r="L35" s="1025">
        <v>20</v>
      </c>
      <c r="M35" s="1025">
        <v>9</v>
      </c>
      <c r="N35" s="1025">
        <v>9</v>
      </c>
      <c r="O35" s="1024">
        <f t="shared" ref="O35:O60" si="2">M35/L35</f>
        <v>0.45</v>
      </c>
      <c r="P35" s="1103">
        <f t="shared" ref="P35:P60" si="3">N35/L35</f>
        <v>0.45</v>
      </c>
      <c r="Q35" s="1188"/>
    </row>
    <row r="36" spans="1:20">
      <c r="A36" s="1086" t="s">
        <v>1672</v>
      </c>
      <c r="B36" s="1025" t="s">
        <v>1638</v>
      </c>
      <c r="C36" s="1025" t="s">
        <v>1791</v>
      </c>
      <c r="D36" s="1025" t="s">
        <v>1211</v>
      </c>
      <c r="E36" s="1035" t="s">
        <v>1770</v>
      </c>
      <c r="F36" s="1025">
        <v>1</v>
      </c>
      <c r="G36" s="1026" t="s">
        <v>1792</v>
      </c>
      <c r="H36" s="1025">
        <v>58</v>
      </c>
      <c r="I36" s="1025">
        <v>290</v>
      </c>
      <c r="J36" s="1037">
        <v>45735</v>
      </c>
      <c r="K36" s="1037">
        <v>45825</v>
      </c>
      <c r="L36" s="1025">
        <v>20</v>
      </c>
      <c r="M36" s="1025">
        <v>18</v>
      </c>
      <c r="N36" s="1025">
        <v>19</v>
      </c>
      <c r="O36" s="1024">
        <f t="shared" si="2"/>
        <v>0.9</v>
      </c>
      <c r="P36" s="1103">
        <f t="shared" si="3"/>
        <v>0.95</v>
      </c>
      <c r="Q36" s="1188"/>
    </row>
    <row r="37" spans="1:20">
      <c r="A37" s="1086" t="s">
        <v>1672</v>
      </c>
      <c r="B37" s="1025" t="s">
        <v>1638</v>
      </c>
      <c r="C37" s="1025" t="s">
        <v>1749</v>
      </c>
      <c r="D37" s="1025" t="s">
        <v>1211</v>
      </c>
      <c r="E37" s="1035" t="s">
        <v>1641</v>
      </c>
      <c r="F37" s="1025">
        <v>1</v>
      </c>
      <c r="G37" s="1026" t="s">
        <v>1793</v>
      </c>
      <c r="H37" s="1025">
        <v>80</v>
      </c>
      <c r="I37" s="1025">
        <v>320</v>
      </c>
      <c r="J37" s="1037">
        <v>45736</v>
      </c>
      <c r="K37" s="1037">
        <v>45839</v>
      </c>
      <c r="L37" s="1025">
        <v>20</v>
      </c>
      <c r="M37" s="1025">
        <v>11</v>
      </c>
      <c r="N37" s="1025">
        <v>16</v>
      </c>
      <c r="O37" s="1024">
        <f t="shared" si="2"/>
        <v>0.55000000000000004</v>
      </c>
      <c r="P37" s="1103">
        <f t="shared" si="3"/>
        <v>0.8</v>
      </c>
      <c r="Q37" s="1188"/>
    </row>
    <row r="38" spans="1:20">
      <c r="A38" s="1086" t="s">
        <v>1672</v>
      </c>
      <c r="B38" s="1025" t="s">
        <v>1638</v>
      </c>
      <c r="C38" s="1025" t="s">
        <v>1794</v>
      </c>
      <c r="D38" s="1025" t="s">
        <v>1214</v>
      </c>
      <c r="E38" s="1035" t="s">
        <v>1640</v>
      </c>
      <c r="F38" s="1025">
        <v>1</v>
      </c>
      <c r="G38" s="1026" t="s">
        <v>1795</v>
      </c>
      <c r="H38" s="1025">
        <v>132</v>
      </c>
      <c r="I38" s="1025">
        <v>660</v>
      </c>
      <c r="J38" s="1037">
        <v>45740</v>
      </c>
      <c r="K38" s="1037">
        <v>45929</v>
      </c>
      <c r="L38" s="1025">
        <v>20</v>
      </c>
      <c r="M38" s="1025">
        <v>17</v>
      </c>
      <c r="N38" s="1025">
        <v>30</v>
      </c>
      <c r="O38" s="1024">
        <f t="shared" si="2"/>
        <v>0.85</v>
      </c>
      <c r="P38" s="1103">
        <f t="shared" si="3"/>
        <v>1.5</v>
      </c>
      <c r="Q38" s="1188"/>
    </row>
    <row r="39" spans="1:20">
      <c r="A39" s="1086" t="s">
        <v>1672</v>
      </c>
      <c r="B39" s="1025" t="s">
        <v>825</v>
      </c>
      <c r="C39" s="1025" t="s">
        <v>1752</v>
      </c>
      <c r="D39" s="1025" t="s">
        <v>1214</v>
      </c>
      <c r="E39" s="1035" t="s">
        <v>1796</v>
      </c>
      <c r="F39" s="1025">
        <v>1</v>
      </c>
      <c r="G39" s="1026" t="s">
        <v>1797</v>
      </c>
      <c r="H39" s="1053">
        <v>113</v>
      </c>
      <c r="I39" s="1053">
        <v>900</v>
      </c>
      <c r="J39" s="1037">
        <v>45741</v>
      </c>
      <c r="K39" s="1037">
        <v>45904</v>
      </c>
      <c r="L39" s="1025">
        <v>25</v>
      </c>
      <c r="M39" s="1025">
        <v>15</v>
      </c>
      <c r="N39" s="1025">
        <v>16</v>
      </c>
      <c r="O39" s="1024">
        <f t="shared" si="2"/>
        <v>0.6</v>
      </c>
      <c r="P39" s="1103">
        <f t="shared" si="3"/>
        <v>0.64</v>
      </c>
      <c r="Q39" s="1188"/>
    </row>
    <row r="40" spans="1:20">
      <c r="A40" s="1086" t="s">
        <v>1672</v>
      </c>
      <c r="B40" s="1025" t="s">
        <v>1638</v>
      </c>
      <c r="C40" s="1025" t="s">
        <v>1747</v>
      </c>
      <c r="D40" s="1025" t="s">
        <v>1214</v>
      </c>
      <c r="E40" s="1035" t="s">
        <v>1640</v>
      </c>
      <c r="F40" s="1025">
        <v>1</v>
      </c>
      <c r="G40" s="1026" t="s">
        <v>1798</v>
      </c>
      <c r="H40" s="1025">
        <v>150</v>
      </c>
      <c r="I40" s="1025">
        <v>600</v>
      </c>
      <c r="J40" s="1037">
        <v>45741</v>
      </c>
      <c r="K40" s="1037">
        <v>45994</v>
      </c>
      <c r="L40" s="1025">
        <v>20</v>
      </c>
      <c r="M40" s="1025">
        <v>11</v>
      </c>
      <c r="N40" s="1025">
        <v>14</v>
      </c>
      <c r="O40" s="1024">
        <f t="shared" si="2"/>
        <v>0.55000000000000004</v>
      </c>
      <c r="P40" s="1103">
        <f t="shared" si="3"/>
        <v>0.7</v>
      </c>
      <c r="Q40" s="1188"/>
    </row>
    <row r="41" spans="1:20">
      <c r="A41" s="1086" t="s">
        <v>1672</v>
      </c>
      <c r="B41" s="1025" t="s">
        <v>1638</v>
      </c>
      <c r="C41" s="1025" t="s">
        <v>1776</v>
      </c>
      <c r="D41" s="1025" t="s">
        <v>1211</v>
      </c>
      <c r="E41" s="1035" t="s">
        <v>1770</v>
      </c>
      <c r="F41" s="1025">
        <v>1</v>
      </c>
      <c r="G41" s="1026" t="s">
        <v>1799</v>
      </c>
      <c r="H41" s="1025">
        <v>60</v>
      </c>
      <c r="I41" s="1025">
        <v>300</v>
      </c>
      <c r="J41" s="1037">
        <v>45743</v>
      </c>
      <c r="K41" s="1037">
        <v>45832</v>
      </c>
      <c r="L41" s="1025">
        <v>20</v>
      </c>
      <c r="M41" s="1025">
        <v>11</v>
      </c>
      <c r="N41" s="1025">
        <v>15</v>
      </c>
      <c r="O41" s="1024">
        <f t="shared" si="2"/>
        <v>0.55000000000000004</v>
      </c>
      <c r="P41" s="1103">
        <f t="shared" si="3"/>
        <v>0.75</v>
      </c>
      <c r="Q41" s="1188"/>
    </row>
    <row r="42" spans="1:20">
      <c r="A42" s="1086" t="s">
        <v>1672</v>
      </c>
      <c r="B42" s="1025" t="s">
        <v>825</v>
      </c>
      <c r="C42" s="1025" t="s">
        <v>1736</v>
      </c>
      <c r="D42" s="1025" t="s">
        <v>1214</v>
      </c>
      <c r="E42" s="1035" t="s">
        <v>1796</v>
      </c>
      <c r="F42" s="1025">
        <v>1</v>
      </c>
      <c r="G42" s="1026" t="s">
        <v>1800</v>
      </c>
      <c r="H42" s="1053">
        <v>119</v>
      </c>
      <c r="I42" s="1053">
        <v>940</v>
      </c>
      <c r="J42" s="1037">
        <v>45747</v>
      </c>
      <c r="K42" s="1037">
        <v>45925</v>
      </c>
      <c r="L42" s="1025">
        <v>35</v>
      </c>
      <c r="M42" s="1025">
        <v>27</v>
      </c>
      <c r="N42" s="1025">
        <v>27</v>
      </c>
      <c r="O42" s="1024">
        <f t="shared" si="2"/>
        <v>0.77142857142857146</v>
      </c>
      <c r="P42" s="1103">
        <f t="shared" si="3"/>
        <v>0.77142857142857146</v>
      </c>
      <c r="Q42" s="1188"/>
    </row>
    <row r="43" spans="1:20" ht="17.25" thickBot="1">
      <c r="A43" s="1093" t="s">
        <v>1672</v>
      </c>
      <c r="B43" s="1050" t="s">
        <v>825</v>
      </c>
      <c r="C43" s="1050" t="s">
        <v>1759</v>
      </c>
      <c r="D43" s="1050" t="s">
        <v>1224</v>
      </c>
      <c r="E43" s="1064" t="s">
        <v>1801</v>
      </c>
      <c r="F43" s="1050">
        <v>1</v>
      </c>
      <c r="G43" s="1094" t="s">
        <v>1802</v>
      </c>
      <c r="H43" s="1050">
        <v>109</v>
      </c>
      <c r="I43" s="1050">
        <v>916</v>
      </c>
      <c r="J43" s="1099">
        <v>45747</v>
      </c>
      <c r="K43" s="1099">
        <v>45903</v>
      </c>
      <c r="L43" s="1050">
        <v>25</v>
      </c>
      <c r="M43" s="1050">
        <v>17</v>
      </c>
      <c r="N43" s="1050">
        <v>18</v>
      </c>
      <c r="O43" s="1065">
        <f t="shared" si="2"/>
        <v>0.68</v>
      </c>
      <c r="P43" s="1108">
        <f t="shared" si="3"/>
        <v>0.72</v>
      </c>
      <c r="Q43" s="1191">
        <f>COUNTA(G21:G43)</f>
        <v>23</v>
      </c>
      <c r="R43" s="997">
        <f>SUM(L21:L43)</f>
        <v>501</v>
      </c>
      <c r="S43" s="997">
        <f>SUM(M21:M43)</f>
        <v>330</v>
      </c>
      <c r="T43" s="998">
        <f>S43/R43</f>
        <v>0.6586826347305389</v>
      </c>
    </row>
    <row r="44" spans="1:20">
      <c r="A44" s="1078" t="s">
        <v>1674</v>
      </c>
      <c r="B44" s="1083" t="s">
        <v>825</v>
      </c>
      <c r="C44" s="1079" t="s">
        <v>1759</v>
      </c>
      <c r="D44" s="1083" t="s">
        <v>1211</v>
      </c>
      <c r="E44" s="1109" t="s">
        <v>1630</v>
      </c>
      <c r="F44" s="1083">
        <v>1</v>
      </c>
      <c r="G44" s="1110" t="s">
        <v>1803</v>
      </c>
      <c r="H44" s="1111">
        <v>40</v>
      </c>
      <c r="I44" s="1111">
        <v>280</v>
      </c>
      <c r="J44" s="1112">
        <v>45748</v>
      </c>
      <c r="K44" s="1112">
        <v>45806</v>
      </c>
      <c r="L44" s="1083">
        <v>25</v>
      </c>
      <c r="M44" s="1113">
        <v>4</v>
      </c>
      <c r="N44" s="1113">
        <v>4</v>
      </c>
      <c r="O44" s="1101">
        <f t="shared" si="2"/>
        <v>0.16</v>
      </c>
      <c r="P44" s="1102">
        <f t="shared" si="3"/>
        <v>0.16</v>
      </c>
      <c r="Q44" s="1188"/>
    </row>
    <row r="45" spans="1:20">
      <c r="A45" s="1086" t="s">
        <v>1674</v>
      </c>
      <c r="B45" s="1028" t="s">
        <v>1412</v>
      </c>
      <c r="C45" s="1025" t="s">
        <v>1791</v>
      </c>
      <c r="D45" s="1028" t="s">
        <v>1211</v>
      </c>
      <c r="E45" s="1038" t="s">
        <v>1643</v>
      </c>
      <c r="F45" s="1028">
        <v>1</v>
      </c>
      <c r="G45" s="1039" t="s">
        <v>1804</v>
      </c>
      <c r="H45" s="1028">
        <v>93</v>
      </c>
      <c r="I45" s="1028">
        <v>370</v>
      </c>
      <c r="J45" s="1041">
        <v>45748</v>
      </c>
      <c r="K45" s="1041">
        <v>45918</v>
      </c>
      <c r="L45" s="1028">
        <v>20</v>
      </c>
      <c r="M45" s="1042">
        <v>7</v>
      </c>
      <c r="N45" s="1042">
        <v>10</v>
      </c>
      <c r="O45" s="1024">
        <f t="shared" si="2"/>
        <v>0.35</v>
      </c>
      <c r="P45" s="1103">
        <f t="shared" si="3"/>
        <v>0.5</v>
      </c>
      <c r="Q45" s="1188"/>
    </row>
    <row r="46" spans="1:20">
      <c r="A46" s="1086" t="s">
        <v>1674</v>
      </c>
      <c r="B46" s="1028" t="s">
        <v>1638</v>
      </c>
      <c r="C46" s="1025" t="s">
        <v>1776</v>
      </c>
      <c r="D46" s="1028" t="s">
        <v>1765</v>
      </c>
      <c r="E46" s="1038" t="s">
        <v>1805</v>
      </c>
      <c r="F46" s="1028">
        <v>1</v>
      </c>
      <c r="G46" s="1039" t="s">
        <v>1806</v>
      </c>
      <c r="H46" s="1028">
        <v>91</v>
      </c>
      <c r="I46" s="1028">
        <v>455</v>
      </c>
      <c r="J46" s="1041">
        <v>45748</v>
      </c>
      <c r="K46" s="1041">
        <v>45883</v>
      </c>
      <c r="L46" s="1028">
        <v>20</v>
      </c>
      <c r="M46" s="1043">
        <v>13</v>
      </c>
      <c r="N46" s="1043">
        <v>16</v>
      </c>
      <c r="O46" s="1024">
        <f t="shared" si="2"/>
        <v>0.65</v>
      </c>
      <c r="P46" s="1103">
        <f t="shared" si="3"/>
        <v>0.8</v>
      </c>
      <c r="Q46" s="1188"/>
    </row>
    <row r="47" spans="1:20">
      <c r="A47" s="1086" t="s">
        <v>1674</v>
      </c>
      <c r="B47" s="1028" t="s">
        <v>1638</v>
      </c>
      <c r="C47" s="1025" t="s">
        <v>1736</v>
      </c>
      <c r="D47" s="1028" t="s">
        <v>1211</v>
      </c>
      <c r="E47" s="1038" t="s">
        <v>1774</v>
      </c>
      <c r="F47" s="1028">
        <v>1</v>
      </c>
      <c r="G47" s="1039" t="s">
        <v>1807</v>
      </c>
      <c r="H47" s="1040">
        <v>70</v>
      </c>
      <c r="I47" s="1040">
        <v>280</v>
      </c>
      <c r="J47" s="1041">
        <v>45751</v>
      </c>
      <c r="K47" s="1041">
        <v>45856</v>
      </c>
      <c r="L47" s="1028">
        <v>20</v>
      </c>
      <c r="M47" s="1042">
        <v>7</v>
      </c>
      <c r="N47" s="1042">
        <v>13</v>
      </c>
      <c r="O47" s="1024">
        <f t="shared" si="2"/>
        <v>0.35</v>
      </c>
      <c r="P47" s="1103">
        <f t="shared" si="3"/>
        <v>0.65</v>
      </c>
      <c r="Q47" s="1188"/>
    </row>
    <row r="48" spans="1:20">
      <c r="A48" s="1086" t="s">
        <v>1674</v>
      </c>
      <c r="B48" s="1028" t="s">
        <v>1412</v>
      </c>
      <c r="C48" s="1025" t="s">
        <v>1736</v>
      </c>
      <c r="D48" s="1028" t="s">
        <v>1214</v>
      </c>
      <c r="E48" s="1038" t="s">
        <v>1643</v>
      </c>
      <c r="F48" s="1028">
        <v>1</v>
      </c>
      <c r="G48" s="1039" t="s">
        <v>1808</v>
      </c>
      <c r="H48" s="1028">
        <v>145</v>
      </c>
      <c r="I48" s="1028">
        <v>870</v>
      </c>
      <c r="J48" s="1041">
        <v>45757</v>
      </c>
      <c r="K48" s="1041">
        <v>45972</v>
      </c>
      <c r="L48" s="1028">
        <v>20</v>
      </c>
      <c r="M48" s="1042">
        <v>9</v>
      </c>
      <c r="N48" s="1042">
        <v>9</v>
      </c>
      <c r="O48" s="1024">
        <f t="shared" si="2"/>
        <v>0.45</v>
      </c>
      <c r="P48" s="1103">
        <f t="shared" si="3"/>
        <v>0.45</v>
      </c>
      <c r="Q48" s="1188"/>
    </row>
    <row r="49" spans="1:20">
      <c r="A49" s="1086" t="s">
        <v>1674</v>
      </c>
      <c r="B49" s="1028" t="s">
        <v>1412</v>
      </c>
      <c r="C49" s="1025" t="s">
        <v>1809</v>
      </c>
      <c r="D49" s="1028" t="s">
        <v>1214</v>
      </c>
      <c r="E49" s="1038" t="s">
        <v>1643</v>
      </c>
      <c r="F49" s="1028">
        <v>1</v>
      </c>
      <c r="G49" s="1039" t="s">
        <v>1810</v>
      </c>
      <c r="H49" s="1028">
        <v>174</v>
      </c>
      <c r="I49" s="1028">
        <v>870</v>
      </c>
      <c r="J49" s="1041">
        <v>45757</v>
      </c>
      <c r="K49" s="1041">
        <v>46014</v>
      </c>
      <c r="L49" s="1028">
        <v>22</v>
      </c>
      <c r="M49" s="1043">
        <v>13</v>
      </c>
      <c r="N49" s="1043">
        <v>21</v>
      </c>
      <c r="O49" s="1024">
        <f t="shared" si="2"/>
        <v>0.59090909090909094</v>
      </c>
      <c r="P49" s="1103">
        <f t="shared" si="3"/>
        <v>0.95454545454545459</v>
      </c>
      <c r="Q49" s="1188"/>
    </row>
    <row r="50" spans="1:20" s="1017" customFormat="1">
      <c r="A50" s="1114" t="s">
        <v>1674</v>
      </c>
      <c r="B50" s="1028" t="s">
        <v>1811</v>
      </c>
      <c r="C50" s="1025" t="s">
        <v>1812</v>
      </c>
      <c r="D50" s="1028" t="s">
        <v>94</v>
      </c>
      <c r="E50" s="1038" t="s">
        <v>1813</v>
      </c>
      <c r="F50" s="1028">
        <v>1</v>
      </c>
      <c r="G50" s="1039" t="s">
        <v>1814</v>
      </c>
      <c r="H50" s="1028">
        <v>58</v>
      </c>
      <c r="I50" s="1028">
        <v>290</v>
      </c>
      <c r="J50" s="1041">
        <v>45757</v>
      </c>
      <c r="K50" s="1041">
        <v>45845</v>
      </c>
      <c r="L50" s="1028">
        <v>20</v>
      </c>
      <c r="M50" s="1028">
        <v>12</v>
      </c>
      <c r="N50" s="1028">
        <v>12</v>
      </c>
      <c r="O50" s="1024">
        <f>M50/L50</f>
        <v>0.6</v>
      </c>
      <c r="P50" s="1103">
        <f>N50/L50</f>
        <v>0.6</v>
      </c>
      <c r="Q50" s="1188"/>
    </row>
    <row r="51" spans="1:20">
      <c r="A51" s="1086" t="s">
        <v>1674</v>
      </c>
      <c r="B51" s="1028" t="s">
        <v>1638</v>
      </c>
      <c r="C51" s="1025" t="s">
        <v>1815</v>
      </c>
      <c r="D51" s="1028" t="s">
        <v>1214</v>
      </c>
      <c r="E51" s="1038" t="s">
        <v>1640</v>
      </c>
      <c r="F51" s="1028">
        <v>1</v>
      </c>
      <c r="G51" s="1039" t="s">
        <v>1816</v>
      </c>
      <c r="H51" s="1044">
        <v>100</v>
      </c>
      <c r="I51" s="1044">
        <v>600</v>
      </c>
      <c r="J51" s="1041">
        <v>45757</v>
      </c>
      <c r="K51" s="1041">
        <v>45943</v>
      </c>
      <c r="L51" s="1028">
        <v>20</v>
      </c>
      <c r="M51" s="1043">
        <v>13</v>
      </c>
      <c r="N51" s="1043">
        <v>22</v>
      </c>
      <c r="O51" s="1024">
        <f t="shared" si="2"/>
        <v>0.65</v>
      </c>
      <c r="P51" s="1103">
        <f t="shared" si="3"/>
        <v>1.1000000000000001</v>
      </c>
      <c r="Q51" s="1188"/>
    </row>
    <row r="52" spans="1:20">
      <c r="A52" s="1086" t="s">
        <v>1674</v>
      </c>
      <c r="B52" s="1028" t="s">
        <v>1756</v>
      </c>
      <c r="C52" s="1025" t="s">
        <v>1736</v>
      </c>
      <c r="D52" s="1028" t="s">
        <v>1211</v>
      </c>
      <c r="E52" s="1038" t="s">
        <v>1757</v>
      </c>
      <c r="F52" s="1028">
        <v>3</v>
      </c>
      <c r="G52" s="1039" t="s">
        <v>1758</v>
      </c>
      <c r="H52" s="1028">
        <v>35</v>
      </c>
      <c r="I52" s="1028">
        <v>139</v>
      </c>
      <c r="J52" s="1041">
        <v>45762</v>
      </c>
      <c r="K52" s="1041">
        <v>45813</v>
      </c>
      <c r="L52" s="1028">
        <v>20</v>
      </c>
      <c r="M52" s="1043">
        <v>6</v>
      </c>
      <c r="N52" s="1043">
        <v>7</v>
      </c>
      <c r="O52" s="1024">
        <f t="shared" si="2"/>
        <v>0.3</v>
      </c>
      <c r="P52" s="1103">
        <f t="shared" si="3"/>
        <v>0.35</v>
      </c>
      <c r="Q52" s="1188"/>
    </row>
    <row r="53" spans="1:20">
      <c r="A53" s="1086" t="s">
        <v>1674</v>
      </c>
      <c r="B53" s="1028" t="s">
        <v>1756</v>
      </c>
      <c r="C53" s="1025" t="s">
        <v>1736</v>
      </c>
      <c r="D53" s="1028" t="s">
        <v>1211</v>
      </c>
      <c r="E53" s="1038" t="s">
        <v>1761</v>
      </c>
      <c r="F53" s="1028">
        <v>3</v>
      </c>
      <c r="G53" s="1039" t="s">
        <v>1762</v>
      </c>
      <c r="H53" s="1028">
        <v>39</v>
      </c>
      <c r="I53" s="1028">
        <v>152</v>
      </c>
      <c r="J53" s="1041">
        <v>45763</v>
      </c>
      <c r="K53" s="1041">
        <v>45827</v>
      </c>
      <c r="L53" s="1028">
        <v>20</v>
      </c>
      <c r="M53" s="1043">
        <v>16</v>
      </c>
      <c r="N53" s="1043">
        <v>17</v>
      </c>
      <c r="O53" s="1024">
        <f t="shared" si="2"/>
        <v>0.8</v>
      </c>
      <c r="P53" s="1103">
        <f t="shared" si="3"/>
        <v>0.85</v>
      </c>
      <c r="Q53" s="1188"/>
    </row>
    <row r="54" spans="1:20">
      <c r="A54" s="1086" t="s">
        <v>1674</v>
      </c>
      <c r="B54" s="1028" t="s">
        <v>1412</v>
      </c>
      <c r="C54" s="1025" t="s">
        <v>1752</v>
      </c>
      <c r="D54" s="1028" t="s">
        <v>1214</v>
      </c>
      <c r="E54" s="1038" t="s">
        <v>1643</v>
      </c>
      <c r="F54" s="1028">
        <v>1</v>
      </c>
      <c r="G54" s="1039" t="s">
        <v>1817</v>
      </c>
      <c r="H54" s="1028">
        <v>145</v>
      </c>
      <c r="I54" s="1028">
        <v>870</v>
      </c>
      <c r="J54" s="1041">
        <v>45765</v>
      </c>
      <c r="K54" s="1041">
        <v>45989</v>
      </c>
      <c r="L54" s="1028">
        <v>20</v>
      </c>
      <c r="M54" s="1043">
        <v>10</v>
      </c>
      <c r="N54" s="1043">
        <v>20</v>
      </c>
      <c r="O54" s="1024">
        <f t="shared" si="2"/>
        <v>0.5</v>
      </c>
      <c r="P54" s="1103">
        <f t="shared" si="3"/>
        <v>1</v>
      </c>
      <c r="Q54" s="1188"/>
    </row>
    <row r="55" spans="1:20">
      <c r="A55" s="1086" t="s">
        <v>1674</v>
      </c>
      <c r="B55" s="1028" t="s">
        <v>825</v>
      </c>
      <c r="C55" s="1025" t="s">
        <v>1747</v>
      </c>
      <c r="D55" s="1028" t="s">
        <v>1818</v>
      </c>
      <c r="E55" s="1038" t="s">
        <v>1630</v>
      </c>
      <c r="F55" s="1028">
        <v>1</v>
      </c>
      <c r="G55" s="1039" t="s">
        <v>1819</v>
      </c>
      <c r="H55" s="1028">
        <v>90</v>
      </c>
      <c r="I55" s="1028">
        <v>720</v>
      </c>
      <c r="J55" s="1041">
        <v>45769</v>
      </c>
      <c r="K55" s="1041">
        <v>45922</v>
      </c>
      <c r="L55" s="1028">
        <v>30</v>
      </c>
      <c r="M55" s="1043">
        <v>20</v>
      </c>
      <c r="N55" s="1043">
        <v>20</v>
      </c>
      <c r="O55" s="1024">
        <f t="shared" si="2"/>
        <v>0.66666666666666663</v>
      </c>
      <c r="P55" s="1103">
        <f t="shared" si="3"/>
        <v>0.66666666666666663</v>
      </c>
      <c r="Q55" s="1188"/>
    </row>
    <row r="56" spans="1:20">
      <c r="A56" s="1086" t="s">
        <v>1674</v>
      </c>
      <c r="B56" s="1028" t="s">
        <v>1412</v>
      </c>
      <c r="C56" s="1025" t="s">
        <v>1782</v>
      </c>
      <c r="D56" s="1028" t="s">
        <v>1211</v>
      </c>
      <c r="E56" s="1038" t="s">
        <v>1643</v>
      </c>
      <c r="F56" s="1028">
        <v>1</v>
      </c>
      <c r="G56" s="1039" t="s">
        <v>1644</v>
      </c>
      <c r="H56" s="1028">
        <v>93</v>
      </c>
      <c r="I56" s="1028">
        <v>370</v>
      </c>
      <c r="J56" s="1041">
        <v>45771</v>
      </c>
      <c r="K56" s="1041">
        <v>45910</v>
      </c>
      <c r="L56" s="1028">
        <v>15</v>
      </c>
      <c r="M56" s="1042">
        <v>11</v>
      </c>
      <c r="N56" s="1042">
        <v>23</v>
      </c>
      <c r="O56" s="1024">
        <f t="shared" si="2"/>
        <v>0.73333333333333328</v>
      </c>
      <c r="P56" s="1103">
        <f t="shared" si="3"/>
        <v>1.5333333333333334</v>
      </c>
      <c r="Q56" s="1188"/>
    </row>
    <row r="57" spans="1:20">
      <c r="A57" s="1086" t="s">
        <v>1674</v>
      </c>
      <c r="B57" s="1028" t="s">
        <v>1756</v>
      </c>
      <c r="C57" s="1025" t="s">
        <v>1736</v>
      </c>
      <c r="D57" s="1028" t="s">
        <v>1211</v>
      </c>
      <c r="E57" s="1038" t="s">
        <v>1820</v>
      </c>
      <c r="F57" s="1028">
        <v>3</v>
      </c>
      <c r="G57" s="1039" t="s">
        <v>1821</v>
      </c>
      <c r="H57" s="1028">
        <v>51</v>
      </c>
      <c r="I57" s="1028">
        <v>150</v>
      </c>
      <c r="J57" s="1041">
        <v>45771</v>
      </c>
      <c r="K57" s="1041">
        <v>45867</v>
      </c>
      <c r="L57" s="1028">
        <v>20</v>
      </c>
      <c r="M57" s="1043">
        <v>8</v>
      </c>
      <c r="N57" s="1043">
        <v>8</v>
      </c>
      <c r="O57" s="1024">
        <f t="shared" si="2"/>
        <v>0.4</v>
      </c>
      <c r="P57" s="1103">
        <f t="shared" si="3"/>
        <v>0.4</v>
      </c>
      <c r="Q57" s="1188"/>
    </row>
    <row r="58" spans="1:20">
      <c r="A58" s="1086" t="s">
        <v>1674</v>
      </c>
      <c r="B58" s="1028" t="s">
        <v>825</v>
      </c>
      <c r="C58" s="1025" t="s">
        <v>1749</v>
      </c>
      <c r="D58" s="1028" t="s">
        <v>1214</v>
      </c>
      <c r="E58" s="1038" t="s">
        <v>1630</v>
      </c>
      <c r="F58" s="1028">
        <v>1</v>
      </c>
      <c r="G58" s="1039" t="s">
        <v>1822</v>
      </c>
      <c r="H58" s="1045">
        <v>110</v>
      </c>
      <c r="I58" s="1045">
        <v>880</v>
      </c>
      <c r="J58" s="1041">
        <v>45776</v>
      </c>
      <c r="K58" s="1041">
        <v>45944</v>
      </c>
      <c r="L58" s="1028">
        <v>30</v>
      </c>
      <c r="M58" s="1042">
        <v>11</v>
      </c>
      <c r="N58" s="1042">
        <v>11</v>
      </c>
      <c r="O58" s="1024">
        <f t="shared" si="2"/>
        <v>0.36666666666666664</v>
      </c>
      <c r="P58" s="1103">
        <f t="shared" si="3"/>
        <v>0.36666666666666664</v>
      </c>
      <c r="Q58" s="1188"/>
    </row>
    <row r="59" spans="1:20">
      <c r="A59" s="1086" t="s">
        <v>1674</v>
      </c>
      <c r="B59" s="1028" t="s">
        <v>1638</v>
      </c>
      <c r="C59" s="1025" t="s">
        <v>1752</v>
      </c>
      <c r="D59" s="1028" t="s">
        <v>1211</v>
      </c>
      <c r="E59" s="1038" t="s">
        <v>1813</v>
      </c>
      <c r="F59" s="1028">
        <v>1</v>
      </c>
      <c r="G59" s="1039" t="s">
        <v>1823</v>
      </c>
      <c r="H59" s="1028">
        <v>58</v>
      </c>
      <c r="I59" s="1028">
        <v>230</v>
      </c>
      <c r="J59" s="1041">
        <v>45776</v>
      </c>
      <c r="K59" s="1041">
        <v>45867</v>
      </c>
      <c r="L59" s="1028">
        <v>20</v>
      </c>
      <c r="M59" s="1043">
        <v>20</v>
      </c>
      <c r="N59" s="1043">
        <v>42</v>
      </c>
      <c r="O59" s="1024">
        <f t="shared" si="2"/>
        <v>1</v>
      </c>
      <c r="P59" s="1103">
        <f t="shared" si="3"/>
        <v>2.1</v>
      </c>
      <c r="Q59" s="1188"/>
    </row>
    <row r="60" spans="1:20" ht="17.25" thickBot="1">
      <c r="A60" s="1088" t="s">
        <v>1674</v>
      </c>
      <c r="B60" s="1092" t="s">
        <v>825</v>
      </c>
      <c r="C60" s="1089" t="s">
        <v>1736</v>
      </c>
      <c r="D60" s="1092" t="s">
        <v>1214</v>
      </c>
      <c r="E60" s="1115" t="s">
        <v>1630</v>
      </c>
      <c r="F60" s="1092">
        <v>1</v>
      </c>
      <c r="G60" s="1116" t="s">
        <v>1824</v>
      </c>
      <c r="H60" s="1092">
        <v>113</v>
      </c>
      <c r="I60" s="1092">
        <v>900</v>
      </c>
      <c r="J60" s="1117">
        <v>45777</v>
      </c>
      <c r="K60" s="1117">
        <v>45959</v>
      </c>
      <c r="L60" s="1092">
        <v>21</v>
      </c>
      <c r="M60" s="1118">
        <v>10</v>
      </c>
      <c r="N60" s="1118">
        <v>12</v>
      </c>
      <c r="O60" s="1119">
        <f t="shared" si="2"/>
        <v>0.47619047619047616</v>
      </c>
      <c r="P60" s="1120">
        <f t="shared" si="3"/>
        <v>0.5714285714285714</v>
      </c>
      <c r="Q60" s="1191">
        <f>COUNTA(G44:G60)</f>
        <v>17</v>
      </c>
      <c r="R60" s="997">
        <f>SUM(L44:L60)</f>
        <v>363</v>
      </c>
      <c r="S60" s="997">
        <f>SUM(M44:M60)</f>
        <v>190</v>
      </c>
      <c r="T60" s="998">
        <f>S60/R60</f>
        <v>0.52341597796143247</v>
      </c>
    </row>
    <row r="61" spans="1:20">
      <c r="A61" s="1078" t="s">
        <v>1676</v>
      </c>
      <c r="B61" s="1079" t="s">
        <v>1412</v>
      </c>
      <c r="C61" s="1079" t="s">
        <v>453</v>
      </c>
      <c r="D61" s="1079" t="s">
        <v>1211</v>
      </c>
      <c r="E61" s="1080" t="s">
        <v>1643</v>
      </c>
      <c r="F61" s="1079">
        <v>1</v>
      </c>
      <c r="G61" s="1081" t="s">
        <v>1825</v>
      </c>
      <c r="H61" s="1121">
        <v>93</v>
      </c>
      <c r="I61" s="1121">
        <v>370</v>
      </c>
      <c r="J61" s="1100">
        <v>45789</v>
      </c>
      <c r="K61" s="1100">
        <v>45952</v>
      </c>
      <c r="L61" s="1079">
        <v>22</v>
      </c>
      <c r="M61" s="1079">
        <v>4</v>
      </c>
      <c r="N61" s="1079">
        <v>4</v>
      </c>
      <c r="O61" s="1101">
        <v>0.18181818181818182</v>
      </c>
      <c r="P61" s="1102">
        <v>0.18181818181818182</v>
      </c>
      <c r="Q61" s="1188"/>
    </row>
    <row r="62" spans="1:20">
      <c r="A62" s="1086" t="s">
        <v>1676</v>
      </c>
      <c r="B62" s="1025" t="s">
        <v>1412</v>
      </c>
      <c r="C62" s="1025" t="s">
        <v>453</v>
      </c>
      <c r="D62" s="1025" t="s">
        <v>1214</v>
      </c>
      <c r="E62" s="1035" t="s">
        <v>1643</v>
      </c>
      <c r="F62" s="1025">
        <v>1</v>
      </c>
      <c r="G62" s="1026" t="s">
        <v>1826</v>
      </c>
      <c r="H62" s="1025">
        <v>174</v>
      </c>
      <c r="I62" s="1025">
        <v>870</v>
      </c>
      <c r="J62" s="1037">
        <v>45789</v>
      </c>
      <c r="K62" s="1037">
        <v>46043</v>
      </c>
      <c r="L62" s="1025">
        <v>22</v>
      </c>
      <c r="M62" s="1025">
        <v>10</v>
      </c>
      <c r="N62" s="1025">
        <v>10</v>
      </c>
      <c r="O62" s="1024">
        <v>0.45454545454545453</v>
      </c>
      <c r="P62" s="1103">
        <v>0.45454545454545453</v>
      </c>
      <c r="Q62" s="1188"/>
    </row>
    <row r="63" spans="1:20">
      <c r="A63" s="1086" t="s">
        <v>1676</v>
      </c>
      <c r="B63" s="1025" t="s">
        <v>1638</v>
      </c>
      <c r="C63" s="1025" t="s">
        <v>1749</v>
      </c>
      <c r="D63" s="1025" t="s">
        <v>1211</v>
      </c>
      <c r="E63" s="1035" t="s">
        <v>1827</v>
      </c>
      <c r="F63" s="1025">
        <v>5</v>
      </c>
      <c r="G63" s="1026" t="s">
        <v>1771</v>
      </c>
      <c r="H63" s="1025">
        <v>73</v>
      </c>
      <c r="I63" s="1025">
        <v>289</v>
      </c>
      <c r="J63" s="1037">
        <v>45789</v>
      </c>
      <c r="K63" s="1037">
        <v>45891</v>
      </c>
      <c r="L63" s="1025">
        <v>20</v>
      </c>
      <c r="M63" s="1025">
        <v>18</v>
      </c>
      <c r="N63" s="1025">
        <v>24</v>
      </c>
      <c r="O63" s="1024">
        <v>0.9</v>
      </c>
      <c r="P63" s="1103">
        <v>1.2</v>
      </c>
      <c r="Q63" s="1188"/>
    </row>
    <row r="64" spans="1:20">
      <c r="A64" s="1086" t="s">
        <v>1676</v>
      </c>
      <c r="B64" s="1025" t="s">
        <v>1412</v>
      </c>
      <c r="C64" s="1025" t="s">
        <v>1639</v>
      </c>
      <c r="D64" s="1025" t="s">
        <v>1214</v>
      </c>
      <c r="E64" s="1035" t="s">
        <v>1643</v>
      </c>
      <c r="F64" s="1025">
        <v>1</v>
      </c>
      <c r="G64" s="1026" t="s">
        <v>1828</v>
      </c>
      <c r="H64" s="1025">
        <v>174</v>
      </c>
      <c r="I64" s="1025">
        <v>870</v>
      </c>
      <c r="J64" s="1037">
        <v>45790</v>
      </c>
      <c r="K64" s="1037">
        <v>45973</v>
      </c>
      <c r="L64" s="1025">
        <v>20</v>
      </c>
      <c r="M64" s="1025">
        <v>13</v>
      </c>
      <c r="N64" s="1025">
        <v>16</v>
      </c>
      <c r="O64" s="1024">
        <v>0.65</v>
      </c>
      <c r="P64" s="1103">
        <v>0.8</v>
      </c>
      <c r="Q64" s="1188"/>
    </row>
    <row r="65" spans="1:20">
      <c r="A65" s="1086" t="s">
        <v>1676</v>
      </c>
      <c r="B65" s="1025" t="s">
        <v>1412</v>
      </c>
      <c r="C65" s="1025" t="s">
        <v>1829</v>
      </c>
      <c r="D65" s="1025" t="s">
        <v>1214</v>
      </c>
      <c r="E65" s="1035" t="s">
        <v>1643</v>
      </c>
      <c r="F65" s="1025">
        <v>1</v>
      </c>
      <c r="G65" s="1026" t="s">
        <v>1830</v>
      </c>
      <c r="H65" s="1053">
        <v>174</v>
      </c>
      <c r="I65" s="1053">
        <v>870</v>
      </c>
      <c r="J65" s="1037">
        <v>45790</v>
      </c>
      <c r="K65" s="1037">
        <v>46045</v>
      </c>
      <c r="L65" s="1025">
        <v>20</v>
      </c>
      <c r="M65" s="1025">
        <v>11</v>
      </c>
      <c r="N65" s="1025">
        <v>14</v>
      </c>
      <c r="O65" s="1024">
        <v>0.55000000000000004</v>
      </c>
      <c r="P65" s="1103">
        <v>0.7</v>
      </c>
      <c r="Q65" s="1188"/>
    </row>
    <row r="66" spans="1:20">
      <c r="A66" s="1086" t="s">
        <v>1676</v>
      </c>
      <c r="B66" s="1025" t="s">
        <v>1638</v>
      </c>
      <c r="C66" s="1025" t="s">
        <v>449</v>
      </c>
      <c r="D66" s="1025" t="s">
        <v>1214</v>
      </c>
      <c r="E66" s="1035" t="s">
        <v>1641</v>
      </c>
      <c r="F66" s="1025">
        <v>1</v>
      </c>
      <c r="G66" s="1026" t="s">
        <v>1831</v>
      </c>
      <c r="H66" s="1025">
        <v>138</v>
      </c>
      <c r="I66" s="1025">
        <v>690</v>
      </c>
      <c r="J66" s="1037">
        <v>45790</v>
      </c>
      <c r="K66" s="1037">
        <v>46001</v>
      </c>
      <c r="L66" s="1025">
        <v>26</v>
      </c>
      <c r="M66" s="1025">
        <v>16</v>
      </c>
      <c r="N66" s="1025">
        <v>28</v>
      </c>
      <c r="O66" s="1024">
        <v>0.65384615384615385</v>
      </c>
      <c r="P66" s="1103">
        <v>1.0769230769230769</v>
      </c>
      <c r="Q66" s="1188"/>
    </row>
    <row r="67" spans="1:20" s="1017" customFormat="1">
      <c r="A67" s="1114" t="s">
        <v>1676</v>
      </c>
      <c r="B67" s="1025" t="s">
        <v>1811</v>
      </c>
      <c r="C67" s="1025" t="s">
        <v>1782</v>
      </c>
      <c r="D67" s="1025" t="s">
        <v>94</v>
      </c>
      <c r="E67" s="1021" t="s">
        <v>1813</v>
      </c>
      <c r="F67" s="1025">
        <v>1</v>
      </c>
      <c r="G67" s="1026" t="s">
        <v>1832</v>
      </c>
      <c r="H67" s="1025">
        <v>60</v>
      </c>
      <c r="I67" s="1025">
        <v>300</v>
      </c>
      <c r="J67" s="1037">
        <v>45790</v>
      </c>
      <c r="K67" s="1037">
        <v>45880</v>
      </c>
      <c r="L67" s="1025">
        <v>20</v>
      </c>
      <c r="M67" s="1025">
        <v>12</v>
      </c>
      <c r="N67" s="1025">
        <v>12</v>
      </c>
      <c r="O67" s="1024">
        <f t="shared" ref="O67" si="4">M67/L67</f>
        <v>0.6</v>
      </c>
      <c r="P67" s="1103">
        <f t="shared" ref="P67" si="5">N67/L67</f>
        <v>0.6</v>
      </c>
      <c r="Q67" s="1188"/>
    </row>
    <row r="68" spans="1:20">
      <c r="A68" s="1086" t="s">
        <v>1676</v>
      </c>
      <c r="B68" s="1025" t="s">
        <v>1638</v>
      </c>
      <c r="C68" s="1025" t="s">
        <v>1833</v>
      </c>
      <c r="D68" s="1025" t="s">
        <v>1211</v>
      </c>
      <c r="E68" s="1035" t="s">
        <v>1774</v>
      </c>
      <c r="F68" s="1025">
        <v>1</v>
      </c>
      <c r="G68" s="1026" t="s">
        <v>1834</v>
      </c>
      <c r="H68" s="1053">
        <v>70</v>
      </c>
      <c r="I68" s="1053">
        <v>280</v>
      </c>
      <c r="J68" s="1037">
        <v>45796</v>
      </c>
      <c r="K68" s="1037">
        <v>45895</v>
      </c>
      <c r="L68" s="1025">
        <v>23</v>
      </c>
      <c r="M68" s="1025">
        <v>8</v>
      </c>
      <c r="N68" s="1025">
        <v>9</v>
      </c>
      <c r="O68" s="1024">
        <v>0.34782608695652173</v>
      </c>
      <c r="P68" s="1103">
        <v>0.39130434782608697</v>
      </c>
      <c r="Q68" s="1188"/>
    </row>
    <row r="69" spans="1:20">
      <c r="A69" s="1086" t="s">
        <v>1676</v>
      </c>
      <c r="B69" s="1025" t="s">
        <v>1412</v>
      </c>
      <c r="C69" s="1025" t="s">
        <v>455</v>
      </c>
      <c r="D69" s="1025" t="s">
        <v>1211</v>
      </c>
      <c r="E69" s="1035" t="s">
        <v>1643</v>
      </c>
      <c r="F69" s="1025">
        <v>1</v>
      </c>
      <c r="G69" s="1026" t="s">
        <v>1835</v>
      </c>
      <c r="H69" s="1053">
        <v>120</v>
      </c>
      <c r="I69" s="1053">
        <v>370</v>
      </c>
      <c r="J69" s="1037">
        <v>45797</v>
      </c>
      <c r="K69" s="1037">
        <v>45978</v>
      </c>
      <c r="L69" s="1025">
        <v>10</v>
      </c>
      <c r="M69" s="1025">
        <v>10</v>
      </c>
      <c r="N69" s="1025">
        <v>10</v>
      </c>
      <c r="O69" s="1024">
        <v>1</v>
      </c>
      <c r="P69" s="1103">
        <v>1</v>
      </c>
      <c r="Q69" s="1188"/>
    </row>
    <row r="70" spans="1:20">
      <c r="A70" s="1086" t="s">
        <v>1676</v>
      </c>
      <c r="B70" s="1025" t="s">
        <v>1756</v>
      </c>
      <c r="C70" s="1025" t="s">
        <v>1736</v>
      </c>
      <c r="D70" s="1025" t="s">
        <v>1211</v>
      </c>
      <c r="E70" s="1035" t="s">
        <v>1820</v>
      </c>
      <c r="F70" s="1025">
        <v>4</v>
      </c>
      <c r="G70" s="1026" t="s">
        <v>1773</v>
      </c>
      <c r="H70" s="1053">
        <v>38</v>
      </c>
      <c r="I70" s="1053">
        <v>150</v>
      </c>
      <c r="J70" s="1037">
        <v>45799</v>
      </c>
      <c r="K70" s="1037">
        <v>45867</v>
      </c>
      <c r="L70" s="1025">
        <v>20</v>
      </c>
      <c r="M70" s="1025">
        <v>8</v>
      </c>
      <c r="N70" s="1025">
        <v>8</v>
      </c>
      <c r="O70" s="1024">
        <v>0.4</v>
      </c>
      <c r="P70" s="1103">
        <v>0.4</v>
      </c>
      <c r="Q70" s="1188"/>
    </row>
    <row r="71" spans="1:20">
      <c r="A71" s="1086" t="s">
        <v>1676</v>
      </c>
      <c r="B71" s="1025" t="s">
        <v>1638</v>
      </c>
      <c r="C71" s="1025" t="s">
        <v>451</v>
      </c>
      <c r="D71" s="1025" t="s">
        <v>1214</v>
      </c>
      <c r="E71" s="1035" t="s">
        <v>1640</v>
      </c>
      <c r="F71" s="1025">
        <v>1</v>
      </c>
      <c r="G71" s="1026" t="s">
        <v>1836</v>
      </c>
      <c r="H71" s="1053">
        <v>113</v>
      </c>
      <c r="I71" s="1053">
        <v>660</v>
      </c>
      <c r="J71" s="1037">
        <v>45799</v>
      </c>
      <c r="K71" s="1037">
        <v>45996</v>
      </c>
      <c r="L71" s="1025">
        <v>20</v>
      </c>
      <c r="M71" s="1025">
        <v>16</v>
      </c>
      <c r="N71" s="1025">
        <v>17</v>
      </c>
      <c r="O71" s="1024">
        <v>0.8</v>
      </c>
      <c r="P71" s="1103">
        <v>0.85</v>
      </c>
      <c r="Q71" s="1188"/>
    </row>
    <row r="72" spans="1:20">
      <c r="A72" s="1086" t="s">
        <v>1676</v>
      </c>
      <c r="B72" s="1025" t="s">
        <v>1638</v>
      </c>
      <c r="C72" s="1025" t="s">
        <v>1837</v>
      </c>
      <c r="D72" s="1025" t="s">
        <v>1224</v>
      </c>
      <c r="E72" s="1035" t="s">
        <v>1770</v>
      </c>
      <c r="F72" s="1025">
        <v>2</v>
      </c>
      <c r="G72" s="1026" t="s">
        <v>1838</v>
      </c>
      <c r="H72" s="1053">
        <v>63</v>
      </c>
      <c r="I72" s="1053">
        <v>250</v>
      </c>
      <c r="J72" s="1037">
        <v>45800</v>
      </c>
      <c r="K72" s="1037">
        <v>45895</v>
      </c>
      <c r="L72" s="1025">
        <v>14</v>
      </c>
      <c r="M72" s="1025">
        <v>13</v>
      </c>
      <c r="N72" s="1025">
        <v>20</v>
      </c>
      <c r="O72" s="1024">
        <v>1</v>
      </c>
      <c r="P72" s="1103">
        <v>1.4285714285714286</v>
      </c>
      <c r="Q72" s="1188"/>
    </row>
    <row r="73" spans="1:20">
      <c r="A73" s="1086" t="s">
        <v>1676</v>
      </c>
      <c r="B73" s="1025" t="s">
        <v>1412</v>
      </c>
      <c r="C73" s="1025" t="s">
        <v>1639</v>
      </c>
      <c r="D73" s="1025" t="s">
        <v>1211</v>
      </c>
      <c r="E73" s="1035" t="s">
        <v>1643</v>
      </c>
      <c r="F73" s="1025">
        <v>1</v>
      </c>
      <c r="G73" s="1026" t="s">
        <v>1839</v>
      </c>
      <c r="H73" s="1025">
        <v>124</v>
      </c>
      <c r="I73" s="1025">
        <v>370</v>
      </c>
      <c r="J73" s="1037">
        <v>45804</v>
      </c>
      <c r="K73" s="1037">
        <v>45986</v>
      </c>
      <c r="L73" s="1025">
        <v>16</v>
      </c>
      <c r="M73" s="1043">
        <v>10</v>
      </c>
      <c r="N73" s="1042">
        <v>13</v>
      </c>
      <c r="O73" s="1024">
        <v>0.6875</v>
      </c>
      <c r="P73" s="1103">
        <v>0.8125</v>
      </c>
      <c r="Q73" s="1188"/>
    </row>
    <row r="74" spans="1:20" ht="17.25" thickBot="1">
      <c r="A74" s="1088" t="s">
        <v>1676</v>
      </c>
      <c r="B74" s="1089" t="s">
        <v>825</v>
      </c>
      <c r="C74" s="1089" t="s">
        <v>453</v>
      </c>
      <c r="D74" s="1089" t="s">
        <v>1214</v>
      </c>
      <c r="E74" s="1090" t="s">
        <v>1630</v>
      </c>
      <c r="F74" s="1089">
        <v>1</v>
      </c>
      <c r="G74" s="1091" t="s">
        <v>1840</v>
      </c>
      <c r="H74" s="1122">
        <v>119</v>
      </c>
      <c r="I74" s="1122">
        <v>950</v>
      </c>
      <c r="J74" s="1104">
        <v>45807</v>
      </c>
      <c r="K74" s="1104">
        <v>45986</v>
      </c>
      <c r="L74" s="1089">
        <v>30</v>
      </c>
      <c r="M74" s="1123">
        <v>17</v>
      </c>
      <c r="N74" s="1123">
        <v>17</v>
      </c>
      <c r="O74" s="1105">
        <v>0.56666666666666665</v>
      </c>
      <c r="P74" s="1106">
        <v>0.56666666666666665</v>
      </c>
      <c r="Q74" s="1191">
        <f>COUNTA(G61:G74)</f>
        <v>14</v>
      </c>
      <c r="R74" s="997">
        <f>SUM(L61:L74)</f>
        <v>283</v>
      </c>
      <c r="S74" s="997">
        <f>SUM(M61:M74)</f>
        <v>166</v>
      </c>
      <c r="T74" s="998">
        <f>S74/R74</f>
        <v>0.58657243816254412</v>
      </c>
    </row>
    <row r="75" spans="1:20">
      <c r="A75" s="1124" t="s">
        <v>1678</v>
      </c>
      <c r="B75" s="1079" t="s">
        <v>1638</v>
      </c>
      <c r="C75" s="1079" t="s">
        <v>1841</v>
      </c>
      <c r="D75" s="1079" t="s">
        <v>1211</v>
      </c>
      <c r="E75" s="1080" t="s">
        <v>1842</v>
      </c>
      <c r="F75" s="1079">
        <v>1</v>
      </c>
      <c r="G75" s="1081" t="s">
        <v>1843</v>
      </c>
      <c r="H75" s="1079">
        <v>35</v>
      </c>
      <c r="I75" s="1079">
        <v>210</v>
      </c>
      <c r="J75" s="1100">
        <v>45810</v>
      </c>
      <c r="K75" s="1100">
        <v>45869</v>
      </c>
      <c r="L75" s="1079">
        <v>20</v>
      </c>
      <c r="M75" s="1079">
        <v>12</v>
      </c>
      <c r="N75" s="1079">
        <v>16</v>
      </c>
      <c r="O75" s="1101">
        <f>M75/L75</f>
        <v>0.6</v>
      </c>
      <c r="P75" s="1102">
        <f>N75/L75</f>
        <v>0.8</v>
      </c>
      <c r="Q75" s="1188"/>
    </row>
    <row r="76" spans="1:20">
      <c r="A76" s="1125" t="s">
        <v>1678</v>
      </c>
      <c r="B76" s="1025" t="s">
        <v>1412</v>
      </c>
      <c r="C76" s="1025" t="s">
        <v>454</v>
      </c>
      <c r="D76" s="1025" t="s">
        <v>1211</v>
      </c>
      <c r="E76" s="1035" t="s">
        <v>1643</v>
      </c>
      <c r="F76" s="1025">
        <v>1</v>
      </c>
      <c r="G76" s="1026" t="s">
        <v>1777</v>
      </c>
      <c r="H76" s="1025">
        <v>93</v>
      </c>
      <c r="I76" s="1025">
        <v>370</v>
      </c>
      <c r="J76" s="1037">
        <v>45817</v>
      </c>
      <c r="K76" s="1037">
        <v>45987</v>
      </c>
      <c r="L76" s="1025">
        <v>10</v>
      </c>
      <c r="M76" s="1025">
        <v>8</v>
      </c>
      <c r="N76" s="1025">
        <v>15</v>
      </c>
      <c r="O76" s="1024">
        <f t="shared" ref="O76:O139" si="6">M76/L76</f>
        <v>0.8</v>
      </c>
      <c r="P76" s="1103">
        <f t="shared" ref="P76:P93" si="7">N76/L76</f>
        <v>1.5</v>
      </c>
      <c r="Q76" s="1188"/>
    </row>
    <row r="77" spans="1:20">
      <c r="A77" s="1125" t="s">
        <v>1678</v>
      </c>
      <c r="B77" s="1025" t="s">
        <v>1638</v>
      </c>
      <c r="C77" s="1025" t="s">
        <v>1837</v>
      </c>
      <c r="D77" s="1025" t="s">
        <v>1211</v>
      </c>
      <c r="E77" s="1035" t="s">
        <v>1641</v>
      </c>
      <c r="F77" s="1025">
        <v>1</v>
      </c>
      <c r="G77" s="1026" t="s">
        <v>1844</v>
      </c>
      <c r="H77" s="1025">
        <v>78</v>
      </c>
      <c r="I77" s="1025">
        <v>310</v>
      </c>
      <c r="J77" s="1037">
        <v>45817</v>
      </c>
      <c r="K77" s="1037">
        <v>45930</v>
      </c>
      <c r="L77" s="1025">
        <v>20</v>
      </c>
      <c r="M77" s="1025">
        <v>5</v>
      </c>
      <c r="N77" s="1025">
        <v>7</v>
      </c>
      <c r="O77" s="1024">
        <f t="shared" si="6"/>
        <v>0.25</v>
      </c>
      <c r="P77" s="1103">
        <f t="shared" si="7"/>
        <v>0.35</v>
      </c>
      <c r="Q77" s="1188"/>
    </row>
    <row r="78" spans="1:20">
      <c r="A78" s="1125" t="s">
        <v>1678</v>
      </c>
      <c r="B78" s="1025" t="s">
        <v>1756</v>
      </c>
      <c r="C78" s="1025" t="s">
        <v>445</v>
      </c>
      <c r="D78" s="1025" t="s">
        <v>1211</v>
      </c>
      <c r="E78" s="1035" t="s">
        <v>1761</v>
      </c>
      <c r="F78" s="1025">
        <v>1</v>
      </c>
      <c r="G78" s="1026" t="s">
        <v>1845</v>
      </c>
      <c r="H78" s="1025">
        <v>39</v>
      </c>
      <c r="I78" s="1025">
        <v>152</v>
      </c>
      <c r="J78" s="1037">
        <v>45818</v>
      </c>
      <c r="K78" s="1037">
        <v>45870</v>
      </c>
      <c r="L78" s="1025">
        <v>20</v>
      </c>
      <c r="M78" s="1025">
        <v>7</v>
      </c>
      <c r="N78" s="1025">
        <v>10</v>
      </c>
      <c r="O78" s="1024">
        <f t="shared" si="6"/>
        <v>0.35</v>
      </c>
      <c r="P78" s="1103">
        <f t="shared" si="7"/>
        <v>0.5</v>
      </c>
      <c r="Q78" s="1188"/>
    </row>
    <row r="79" spans="1:20">
      <c r="A79" s="1125" t="s">
        <v>1678</v>
      </c>
      <c r="B79" s="1025" t="s">
        <v>825</v>
      </c>
      <c r="C79" s="1025" t="s">
        <v>1646</v>
      </c>
      <c r="D79" s="1025" t="s">
        <v>1224</v>
      </c>
      <c r="E79" s="1035" t="s">
        <v>1766</v>
      </c>
      <c r="F79" s="1025">
        <v>1</v>
      </c>
      <c r="G79" s="1026" t="s">
        <v>1846</v>
      </c>
      <c r="H79" s="1025">
        <v>110</v>
      </c>
      <c r="I79" s="1025">
        <v>880</v>
      </c>
      <c r="J79" s="1037">
        <v>45818</v>
      </c>
      <c r="K79" s="1037">
        <v>45980</v>
      </c>
      <c r="L79" s="1025">
        <v>30</v>
      </c>
      <c r="M79" s="1025">
        <v>17</v>
      </c>
      <c r="N79" s="1025">
        <v>18</v>
      </c>
      <c r="O79" s="1024">
        <f t="shared" si="6"/>
        <v>0.56666666666666665</v>
      </c>
      <c r="P79" s="1103">
        <f t="shared" si="7"/>
        <v>0.6</v>
      </c>
      <c r="Q79" s="1188"/>
    </row>
    <row r="80" spans="1:20">
      <c r="A80" s="1125" t="s">
        <v>1678</v>
      </c>
      <c r="B80" s="1025" t="s">
        <v>825</v>
      </c>
      <c r="C80" s="1025" t="s">
        <v>451</v>
      </c>
      <c r="D80" s="1025" t="s">
        <v>1765</v>
      </c>
      <c r="E80" s="1035" t="s">
        <v>1630</v>
      </c>
      <c r="F80" s="1025">
        <v>1</v>
      </c>
      <c r="G80" s="1026" t="s">
        <v>1767</v>
      </c>
      <c r="H80" s="1053">
        <v>100</v>
      </c>
      <c r="I80" s="1053">
        <v>800</v>
      </c>
      <c r="J80" s="1037">
        <v>45818</v>
      </c>
      <c r="K80" s="1037">
        <v>45966</v>
      </c>
      <c r="L80" s="1025">
        <v>20</v>
      </c>
      <c r="M80" s="1025">
        <v>8</v>
      </c>
      <c r="N80" s="1025">
        <v>11</v>
      </c>
      <c r="O80" s="1024">
        <f t="shared" si="6"/>
        <v>0.4</v>
      </c>
      <c r="P80" s="1103">
        <f t="shared" si="7"/>
        <v>0.55000000000000004</v>
      </c>
      <c r="Q80" s="1188"/>
    </row>
    <row r="81" spans="1:20">
      <c r="A81" s="1125" t="s">
        <v>1678</v>
      </c>
      <c r="B81" s="1025" t="s">
        <v>825</v>
      </c>
      <c r="C81" s="1025" t="s">
        <v>445</v>
      </c>
      <c r="D81" s="1025" t="s">
        <v>1847</v>
      </c>
      <c r="E81" s="1035" t="s">
        <v>1754</v>
      </c>
      <c r="F81" s="1025">
        <v>3</v>
      </c>
      <c r="G81" s="1026" t="s">
        <v>1848</v>
      </c>
      <c r="H81" s="1025">
        <v>130</v>
      </c>
      <c r="I81" s="1025">
        <v>1033</v>
      </c>
      <c r="J81" s="1037">
        <v>45819</v>
      </c>
      <c r="K81" s="1037">
        <v>46005</v>
      </c>
      <c r="L81" s="1025">
        <v>25</v>
      </c>
      <c r="M81" s="1025">
        <v>19</v>
      </c>
      <c r="N81" s="1025">
        <v>22</v>
      </c>
      <c r="O81" s="1024">
        <f t="shared" si="6"/>
        <v>0.76</v>
      </c>
      <c r="P81" s="1103">
        <f t="shared" si="7"/>
        <v>0.88</v>
      </c>
      <c r="Q81" s="1188"/>
    </row>
    <row r="82" spans="1:20">
      <c r="A82" s="1125" t="s">
        <v>1678</v>
      </c>
      <c r="B82" s="1025" t="s">
        <v>825</v>
      </c>
      <c r="C82" s="1025" t="s">
        <v>445</v>
      </c>
      <c r="D82" s="1025" t="s">
        <v>1214</v>
      </c>
      <c r="E82" s="1035" t="s">
        <v>1630</v>
      </c>
      <c r="F82" s="1025">
        <v>1</v>
      </c>
      <c r="G82" s="1026" t="s">
        <v>1849</v>
      </c>
      <c r="H82" s="1025">
        <v>113</v>
      </c>
      <c r="I82" s="1025">
        <v>900</v>
      </c>
      <c r="J82" s="1037">
        <v>45820</v>
      </c>
      <c r="K82" s="1037">
        <v>45988</v>
      </c>
      <c r="L82" s="1025">
        <v>35</v>
      </c>
      <c r="M82" s="1025">
        <v>11</v>
      </c>
      <c r="N82" s="1025">
        <v>14</v>
      </c>
      <c r="O82" s="1024">
        <f t="shared" si="6"/>
        <v>0.31428571428571428</v>
      </c>
      <c r="P82" s="1103">
        <f t="shared" si="7"/>
        <v>0.4</v>
      </c>
      <c r="Q82" s="1188"/>
    </row>
    <row r="83" spans="1:20" s="1017" customFormat="1">
      <c r="A83" s="1126" t="s">
        <v>1678</v>
      </c>
      <c r="B83" s="1025" t="s">
        <v>1811</v>
      </c>
      <c r="C83" s="1025" t="s">
        <v>1812</v>
      </c>
      <c r="D83" s="1025" t="s">
        <v>94</v>
      </c>
      <c r="E83" s="1021" t="s">
        <v>1850</v>
      </c>
      <c r="F83" s="1025">
        <v>1</v>
      </c>
      <c r="G83" s="1026" t="s">
        <v>1851</v>
      </c>
      <c r="H83" s="1025">
        <v>74</v>
      </c>
      <c r="I83" s="1025">
        <v>370</v>
      </c>
      <c r="J83" s="1037">
        <v>45820</v>
      </c>
      <c r="K83" s="1037">
        <v>45931</v>
      </c>
      <c r="L83" s="1025">
        <v>20</v>
      </c>
      <c r="M83" s="1025">
        <v>4</v>
      </c>
      <c r="N83" s="1025">
        <v>4</v>
      </c>
      <c r="O83" s="1024">
        <f t="shared" si="6"/>
        <v>0.2</v>
      </c>
      <c r="P83" s="1103">
        <f t="shared" si="7"/>
        <v>0.2</v>
      </c>
      <c r="Q83" s="1188"/>
    </row>
    <row r="84" spans="1:20">
      <c r="A84" s="1125" t="s">
        <v>1678</v>
      </c>
      <c r="B84" s="1025" t="s">
        <v>1638</v>
      </c>
      <c r="C84" s="1025" t="s">
        <v>447</v>
      </c>
      <c r="D84" s="1025" t="s">
        <v>1214</v>
      </c>
      <c r="E84" s="1035" t="s">
        <v>1640</v>
      </c>
      <c r="F84" s="1025">
        <v>1</v>
      </c>
      <c r="G84" s="1026" t="s">
        <v>1852</v>
      </c>
      <c r="H84" s="1025">
        <v>118</v>
      </c>
      <c r="I84" s="1025">
        <v>705</v>
      </c>
      <c r="J84" s="1037">
        <v>45824</v>
      </c>
      <c r="K84" s="1037">
        <v>46001</v>
      </c>
      <c r="L84" s="1025">
        <v>20</v>
      </c>
      <c r="M84" s="1025">
        <v>20</v>
      </c>
      <c r="N84" s="1025">
        <v>36</v>
      </c>
      <c r="O84" s="1024">
        <f t="shared" si="6"/>
        <v>1</v>
      </c>
      <c r="P84" s="1103">
        <f t="shared" si="7"/>
        <v>1.8</v>
      </c>
      <c r="Q84" s="1188"/>
    </row>
    <row r="85" spans="1:20">
      <c r="A85" s="1125" t="s">
        <v>1678</v>
      </c>
      <c r="B85" s="1025" t="s">
        <v>825</v>
      </c>
      <c r="C85" s="1025" t="s">
        <v>445</v>
      </c>
      <c r="D85" s="1025" t="s">
        <v>1765</v>
      </c>
      <c r="E85" s="1035" t="s">
        <v>1766</v>
      </c>
      <c r="F85" s="1025">
        <v>1</v>
      </c>
      <c r="G85" s="1026" t="s">
        <v>1853</v>
      </c>
      <c r="H85" s="1025">
        <v>96</v>
      </c>
      <c r="I85" s="1025">
        <v>752</v>
      </c>
      <c r="J85" s="1037">
        <v>45825</v>
      </c>
      <c r="K85" s="1037">
        <v>45971</v>
      </c>
      <c r="L85" s="1025">
        <v>35</v>
      </c>
      <c r="M85" s="1025">
        <v>23</v>
      </c>
      <c r="N85" s="1025">
        <v>31</v>
      </c>
      <c r="O85" s="1024">
        <f t="shared" si="6"/>
        <v>0.65714285714285714</v>
      </c>
      <c r="P85" s="1103">
        <f t="shared" si="7"/>
        <v>0.88571428571428568</v>
      </c>
      <c r="Q85" s="1188"/>
    </row>
    <row r="86" spans="1:20">
      <c r="A86" s="1125" t="s">
        <v>1678</v>
      </c>
      <c r="B86" s="1025" t="s">
        <v>1638</v>
      </c>
      <c r="C86" s="1025" t="s">
        <v>454</v>
      </c>
      <c r="D86" s="1025" t="s">
        <v>1214</v>
      </c>
      <c r="E86" s="1035" t="s">
        <v>1640</v>
      </c>
      <c r="F86" s="1025">
        <v>1</v>
      </c>
      <c r="G86" s="1026" t="s">
        <v>1854</v>
      </c>
      <c r="H86" s="1025">
        <v>150</v>
      </c>
      <c r="I86" s="1025">
        <v>600</v>
      </c>
      <c r="J86" s="1037">
        <v>45825</v>
      </c>
      <c r="K86" s="1037">
        <v>46044</v>
      </c>
      <c r="L86" s="1025">
        <v>20</v>
      </c>
      <c r="M86" s="1025">
        <v>11</v>
      </c>
      <c r="N86" s="1025">
        <v>17</v>
      </c>
      <c r="O86" s="1024">
        <f t="shared" si="6"/>
        <v>0.55000000000000004</v>
      </c>
      <c r="P86" s="1103">
        <f t="shared" si="7"/>
        <v>0.85</v>
      </c>
      <c r="Q86" s="1188"/>
    </row>
    <row r="87" spans="1:20">
      <c r="A87" s="1125" t="s">
        <v>1678</v>
      </c>
      <c r="B87" s="1025" t="s">
        <v>1756</v>
      </c>
      <c r="C87" s="1025" t="s">
        <v>445</v>
      </c>
      <c r="D87" s="1025" t="s">
        <v>1211</v>
      </c>
      <c r="E87" s="1035" t="s">
        <v>1757</v>
      </c>
      <c r="F87" s="1025">
        <v>1</v>
      </c>
      <c r="G87" s="1026" t="s">
        <v>1758</v>
      </c>
      <c r="H87" s="1025">
        <v>47</v>
      </c>
      <c r="I87" s="1025">
        <v>139</v>
      </c>
      <c r="J87" s="1037">
        <v>45831</v>
      </c>
      <c r="K87" s="1037">
        <v>45912</v>
      </c>
      <c r="L87" s="1025">
        <v>20</v>
      </c>
      <c r="M87" s="1025">
        <v>9</v>
      </c>
      <c r="N87" s="1025">
        <v>18</v>
      </c>
      <c r="O87" s="1024">
        <f t="shared" si="6"/>
        <v>0.45</v>
      </c>
      <c r="P87" s="1103">
        <f t="shared" si="7"/>
        <v>0.9</v>
      </c>
      <c r="Q87" s="1188"/>
    </row>
    <row r="88" spans="1:20">
      <c r="A88" s="1125" t="s">
        <v>1678</v>
      </c>
      <c r="B88" s="1025" t="s">
        <v>1638</v>
      </c>
      <c r="C88" s="1025" t="s">
        <v>451</v>
      </c>
      <c r="D88" s="1025" t="s">
        <v>1214</v>
      </c>
      <c r="E88" s="1035" t="s">
        <v>1630</v>
      </c>
      <c r="F88" s="1025">
        <v>1</v>
      </c>
      <c r="G88" s="1026" t="s">
        <v>1855</v>
      </c>
      <c r="H88" s="1025">
        <v>131</v>
      </c>
      <c r="I88" s="1025">
        <v>650</v>
      </c>
      <c r="J88" s="1037">
        <v>45831</v>
      </c>
      <c r="K88" s="1037">
        <v>46022</v>
      </c>
      <c r="L88" s="1025">
        <v>20</v>
      </c>
      <c r="M88" s="1025">
        <v>9</v>
      </c>
      <c r="N88" s="1025">
        <v>10</v>
      </c>
      <c r="O88" s="1024">
        <f>M88/L88</f>
        <v>0.45</v>
      </c>
      <c r="P88" s="1103">
        <f>N88/L88</f>
        <v>0.5</v>
      </c>
      <c r="Q88" s="1188"/>
    </row>
    <row r="89" spans="1:20">
      <c r="A89" s="1125" t="s">
        <v>1678</v>
      </c>
      <c r="B89" s="1025" t="s">
        <v>240</v>
      </c>
      <c r="C89" s="1025" t="s">
        <v>452</v>
      </c>
      <c r="D89" s="1025" t="s">
        <v>1211</v>
      </c>
      <c r="E89" s="1035" t="s">
        <v>1856</v>
      </c>
      <c r="F89" s="1025">
        <v>1</v>
      </c>
      <c r="G89" s="1026" t="s">
        <v>1857</v>
      </c>
      <c r="H89" s="1025">
        <v>56</v>
      </c>
      <c r="I89" s="1025">
        <v>280</v>
      </c>
      <c r="J89" s="1037">
        <v>45831</v>
      </c>
      <c r="K89" s="1037">
        <v>45911</v>
      </c>
      <c r="L89" s="1025">
        <v>12</v>
      </c>
      <c r="M89" s="1025">
        <v>9</v>
      </c>
      <c r="N89" s="1025">
        <v>12</v>
      </c>
      <c r="O89" s="1024">
        <f t="shared" si="6"/>
        <v>0.75</v>
      </c>
      <c r="P89" s="1103">
        <f t="shared" si="7"/>
        <v>1</v>
      </c>
      <c r="Q89" s="1188"/>
    </row>
    <row r="90" spans="1:20">
      <c r="A90" s="1125" t="s">
        <v>1678</v>
      </c>
      <c r="B90" s="1025" t="s">
        <v>825</v>
      </c>
      <c r="C90" s="1025" t="s">
        <v>451</v>
      </c>
      <c r="D90" s="1025" t="s">
        <v>1224</v>
      </c>
      <c r="E90" s="1035" t="s">
        <v>1630</v>
      </c>
      <c r="F90" s="1025">
        <v>2</v>
      </c>
      <c r="G90" s="1026" t="s">
        <v>1858</v>
      </c>
      <c r="H90" s="1025">
        <v>130</v>
      </c>
      <c r="I90" s="1025">
        <v>880</v>
      </c>
      <c r="J90" s="1037">
        <v>45832</v>
      </c>
      <c r="K90" s="1037">
        <v>46021</v>
      </c>
      <c r="L90" s="1025">
        <v>20</v>
      </c>
      <c r="M90" s="1025">
        <v>9</v>
      </c>
      <c r="N90" s="1025">
        <v>10</v>
      </c>
      <c r="O90" s="1024">
        <f t="shared" si="6"/>
        <v>0.45</v>
      </c>
      <c r="P90" s="1103">
        <f t="shared" si="7"/>
        <v>0.5</v>
      </c>
      <c r="Q90" s="1188"/>
    </row>
    <row r="91" spans="1:20">
      <c r="A91" s="1125" t="s">
        <v>1678</v>
      </c>
      <c r="B91" s="1025" t="s">
        <v>1412</v>
      </c>
      <c r="C91" s="1025" t="s">
        <v>445</v>
      </c>
      <c r="D91" s="1025" t="s">
        <v>1214</v>
      </c>
      <c r="E91" s="1035" t="s">
        <v>1643</v>
      </c>
      <c r="F91" s="1025">
        <v>1</v>
      </c>
      <c r="G91" s="1026" t="s">
        <v>1859</v>
      </c>
      <c r="H91" s="1025">
        <v>145</v>
      </c>
      <c r="I91" s="1025">
        <v>870</v>
      </c>
      <c r="J91" s="1037">
        <v>45834</v>
      </c>
      <c r="K91" s="1037">
        <v>46037</v>
      </c>
      <c r="L91" s="1025">
        <v>20</v>
      </c>
      <c r="M91" s="1025">
        <v>18</v>
      </c>
      <c r="N91" s="1025">
        <v>29</v>
      </c>
      <c r="O91" s="1024">
        <f t="shared" si="6"/>
        <v>0.9</v>
      </c>
      <c r="P91" s="1103">
        <f t="shared" si="7"/>
        <v>1.45</v>
      </c>
      <c r="Q91" s="1188"/>
    </row>
    <row r="92" spans="1:20">
      <c r="A92" s="1125" t="s">
        <v>1678</v>
      </c>
      <c r="B92" s="1025" t="s">
        <v>825</v>
      </c>
      <c r="C92" s="1025" t="s">
        <v>1646</v>
      </c>
      <c r="D92" s="1025" t="s">
        <v>1224</v>
      </c>
      <c r="E92" s="1035" t="s">
        <v>1630</v>
      </c>
      <c r="F92" s="1025">
        <v>1</v>
      </c>
      <c r="G92" s="1026" t="s">
        <v>1860</v>
      </c>
      <c r="H92" s="1053">
        <v>109</v>
      </c>
      <c r="I92" s="1053">
        <v>868</v>
      </c>
      <c r="J92" s="1037">
        <v>45834</v>
      </c>
      <c r="K92" s="1037">
        <v>46002</v>
      </c>
      <c r="L92" s="1025">
        <v>25</v>
      </c>
      <c r="M92" s="1025">
        <v>19</v>
      </c>
      <c r="N92" s="1025">
        <v>20</v>
      </c>
      <c r="O92" s="1024">
        <f t="shared" si="6"/>
        <v>0.76</v>
      </c>
      <c r="P92" s="1103">
        <f t="shared" si="7"/>
        <v>0.8</v>
      </c>
      <c r="Q92" s="1188"/>
    </row>
    <row r="93" spans="1:20">
      <c r="A93" s="1125" t="s">
        <v>1678</v>
      </c>
      <c r="B93" s="1025" t="s">
        <v>1638</v>
      </c>
      <c r="C93" s="1025" t="s">
        <v>451</v>
      </c>
      <c r="D93" s="1025" t="s">
        <v>1214</v>
      </c>
      <c r="E93" s="1035" t="s">
        <v>1750</v>
      </c>
      <c r="F93" s="1025">
        <v>1</v>
      </c>
      <c r="G93" s="1026" t="s">
        <v>1861</v>
      </c>
      <c r="H93" s="1025">
        <v>133</v>
      </c>
      <c r="I93" s="1025">
        <v>660</v>
      </c>
      <c r="J93" s="1037">
        <v>45838</v>
      </c>
      <c r="K93" s="1037">
        <v>46035</v>
      </c>
      <c r="L93" s="1025">
        <v>20</v>
      </c>
      <c r="M93" s="1025">
        <v>15</v>
      </c>
      <c r="N93" s="1025">
        <v>22</v>
      </c>
      <c r="O93" s="1024">
        <f t="shared" si="6"/>
        <v>0.75</v>
      </c>
      <c r="P93" s="1103">
        <f t="shared" si="7"/>
        <v>1.1000000000000001</v>
      </c>
      <c r="Q93" s="1188"/>
    </row>
    <row r="94" spans="1:20">
      <c r="A94" s="1125" t="s">
        <v>1678</v>
      </c>
      <c r="B94" s="1025" t="s">
        <v>1638</v>
      </c>
      <c r="C94" s="1025" t="s">
        <v>455</v>
      </c>
      <c r="D94" s="1025" t="s">
        <v>1214</v>
      </c>
      <c r="E94" s="1035" t="s">
        <v>1641</v>
      </c>
      <c r="F94" s="1025">
        <v>1</v>
      </c>
      <c r="G94" s="1026" t="s">
        <v>1862</v>
      </c>
      <c r="H94" s="1025">
        <v>101</v>
      </c>
      <c r="I94" s="1025">
        <v>505</v>
      </c>
      <c r="J94" s="1037">
        <v>45838</v>
      </c>
      <c r="K94" s="1037">
        <v>46007</v>
      </c>
      <c r="L94" s="1025">
        <v>20</v>
      </c>
      <c r="M94" s="1025">
        <v>14</v>
      </c>
      <c r="N94" s="1025">
        <v>16</v>
      </c>
      <c r="O94" s="1024">
        <f t="shared" si="6"/>
        <v>0.7</v>
      </c>
      <c r="P94" s="1103">
        <f>N94/L94</f>
        <v>0.8</v>
      </c>
      <c r="Q94" s="1188"/>
    </row>
    <row r="95" spans="1:20" ht="17.25" thickBot="1">
      <c r="A95" s="1128" t="s">
        <v>1678</v>
      </c>
      <c r="B95" s="1050" t="s">
        <v>825</v>
      </c>
      <c r="C95" s="1050" t="s">
        <v>447</v>
      </c>
      <c r="D95" s="1050" t="s">
        <v>1214</v>
      </c>
      <c r="E95" s="1064" t="s">
        <v>1630</v>
      </c>
      <c r="F95" s="1050">
        <v>1</v>
      </c>
      <c r="G95" s="1094" t="s">
        <v>1863</v>
      </c>
      <c r="H95" s="1050">
        <v>107</v>
      </c>
      <c r="I95" s="1050">
        <v>850</v>
      </c>
      <c r="J95" s="1099">
        <v>45838</v>
      </c>
      <c r="K95" s="1099">
        <v>45994</v>
      </c>
      <c r="L95" s="1050">
        <v>22</v>
      </c>
      <c r="M95" s="1050">
        <v>18</v>
      </c>
      <c r="N95" s="1050">
        <v>18</v>
      </c>
      <c r="O95" s="1065">
        <f t="shared" si="6"/>
        <v>0.81818181818181823</v>
      </c>
      <c r="P95" s="1108">
        <f>N95/L95</f>
        <v>0.81818181818181823</v>
      </c>
      <c r="Q95" s="1191">
        <f>COUNTA(G75:G95)</f>
        <v>21</v>
      </c>
      <c r="R95" s="997">
        <f>SUM(L75:L95)</f>
        <v>454</v>
      </c>
      <c r="S95" s="997">
        <f>SUM(M75:M95)</f>
        <v>265</v>
      </c>
      <c r="T95" s="998">
        <f>S95/R95</f>
        <v>0.58370044052863435</v>
      </c>
    </row>
    <row r="96" spans="1:20">
      <c r="A96" s="1124" t="s">
        <v>1679</v>
      </c>
      <c r="B96" s="1079" t="s">
        <v>825</v>
      </c>
      <c r="C96" s="1079" t="s">
        <v>455</v>
      </c>
      <c r="D96" s="1079" t="s">
        <v>1224</v>
      </c>
      <c r="E96" s="1080" t="s">
        <v>1630</v>
      </c>
      <c r="F96" s="1079">
        <v>1</v>
      </c>
      <c r="G96" s="1130" t="s">
        <v>1864</v>
      </c>
      <c r="H96" s="1121">
        <v>120</v>
      </c>
      <c r="I96" s="1131">
        <v>960</v>
      </c>
      <c r="J96" s="1100">
        <v>45839</v>
      </c>
      <c r="K96" s="1132">
        <v>46031</v>
      </c>
      <c r="L96" s="1079">
        <v>20</v>
      </c>
      <c r="M96" s="1079">
        <v>20</v>
      </c>
      <c r="N96" s="1079">
        <v>20</v>
      </c>
      <c r="O96" s="1133">
        <f t="shared" si="6"/>
        <v>1</v>
      </c>
      <c r="P96" s="1102">
        <f t="shared" ref="P96:P107" si="8">N96/L96</f>
        <v>1</v>
      </c>
      <c r="Q96" s="1188"/>
    </row>
    <row r="97" spans="1:20">
      <c r="A97" s="1125" t="s">
        <v>1679</v>
      </c>
      <c r="B97" s="1025" t="s">
        <v>825</v>
      </c>
      <c r="C97" s="1025" t="s">
        <v>445</v>
      </c>
      <c r="D97" s="1025" t="s">
        <v>1214</v>
      </c>
      <c r="E97" s="1035" t="s">
        <v>1630</v>
      </c>
      <c r="F97" s="1025">
        <v>1</v>
      </c>
      <c r="G97" s="1055" t="s">
        <v>1865</v>
      </c>
      <c r="H97" s="1025">
        <v>113</v>
      </c>
      <c r="I97" s="1058">
        <v>900</v>
      </c>
      <c r="J97" s="1037">
        <v>45839</v>
      </c>
      <c r="K97" s="1056">
        <v>46003</v>
      </c>
      <c r="L97" s="1025">
        <v>35</v>
      </c>
      <c r="M97" s="1025">
        <v>5</v>
      </c>
      <c r="N97" s="1025">
        <v>5</v>
      </c>
      <c r="O97" s="1057">
        <f t="shared" si="6"/>
        <v>0.14285714285714285</v>
      </c>
      <c r="P97" s="1103">
        <f t="shared" si="8"/>
        <v>0.14285714285714285</v>
      </c>
      <c r="Q97" s="1188"/>
    </row>
    <row r="98" spans="1:20">
      <c r="A98" s="1125" t="s">
        <v>1679</v>
      </c>
      <c r="B98" s="1025" t="s">
        <v>1412</v>
      </c>
      <c r="C98" s="1025" t="s">
        <v>450</v>
      </c>
      <c r="D98" s="1025" t="s">
        <v>1211</v>
      </c>
      <c r="E98" s="1035" t="s">
        <v>1643</v>
      </c>
      <c r="F98" s="1025">
        <v>1</v>
      </c>
      <c r="G98" s="1055" t="s">
        <v>1866</v>
      </c>
      <c r="H98" s="1025">
        <v>93</v>
      </c>
      <c r="I98" s="1058">
        <v>370</v>
      </c>
      <c r="J98" s="1037">
        <v>45841</v>
      </c>
      <c r="K98" s="1059">
        <v>46000</v>
      </c>
      <c r="L98" s="1025">
        <v>15</v>
      </c>
      <c r="M98" s="1025">
        <v>9</v>
      </c>
      <c r="N98" s="1025">
        <v>17</v>
      </c>
      <c r="O98" s="1057">
        <f t="shared" si="6"/>
        <v>0.6</v>
      </c>
      <c r="P98" s="1103">
        <f t="shared" si="8"/>
        <v>1.1333333333333333</v>
      </c>
      <c r="Q98" s="1188"/>
    </row>
    <row r="99" spans="1:20">
      <c r="A99" s="1125" t="s">
        <v>1679</v>
      </c>
      <c r="B99" s="1025" t="s">
        <v>825</v>
      </c>
      <c r="C99" s="1025" t="s">
        <v>445</v>
      </c>
      <c r="D99" s="1025" t="s">
        <v>1214</v>
      </c>
      <c r="E99" s="1035" t="s">
        <v>1630</v>
      </c>
      <c r="F99" s="1025">
        <v>1</v>
      </c>
      <c r="G99" s="1055" t="s">
        <v>1867</v>
      </c>
      <c r="H99" s="1025">
        <v>113</v>
      </c>
      <c r="I99" s="1058">
        <v>900</v>
      </c>
      <c r="J99" s="1037">
        <v>45848</v>
      </c>
      <c r="K99" s="1056">
        <v>46017</v>
      </c>
      <c r="L99" s="1025">
        <v>21</v>
      </c>
      <c r="M99" s="1025">
        <v>15</v>
      </c>
      <c r="N99" s="1025">
        <v>15</v>
      </c>
      <c r="O99" s="1057">
        <f t="shared" si="6"/>
        <v>0.7142857142857143</v>
      </c>
      <c r="P99" s="1103">
        <f t="shared" si="8"/>
        <v>0.7142857142857143</v>
      </c>
      <c r="Q99" s="1188"/>
    </row>
    <row r="100" spans="1:20">
      <c r="A100" s="1125" t="s">
        <v>1679</v>
      </c>
      <c r="B100" s="1025" t="s">
        <v>1638</v>
      </c>
      <c r="C100" s="1025" t="s">
        <v>452</v>
      </c>
      <c r="D100" s="1025" t="s">
        <v>1211</v>
      </c>
      <c r="E100" s="1035" t="s">
        <v>1640</v>
      </c>
      <c r="F100" s="1025">
        <v>1</v>
      </c>
      <c r="G100" s="1046" t="s">
        <v>1868</v>
      </c>
      <c r="H100" s="1047">
        <v>58</v>
      </c>
      <c r="I100" s="1048">
        <v>290</v>
      </c>
      <c r="J100" s="1037">
        <v>45853</v>
      </c>
      <c r="K100" s="1049">
        <v>45951</v>
      </c>
      <c r="L100" s="1025">
        <v>14</v>
      </c>
      <c r="M100" s="1025">
        <v>8</v>
      </c>
      <c r="N100" s="1025">
        <v>12</v>
      </c>
      <c r="O100" s="1057">
        <f t="shared" si="6"/>
        <v>0.5714285714285714</v>
      </c>
      <c r="P100" s="1103">
        <f t="shared" si="8"/>
        <v>0.8571428571428571</v>
      </c>
      <c r="Q100" s="1188"/>
    </row>
    <row r="101" spans="1:20">
      <c r="A101" s="1125" t="s">
        <v>1679</v>
      </c>
      <c r="B101" s="1025" t="s">
        <v>825</v>
      </c>
      <c r="C101" s="1025" t="s">
        <v>447</v>
      </c>
      <c r="D101" s="1025" t="s">
        <v>1214</v>
      </c>
      <c r="E101" s="1035" t="s">
        <v>1754</v>
      </c>
      <c r="F101" s="1025">
        <v>1</v>
      </c>
      <c r="G101" s="1046" t="s">
        <v>1869</v>
      </c>
      <c r="H101" s="1047">
        <v>114</v>
      </c>
      <c r="I101" s="1048">
        <v>910</v>
      </c>
      <c r="J101" s="1037">
        <v>45854</v>
      </c>
      <c r="K101" s="1049">
        <v>46027</v>
      </c>
      <c r="L101" s="1025">
        <v>20</v>
      </c>
      <c r="M101" s="1025">
        <v>12</v>
      </c>
      <c r="N101" s="1025">
        <v>12</v>
      </c>
      <c r="O101" s="1057">
        <f t="shared" si="6"/>
        <v>0.6</v>
      </c>
      <c r="P101" s="1103">
        <f t="shared" si="8"/>
        <v>0.6</v>
      </c>
      <c r="Q101" s="1188"/>
    </row>
    <row r="102" spans="1:20">
      <c r="A102" s="1125" t="s">
        <v>1679</v>
      </c>
      <c r="B102" s="1025" t="s">
        <v>1638</v>
      </c>
      <c r="C102" s="1025" t="s">
        <v>450</v>
      </c>
      <c r="D102" s="1025" t="s">
        <v>1211</v>
      </c>
      <c r="E102" s="1035" t="s">
        <v>1774</v>
      </c>
      <c r="F102" s="1025">
        <v>1</v>
      </c>
      <c r="G102" s="1046" t="s">
        <v>1870</v>
      </c>
      <c r="H102" s="1047">
        <v>56</v>
      </c>
      <c r="I102" s="1048">
        <v>280</v>
      </c>
      <c r="J102" s="1037">
        <v>45859</v>
      </c>
      <c r="K102" s="1049">
        <v>45945</v>
      </c>
      <c r="L102" s="1025">
        <v>20</v>
      </c>
      <c r="M102" s="1025">
        <v>13</v>
      </c>
      <c r="N102" s="1025">
        <v>19</v>
      </c>
      <c r="O102" s="1057">
        <f t="shared" si="6"/>
        <v>0.65</v>
      </c>
      <c r="P102" s="1103">
        <f t="shared" si="8"/>
        <v>0.95</v>
      </c>
      <c r="Q102" s="1188"/>
    </row>
    <row r="103" spans="1:20">
      <c r="A103" s="1125" t="s">
        <v>1679</v>
      </c>
      <c r="B103" s="1025" t="s">
        <v>1756</v>
      </c>
      <c r="C103" s="1025" t="s">
        <v>445</v>
      </c>
      <c r="D103" s="1025" t="s">
        <v>1211</v>
      </c>
      <c r="E103" s="1035" t="s">
        <v>1761</v>
      </c>
      <c r="F103" s="1025">
        <v>2</v>
      </c>
      <c r="G103" s="1046" t="s">
        <v>1845</v>
      </c>
      <c r="H103" s="1047">
        <v>39</v>
      </c>
      <c r="I103" s="1048">
        <v>152</v>
      </c>
      <c r="J103" s="1037">
        <v>45860</v>
      </c>
      <c r="K103" s="1049">
        <v>45917</v>
      </c>
      <c r="L103" s="1025">
        <v>20</v>
      </c>
      <c r="M103" s="1025">
        <v>6</v>
      </c>
      <c r="N103" s="1025">
        <v>6</v>
      </c>
      <c r="O103" s="1057">
        <f t="shared" si="6"/>
        <v>0.3</v>
      </c>
      <c r="P103" s="1103">
        <f t="shared" si="8"/>
        <v>0.3</v>
      </c>
      <c r="Q103" s="1188"/>
    </row>
    <row r="104" spans="1:20">
      <c r="A104" s="1125" t="s">
        <v>1679</v>
      </c>
      <c r="B104" s="1025" t="s">
        <v>1412</v>
      </c>
      <c r="C104" s="1025" t="s">
        <v>1639</v>
      </c>
      <c r="D104" s="1025" t="s">
        <v>1211</v>
      </c>
      <c r="E104" s="1035" t="s">
        <v>1643</v>
      </c>
      <c r="F104" s="1025">
        <v>1</v>
      </c>
      <c r="G104" s="1046" t="s">
        <v>1871</v>
      </c>
      <c r="H104" s="1047">
        <v>124</v>
      </c>
      <c r="I104" s="1047">
        <v>370</v>
      </c>
      <c r="J104" s="1060">
        <v>45860</v>
      </c>
      <c r="K104" s="1061">
        <v>46043</v>
      </c>
      <c r="L104" s="1025">
        <v>10</v>
      </c>
      <c r="M104" s="1025">
        <v>8</v>
      </c>
      <c r="N104" s="1025">
        <v>15</v>
      </c>
      <c r="O104" s="1057">
        <f t="shared" si="6"/>
        <v>0.8</v>
      </c>
      <c r="P104" s="1103">
        <f t="shared" si="8"/>
        <v>1.5</v>
      </c>
      <c r="Q104" s="1188"/>
    </row>
    <row r="105" spans="1:20">
      <c r="A105" s="1125" t="s">
        <v>1679</v>
      </c>
      <c r="B105" s="1025" t="s">
        <v>1638</v>
      </c>
      <c r="C105" s="1025" t="s">
        <v>445</v>
      </c>
      <c r="D105" s="1025" t="s">
        <v>1214</v>
      </c>
      <c r="E105" s="1035" t="s">
        <v>1770</v>
      </c>
      <c r="F105" s="1025">
        <v>1</v>
      </c>
      <c r="G105" s="1046" t="s">
        <v>1872</v>
      </c>
      <c r="H105" s="1047">
        <v>150</v>
      </c>
      <c r="I105" s="1047">
        <v>720</v>
      </c>
      <c r="J105" s="1062">
        <v>45861</v>
      </c>
      <c r="K105" s="1061">
        <v>46086</v>
      </c>
      <c r="L105" s="1025">
        <v>20</v>
      </c>
      <c r="M105" s="1025">
        <v>16</v>
      </c>
      <c r="N105" s="1025">
        <v>29</v>
      </c>
      <c r="O105" s="1057">
        <f t="shared" si="6"/>
        <v>0.8</v>
      </c>
      <c r="P105" s="1103">
        <f t="shared" si="8"/>
        <v>1.45</v>
      </c>
      <c r="Q105" s="1188"/>
    </row>
    <row r="106" spans="1:20">
      <c r="A106" s="1125" t="s">
        <v>1679</v>
      </c>
      <c r="B106" s="1025" t="s">
        <v>825</v>
      </c>
      <c r="C106" s="1025" t="s">
        <v>455</v>
      </c>
      <c r="D106" s="1025" t="s">
        <v>1224</v>
      </c>
      <c r="E106" s="1035" t="s">
        <v>1630</v>
      </c>
      <c r="F106" s="1025">
        <v>1</v>
      </c>
      <c r="G106" s="1046" t="s">
        <v>1873</v>
      </c>
      <c r="H106" s="1063">
        <v>90</v>
      </c>
      <c r="I106" s="1063">
        <v>720</v>
      </c>
      <c r="J106" s="1062">
        <v>45867</v>
      </c>
      <c r="K106" s="1061">
        <v>46001</v>
      </c>
      <c r="L106" s="1025">
        <v>30</v>
      </c>
      <c r="M106" s="1025">
        <v>25</v>
      </c>
      <c r="N106" s="1025">
        <v>26</v>
      </c>
      <c r="O106" s="1057">
        <f t="shared" si="6"/>
        <v>0.83333333333333337</v>
      </c>
      <c r="P106" s="1103">
        <f t="shared" si="8"/>
        <v>0.8666666666666667</v>
      </c>
      <c r="Q106" s="1188"/>
    </row>
    <row r="107" spans="1:20" ht="17.25" thickBot="1">
      <c r="A107" s="1127" t="s">
        <v>1679</v>
      </c>
      <c r="B107" s="1089" t="s">
        <v>1412</v>
      </c>
      <c r="C107" s="1089" t="s">
        <v>1829</v>
      </c>
      <c r="D107" s="1089" t="s">
        <v>1211</v>
      </c>
      <c r="E107" s="1090" t="s">
        <v>1643</v>
      </c>
      <c r="F107" s="1089">
        <v>1</v>
      </c>
      <c r="G107" s="1134" t="s">
        <v>1777</v>
      </c>
      <c r="H107" s="1135">
        <v>93</v>
      </c>
      <c r="I107" s="1135">
        <v>370</v>
      </c>
      <c r="J107" s="1136">
        <v>45869</v>
      </c>
      <c r="K107" s="1137">
        <v>45980</v>
      </c>
      <c r="L107" s="1089">
        <v>14</v>
      </c>
      <c r="M107" s="1089">
        <v>9</v>
      </c>
      <c r="N107" s="1089">
        <v>12</v>
      </c>
      <c r="O107" s="1138">
        <f t="shared" si="6"/>
        <v>0.6428571428571429</v>
      </c>
      <c r="P107" s="1106">
        <f t="shared" si="8"/>
        <v>0.8571428571428571</v>
      </c>
      <c r="Q107" s="1191">
        <f>COUNTA(G96:G107)</f>
        <v>12</v>
      </c>
      <c r="R107" s="997">
        <f>SUM(L96:L107)</f>
        <v>239</v>
      </c>
      <c r="S107" s="997">
        <f>SUM(M96:M107)</f>
        <v>146</v>
      </c>
      <c r="T107" s="998">
        <f>S107/R107</f>
        <v>0.61087866108786615</v>
      </c>
    </row>
    <row r="108" spans="1:20">
      <c r="A108" s="1078" t="s">
        <v>1681</v>
      </c>
      <c r="B108" s="1139" t="s">
        <v>825</v>
      </c>
      <c r="C108" s="1139" t="s">
        <v>453</v>
      </c>
      <c r="D108" s="1139" t="s">
        <v>1214</v>
      </c>
      <c r="E108" s="1140" t="s">
        <v>1874</v>
      </c>
      <c r="F108" s="1139">
        <v>1</v>
      </c>
      <c r="G108" s="1141" t="s">
        <v>1875</v>
      </c>
      <c r="H108" s="1139">
        <v>119</v>
      </c>
      <c r="I108" s="1139">
        <v>952</v>
      </c>
      <c r="J108" s="1142">
        <v>45870</v>
      </c>
      <c r="K108" s="1142">
        <v>46052</v>
      </c>
      <c r="L108" s="1139">
        <v>30</v>
      </c>
      <c r="M108" s="1139">
        <v>9</v>
      </c>
      <c r="N108" s="1139">
        <v>10</v>
      </c>
      <c r="O108" s="1101">
        <f t="shared" si="6"/>
        <v>0.3</v>
      </c>
      <c r="P108" s="1102">
        <f>N108/L108</f>
        <v>0.33333333333333331</v>
      </c>
      <c r="Q108" s="1188"/>
    </row>
    <row r="109" spans="1:20">
      <c r="A109" s="1086" t="s">
        <v>1681</v>
      </c>
      <c r="B109" s="1020" t="s">
        <v>1412</v>
      </c>
      <c r="C109" s="1020" t="s">
        <v>447</v>
      </c>
      <c r="D109" s="1020" t="s">
        <v>1211</v>
      </c>
      <c r="E109" s="1021" t="s">
        <v>1643</v>
      </c>
      <c r="F109" s="1020">
        <v>1</v>
      </c>
      <c r="G109" s="1022" t="s">
        <v>1777</v>
      </c>
      <c r="H109" s="1020">
        <v>81</v>
      </c>
      <c r="I109" s="1020">
        <v>370</v>
      </c>
      <c r="J109" s="1023">
        <v>45876</v>
      </c>
      <c r="K109" s="1023">
        <v>46002</v>
      </c>
      <c r="L109" s="1020">
        <v>20</v>
      </c>
      <c r="M109" s="1020">
        <v>5</v>
      </c>
      <c r="N109" s="1020">
        <v>9</v>
      </c>
      <c r="O109" s="1024">
        <f t="shared" si="6"/>
        <v>0.25</v>
      </c>
      <c r="P109" s="1103">
        <f t="shared" ref="P109:P162" si="9">N109/L109</f>
        <v>0.45</v>
      </c>
      <c r="Q109" s="1188"/>
    </row>
    <row r="110" spans="1:20">
      <c r="A110" s="1086" t="s">
        <v>1681</v>
      </c>
      <c r="B110" s="1020" t="s">
        <v>1638</v>
      </c>
      <c r="C110" s="1020" t="s">
        <v>1876</v>
      </c>
      <c r="D110" s="1020" t="s">
        <v>1211</v>
      </c>
      <c r="E110" s="1021" t="s">
        <v>1647</v>
      </c>
      <c r="F110" s="1020">
        <v>1</v>
      </c>
      <c r="G110" s="1022" t="s">
        <v>1877</v>
      </c>
      <c r="H110" s="1020">
        <v>70</v>
      </c>
      <c r="I110" s="1020">
        <v>350</v>
      </c>
      <c r="J110" s="1023">
        <v>45888</v>
      </c>
      <c r="K110" s="1023">
        <v>45993</v>
      </c>
      <c r="L110" s="1020">
        <v>21</v>
      </c>
      <c r="M110" s="1020">
        <v>11</v>
      </c>
      <c r="N110" s="1020">
        <v>12</v>
      </c>
      <c r="O110" s="1024">
        <f t="shared" si="6"/>
        <v>0.52380952380952384</v>
      </c>
      <c r="P110" s="1103">
        <f t="shared" si="9"/>
        <v>0.5714285714285714</v>
      </c>
      <c r="Q110" s="1188"/>
    </row>
    <row r="111" spans="1:20">
      <c r="A111" s="1086" t="s">
        <v>1681</v>
      </c>
      <c r="B111" s="1020" t="s">
        <v>1638</v>
      </c>
      <c r="C111" s="1020" t="s">
        <v>1833</v>
      </c>
      <c r="D111" s="1020" t="s">
        <v>1224</v>
      </c>
      <c r="E111" s="1021" t="s">
        <v>1878</v>
      </c>
      <c r="F111" s="1020">
        <v>1</v>
      </c>
      <c r="G111" s="1022" t="s">
        <v>1879</v>
      </c>
      <c r="H111" s="1020">
        <v>125</v>
      </c>
      <c r="I111" s="1020">
        <v>500</v>
      </c>
      <c r="J111" s="1023">
        <v>45888</v>
      </c>
      <c r="K111" s="1023">
        <v>46077</v>
      </c>
      <c r="L111" s="1020">
        <v>19</v>
      </c>
      <c r="M111" s="1020">
        <v>8</v>
      </c>
      <c r="N111" s="1020">
        <v>8</v>
      </c>
      <c r="O111" s="1024">
        <f t="shared" si="6"/>
        <v>0.42105263157894735</v>
      </c>
      <c r="P111" s="1103">
        <f t="shared" si="9"/>
        <v>0.42105263157894735</v>
      </c>
      <c r="Q111" s="1188"/>
    </row>
    <row r="112" spans="1:20">
      <c r="A112" s="1086" t="s">
        <v>1681</v>
      </c>
      <c r="B112" s="1020" t="s">
        <v>1638</v>
      </c>
      <c r="C112" s="1020" t="s">
        <v>451</v>
      </c>
      <c r="D112" s="1020" t="s">
        <v>1211</v>
      </c>
      <c r="E112" s="1021" t="s">
        <v>1770</v>
      </c>
      <c r="F112" s="1020">
        <v>1</v>
      </c>
      <c r="G112" s="1022" t="s">
        <v>1771</v>
      </c>
      <c r="H112" s="1020">
        <v>73</v>
      </c>
      <c r="I112" s="1020">
        <v>289</v>
      </c>
      <c r="J112" s="1023">
        <v>45894</v>
      </c>
      <c r="K112" s="1023">
        <v>46015</v>
      </c>
      <c r="L112" s="1020">
        <v>20</v>
      </c>
      <c r="M112" s="1020">
        <v>15</v>
      </c>
      <c r="N112" s="1020">
        <v>25</v>
      </c>
      <c r="O112" s="1024">
        <f t="shared" si="6"/>
        <v>0.75</v>
      </c>
      <c r="P112" s="1103">
        <f t="shared" si="9"/>
        <v>1.25</v>
      </c>
      <c r="Q112" s="1188"/>
    </row>
    <row r="113" spans="1:20">
      <c r="A113" s="1086" t="s">
        <v>1681</v>
      </c>
      <c r="B113" s="1020" t="s">
        <v>825</v>
      </c>
      <c r="C113" s="1020" t="s">
        <v>453</v>
      </c>
      <c r="D113" s="1020" t="s">
        <v>1214</v>
      </c>
      <c r="E113" s="1021" t="s">
        <v>1754</v>
      </c>
      <c r="F113" s="1020">
        <v>1</v>
      </c>
      <c r="G113" s="1022" t="s">
        <v>1880</v>
      </c>
      <c r="H113" s="1020">
        <v>98</v>
      </c>
      <c r="I113" s="1020">
        <v>777</v>
      </c>
      <c r="J113" s="1023">
        <v>45894</v>
      </c>
      <c r="K113" s="1023">
        <v>46043</v>
      </c>
      <c r="L113" s="1020">
        <v>22</v>
      </c>
      <c r="M113" s="1020">
        <v>14</v>
      </c>
      <c r="N113" s="1020">
        <v>16</v>
      </c>
      <c r="O113" s="1024">
        <f t="shared" si="6"/>
        <v>0.63636363636363635</v>
      </c>
      <c r="P113" s="1103">
        <f t="shared" si="9"/>
        <v>0.72727272727272729</v>
      </c>
      <c r="Q113" s="1188"/>
      <c r="R113" s="1019"/>
    </row>
    <row r="114" spans="1:20">
      <c r="A114" s="1086" t="s">
        <v>1681</v>
      </c>
      <c r="B114" s="1020" t="s">
        <v>1638</v>
      </c>
      <c r="C114" s="1020" t="s">
        <v>445</v>
      </c>
      <c r="D114" s="1020" t="s">
        <v>1214</v>
      </c>
      <c r="E114" s="1021" t="s">
        <v>1770</v>
      </c>
      <c r="F114" s="1020">
        <v>1</v>
      </c>
      <c r="G114" s="1022" t="s">
        <v>1881</v>
      </c>
      <c r="H114" s="1020">
        <v>150</v>
      </c>
      <c r="I114" s="1020">
        <v>750</v>
      </c>
      <c r="J114" s="1023">
        <v>45895</v>
      </c>
      <c r="K114" s="1023">
        <v>46119</v>
      </c>
      <c r="L114" s="1020">
        <v>20</v>
      </c>
      <c r="M114" s="1020">
        <v>9</v>
      </c>
      <c r="N114" s="1020">
        <v>18</v>
      </c>
      <c r="O114" s="1024">
        <f t="shared" si="6"/>
        <v>0.45</v>
      </c>
      <c r="P114" s="1103">
        <f t="shared" si="9"/>
        <v>0.9</v>
      </c>
      <c r="Q114" s="1188"/>
    </row>
    <row r="115" spans="1:20">
      <c r="A115" s="1086" t="s">
        <v>1681</v>
      </c>
      <c r="B115" s="1020" t="s">
        <v>825</v>
      </c>
      <c r="C115" s="1020" t="s">
        <v>445</v>
      </c>
      <c r="D115" s="1020" t="s">
        <v>1214</v>
      </c>
      <c r="E115" s="1021" t="s">
        <v>1630</v>
      </c>
      <c r="F115" s="1020">
        <v>1</v>
      </c>
      <c r="G115" s="1022" t="s">
        <v>1882</v>
      </c>
      <c r="H115" s="1020">
        <v>113</v>
      </c>
      <c r="I115" s="1020">
        <v>900</v>
      </c>
      <c r="J115" s="1023">
        <v>45895</v>
      </c>
      <c r="K115" s="1023">
        <v>46065</v>
      </c>
      <c r="L115" s="1020">
        <v>35</v>
      </c>
      <c r="M115" s="1020">
        <v>16</v>
      </c>
      <c r="N115" s="1020">
        <v>17</v>
      </c>
      <c r="O115" s="1024">
        <f t="shared" si="6"/>
        <v>0.45714285714285713</v>
      </c>
      <c r="P115" s="1103">
        <f t="shared" si="9"/>
        <v>0.48571428571428571</v>
      </c>
      <c r="Q115" s="1188"/>
    </row>
    <row r="116" spans="1:20">
      <c r="A116" s="1086" t="s">
        <v>1681</v>
      </c>
      <c r="B116" s="1020" t="s">
        <v>825</v>
      </c>
      <c r="C116" s="1020" t="s">
        <v>445</v>
      </c>
      <c r="D116" s="1020" t="s">
        <v>1216</v>
      </c>
      <c r="E116" s="1021" t="s">
        <v>1874</v>
      </c>
      <c r="F116" s="1020">
        <v>1</v>
      </c>
      <c r="G116" s="1022" t="s">
        <v>1883</v>
      </c>
      <c r="H116" s="1020">
        <v>138</v>
      </c>
      <c r="I116" s="1020">
        <v>1100</v>
      </c>
      <c r="J116" s="1023">
        <v>45896</v>
      </c>
      <c r="K116" s="1023">
        <v>46108</v>
      </c>
      <c r="L116" s="1020">
        <v>35</v>
      </c>
      <c r="M116" s="1020">
        <v>23</v>
      </c>
      <c r="N116" s="1020">
        <v>32</v>
      </c>
      <c r="O116" s="1024">
        <f t="shared" si="6"/>
        <v>0.65714285714285714</v>
      </c>
      <c r="P116" s="1103">
        <f t="shared" si="9"/>
        <v>0.91428571428571426</v>
      </c>
      <c r="Q116" s="1188"/>
    </row>
    <row r="117" spans="1:20">
      <c r="A117" s="1086" t="s">
        <v>1681</v>
      </c>
      <c r="B117" s="1020" t="s">
        <v>825</v>
      </c>
      <c r="C117" s="1020" t="s">
        <v>451</v>
      </c>
      <c r="D117" s="1020" t="s">
        <v>1765</v>
      </c>
      <c r="E117" s="1021" t="s">
        <v>1630</v>
      </c>
      <c r="F117" s="1020">
        <v>1</v>
      </c>
      <c r="G117" s="1022" t="s">
        <v>1884</v>
      </c>
      <c r="H117" s="1020">
        <v>100</v>
      </c>
      <c r="I117" s="1020">
        <v>800</v>
      </c>
      <c r="J117" s="1023">
        <v>45897</v>
      </c>
      <c r="K117" s="1023">
        <v>46048</v>
      </c>
      <c r="L117" s="1020">
        <v>20</v>
      </c>
      <c r="M117" s="1020">
        <v>18</v>
      </c>
      <c r="N117" s="1020">
        <v>19</v>
      </c>
      <c r="O117" s="1024">
        <f t="shared" si="6"/>
        <v>0.9</v>
      </c>
      <c r="P117" s="1103">
        <f t="shared" si="9"/>
        <v>0.95</v>
      </c>
      <c r="Q117" s="1188"/>
    </row>
    <row r="118" spans="1:20">
      <c r="A118" s="1086" t="s">
        <v>1681</v>
      </c>
      <c r="B118" s="1020" t="s">
        <v>825</v>
      </c>
      <c r="C118" s="1020" t="s">
        <v>447</v>
      </c>
      <c r="D118" s="1020" t="s">
        <v>1214</v>
      </c>
      <c r="E118" s="1021" t="s">
        <v>1766</v>
      </c>
      <c r="F118" s="1020">
        <v>1</v>
      </c>
      <c r="G118" s="1022" t="s">
        <v>1885</v>
      </c>
      <c r="H118" s="1020">
        <v>108</v>
      </c>
      <c r="I118" s="1020">
        <v>864</v>
      </c>
      <c r="J118" s="1023">
        <v>45897</v>
      </c>
      <c r="K118" s="1023">
        <v>46107</v>
      </c>
      <c r="L118" s="1020">
        <v>22</v>
      </c>
      <c r="M118" s="1020">
        <v>10</v>
      </c>
      <c r="N118" s="1020">
        <v>12</v>
      </c>
      <c r="O118" s="1024">
        <f t="shared" si="6"/>
        <v>0.45454545454545453</v>
      </c>
      <c r="P118" s="1103">
        <f t="shared" si="9"/>
        <v>0.54545454545454541</v>
      </c>
      <c r="Q118" s="1188"/>
    </row>
    <row r="119" spans="1:20" ht="17.25" thickBot="1">
      <c r="A119" s="1088" t="s">
        <v>1681</v>
      </c>
      <c r="B119" s="1143" t="s">
        <v>825</v>
      </c>
      <c r="C119" s="1143" t="s">
        <v>1646</v>
      </c>
      <c r="D119" s="1143" t="s">
        <v>1224</v>
      </c>
      <c r="E119" s="1144" t="s">
        <v>1630</v>
      </c>
      <c r="F119" s="1143">
        <v>1</v>
      </c>
      <c r="G119" s="1145" t="s">
        <v>1886</v>
      </c>
      <c r="H119" s="1143">
        <v>100</v>
      </c>
      <c r="I119" s="1143">
        <v>800</v>
      </c>
      <c r="J119" s="1146">
        <v>45898</v>
      </c>
      <c r="K119" s="1146">
        <v>46049</v>
      </c>
      <c r="L119" s="1143">
        <v>20</v>
      </c>
      <c r="M119" s="1143">
        <v>12</v>
      </c>
      <c r="N119" s="1143">
        <v>12</v>
      </c>
      <c r="O119" s="1105">
        <f t="shared" si="6"/>
        <v>0.6</v>
      </c>
      <c r="P119" s="1106">
        <f t="shared" si="9"/>
        <v>0.6</v>
      </c>
      <c r="Q119" s="1191">
        <f>COUNTA(G108:G119)</f>
        <v>12</v>
      </c>
      <c r="R119" s="997">
        <f>SUM(L108:L119)</f>
        <v>284</v>
      </c>
      <c r="S119" s="997">
        <f>SUM(M108:M119)</f>
        <v>150</v>
      </c>
      <c r="T119" s="998">
        <f>S119/R119</f>
        <v>0.528169014084507</v>
      </c>
    </row>
    <row r="120" spans="1:20">
      <c r="A120" s="1078" t="s">
        <v>1685</v>
      </c>
      <c r="B120" s="1147" t="s">
        <v>825</v>
      </c>
      <c r="C120" s="1147" t="s">
        <v>453</v>
      </c>
      <c r="D120" s="1147" t="s">
        <v>1217</v>
      </c>
      <c r="E120" s="1148" t="s">
        <v>1630</v>
      </c>
      <c r="F120" s="1147">
        <v>1</v>
      </c>
      <c r="G120" s="1149" t="s">
        <v>1887</v>
      </c>
      <c r="H120" s="1147">
        <v>109</v>
      </c>
      <c r="I120" s="1147">
        <v>820</v>
      </c>
      <c r="J120" s="1150">
        <v>45901</v>
      </c>
      <c r="K120" s="1150">
        <v>46059</v>
      </c>
      <c r="L120" s="1147">
        <v>30</v>
      </c>
      <c r="M120" s="1147">
        <v>6</v>
      </c>
      <c r="N120" s="1147">
        <v>7</v>
      </c>
      <c r="O120" s="1101">
        <f t="shared" si="6"/>
        <v>0.2</v>
      </c>
      <c r="P120" s="1102">
        <f t="shared" si="9"/>
        <v>0.23333333333333334</v>
      </c>
      <c r="Q120" s="1188"/>
    </row>
    <row r="121" spans="1:20">
      <c r="A121" s="1086" t="s">
        <v>1685</v>
      </c>
      <c r="B121" s="1066" t="s">
        <v>1412</v>
      </c>
      <c r="C121" s="1066" t="s">
        <v>450</v>
      </c>
      <c r="D121" s="1066" t="s">
        <v>1214</v>
      </c>
      <c r="E121" s="1067" t="s">
        <v>1643</v>
      </c>
      <c r="F121" s="1066">
        <v>1</v>
      </c>
      <c r="G121" s="1068" t="s">
        <v>1888</v>
      </c>
      <c r="H121" s="1066">
        <v>125</v>
      </c>
      <c r="I121" s="1066">
        <v>870</v>
      </c>
      <c r="J121" s="1069">
        <v>45901</v>
      </c>
      <c r="K121" s="1069">
        <v>46087</v>
      </c>
      <c r="L121" s="1066">
        <v>20</v>
      </c>
      <c r="M121" s="1066">
        <v>10</v>
      </c>
      <c r="N121" s="1066">
        <v>19</v>
      </c>
      <c r="O121" s="1024">
        <f t="shared" si="6"/>
        <v>0.5</v>
      </c>
      <c r="P121" s="1103">
        <f t="shared" si="9"/>
        <v>0.95</v>
      </c>
      <c r="Q121" s="1188"/>
    </row>
    <row r="122" spans="1:20">
      <c r="A122" s="1086" t="s">
        <v>1685</v>
      </c>
      <c r="B122" s="1066" t="s">
        <v>1638</v>
      </c>
      <c r="C122" s="1066" t="s">
        <v>451</v>
      </c>
      <c r="D122" s="1066" t="s">
        <v>1214</v>
      </c>
      <c r="E122" s="1067" t="s">
        <v>1750</v>
      </c>
      <c r="F122" s="1066">
        <v>1</v>
      </c>
      <c r="G122" s="1068" t="s">
        <v>1889</v>
      </c>
      <c r="H122" s="1066">
        <v>133</v>
      </c>
      <c r="I122" s="1066">
        <v>660</v>
      </c>
      <c r="J122" s="1069">
        <v>45901</v>
      </c>
      <c r="K122" s="1069">
        <v>46100</v>
      </c>
      <c r="L122" s="1066">
        <v>20</v>
      </c>
      <c r="M122" s="1066">
        <v>16</v>
      </c>
      <c r="N122" s="1066">
        <v>26</v>
      </c>
      <c r="O122" s="1024">
        <f t="shared" si="6"/>
        <v>0.8</v>
      </c>
      <c r="P122" s="1103">
        <f t="shared" si="9"/>
        <v>1.3</v>
      </c>
      <c r="Q122" s="1188"/>
    </row>
    <row r="123" spans="1:20">
      <c r="A123" s="1086" t="s">
        <v>1685</v>
      </c>
      <c r="B123" s="1066" t="s">
        <v>1638</v>
      </c>
      <c r="C123" s="1066" t="s">
        <v>1837</v>
      </c>
      <c r="D123" s="1066" t="s">
        <v>1211</v>
      </c>
      <c r="E123" s="1067" t="s">
        <v>1774</v>
      </c>
      <c r="F123" s="1066">
        <v>1</v>
      </c>
      <c r="G123" s="1068" t="s">
        <v>1890</v>
      </c>
      <c r="H123" s="1066">
        <v>70</v>
      </c>
      <c r="I123" s="1066">
        <v>280</v>
      </c>
      <c r="J123" s="1069">
        <v>45901</v>
      </c>
      <c r="K123" s="1069">
        <v>46006</v>
      </c>
      <c r="L123" s="1066">
        <v>20</v>
      </c>
      <c r="M123" s="1066">
        <v>7</v>
      </c>
      <c r="N123" s="1066">
        <v>7</v>
      </c>
      <c r="O123" s="1024">
        <f t="shared" si="6"/>
        <v>0.35</v>
      </c>
      <c r="P123" s="1103">
        <f t="shared" si="9"/>
        <v>0.35</v>
      </c>
      <c r="Q123" s="1188"/>
    </row>
    <row r="124" spans="1:20">
      <c r="A124" s="1086" t="s">
        <v>1685</v>
      </c>
      <c r="B124" s="1066" t="s">
        <v>1412</v>
      </c>
      <c r="C124" s="1066" t="s">
        <v>1833</v>
      </c>
      <c r="D124" s="1066" t="s">
        <v>1224</v>
      </c>
      <c r="E124" s="1067" t="s">
        <v>1643</v>
      </c>
      <c r="F124" s="1066">
        <v>1</v>
      </c>
      <c r="G124" s="1068" t="s">
        <v>1891</v>
      </c>
      <c r="H124" s="1066">
        <v>140</v>
      </c>
      <c r="I124" s="1066">
        <v>700</v>
      </c>
      <c r="J124" s="1069">
        <v>45909</v>
      </c>
      <c r="K124" s="1069">
        <v>46119</v>
      </c>
      <c r="L124" s="1066">
        <v>11</v>
      </c>
      <c r="M124" s="1066">
        <v>10</v>
      </c>
      <c r="N124" s="1066">
        <v>14</v>
      </c>
      <c r="O124" s="1024">
        <f t="shared" si="6"/>
        <v>0.90909090909090906</v>
      </c>
      <c r="P124" s="1103">
        <f t="shared" si="9"/>
        <v>1.2727272727272727</v>
      </c>
      <c r="Q124" s="1188"/>
    </row>
    <row r="125" spans="1:20">
      <c r="A125" s="1086" t="s">
        <v>1685</v>
      </c>
      <c r="B125" s="1066" t="s">
        <v>1638</v>
      </c>
      <c r="C125" s="1066" t="s">
        <v>1892</v>
      </c>
      <c r="D125" s="1066" t="s">
        <v>1211</v>
      </c>
      <c r="E125" s="1067" t="s">
        <v>1774</v>
      </c>
      <c r="F125" s="1066">
        <v>2</v>
      </c>
      <c r="G125" s="1070" t="s">
        <v>1893</v>
      </c>
      <c r="H125" s="1071">
        <v>70</v>
      </c>
      <c r="I125" s="1071">
        <v>280</v>
      </c>
      <c r="J125" s="1072">
        <v>45909</v>
      </c>
      <c r="K125" s="1072">
        <v>46013</v>
      </c>
      <c r="L125" s="1066">
        <v>12</v>
      </c>
      <c r="M125" s="1066">
        <v>9</v>
      </c>
      <c r="N125" s="1066">
        <v>9</v>
      </c>
      <c r="O125" s="1024">
        <f t="shared" si="6"/>
        <v>0.75</v>
      </c>
      <c r="P125" s="1103">
        <f t="shared" si="9"/>
        <v>0.75</v>
      </c>
      <c r="Q125" s="1188"/>
    </row>
    <row r="126" spans="1:20">
      <c r="A126" s="1086" t="s">
        <v>1685</v>
      </c>
      <c r="B126" s="1066" t="s">
        <v>1412</v>
      </c>
      <c r="C126" s="1066" t="s">
        <v>451</v>
      </c>
      <c r="D126" s="1066" t="s">
        <v>1211</v>
      </c>
      <c r="E126" s="1067" t="s">
        <v>1643</v>
      </c>
      <c r="F126" s="1066">
        <v>1</v>
      </c>
      <c r="G126" s="1068" t="s">
        <v>1894</v>
      </c>
      <c r="H126" s="1066">
        <v>125</v>
      </c>
      <c r="I126" s="1066">
        <v>370</v>
      </c>
      <c r="J126" s="1069">
        <v>45910</v>
      </c>
      <c r="K126" s="1069">
        <v>46113</v>
      </c>
      <c r="L126" s="1066">
        <v>13</v>
      </c>
      <c r="M126" s="1066">
        <v>11</v>
      </c>
      <c r="N126" s="1066">
        <v>30</v>
      </c>
      <c r="O126" s="1024">
        <f t="shared" si="6"/>
        <v>0.84615384615384615</v>
      </c>
      <c r="P126" s="1103">
        <f t="shared" si="9"/>
        <v>2.3076923076923075</v>
      </c>
      <c r="Q126" s="1188"/>
    </row>
    <row r="127" spans="1:20">
      <c r="A127" s="1086" t="s">
        <v>1685</v>
      </c>
      <c r="B127" s="1066" t="s">
        <v>825</v>
      </c>
      <c r="C127" s="1066" t="s">
        <v>447</v>
      </c>
      <c r="D127" s="1066" t="s">
        <v>1214</v>
      </c>
      <c r="E127" s="1067" t="s">
        <v>1630</v>
      </c>
      <c r="F127" s="1066">
        <v>1</v>
      </c>
      <c r="G127" s="1068" t="s">
        <v>1895</v>
      </c>
      <c r="H127" s="1066">
        <v>118</v>
      </c>
      <c r="I127" s="1066">
        <v>940</v>
      </c>
      <c r="J127" s="1069">
        <v>45911</v>
      </c>
      <c r="K127" s="1069">
        <v>46091</v>
      </c>
      <c r="L127" s="1066">
        <v>25</v>
      </c>
      <c r="M127" s="1066">
        <v>14</v>
      </c>
      <c r="N127" s="1066">
        <v>14</v>
      </c>
      <c r="O127" s="1024">
        <f t="shared" si="6"/>
        <v>0.56000000000000005</v>
      </c>
      <c r="P127" s="1103">
        <f t="shared" si="9"/>
        <v>0.56000000000000005</v>
      </c>
      <c r="Q127" s="1188"/>
    </row>
    <row r="128" spans="1:20">
      <c r="A128" s="1086" t="s">
        <v>1685</v>
      </c>
      <c r="B128" s="1066" t="s">
        <v>1412</v>
      </c>
      <c r="C128" s="1066" t="s">
        <v>452</v>
      </c>
      <c r="D128" s="1066" t="s">
        <v>1214</v>
      </c>
      <c r="E128" s="1067" t="s">
        <v>1643</v>
      </c>
      <c r="F128" s="1066">
        <v>1</v>
      </c>
      <c r="G128" s="1068" t="s">
        <v>1896</v>
      </c>
      <c r="H128" s="1066">
        <v>136</v>
      </c>
      <c r="I128" s="1066">
        <v>810</v>
      </c>
      <c r="J128" s="1069">
        <v>45916</v>
      </c>
      <c r="K128" s="1069">
        <v>46120</v>
      </c>
      <c r="L128" s="1066">
        <v>21</v>
      </c>
      <c r="M128" s="1066">
        <v>11</v>
      </c>
      <c r="N128" s="1066">
        <v>14</v>
      </c>
      <c r="O128" s="1024">
        <f t="shared" si="6"/>
        <v>0.52380952380952384</v>
      </c>
      <c r="P128" s="1103">
        <f t="shared" si="9"/>
        <v>0.66666666666666663</v>
      </c>
      <c r="Q128" s="1188"/>
    </row>
    <row r="129" spans="1:20">
      <c r="A129" s="1086" t="s">
        <v>1685</v>
      </c>
      <c r="B129" s="1066" t="s">
        <v>1638</v>
      </c>
      <c r="C129" s="1066" t="s">
        <v>451</v>
      </c>
      <c r="D129" s="1066" t="s">
        <v>1214</v>
      </c>
      <c r="E129" s="1067" t="s">
        <v>1640</v>
      </c>
      <c r="F129" s="1066">
        <v>1</v>
      </c>
      <c r="G129" s="1068" t="s">
        <v>1897</v>
      </c>
      <c r="H129" s="1066">
        <v>133</v>
      </c>
      <c r="I129" s="1066">
        <v>660</v>
      </c>
      <c r="J129" s="1069">
        <v>45916</v>
      </c>
      <c r="K129" s="1069">
        <v>46115</v>
      </c>
      <c r="L129" s="1066">
        <v>20</v>
      </c>
      <c r="M129" s="1066">
        <v>12</v>
      </c>
      <c r="N129" s="1066">
        <v>24</v>
      </c>
      <c r="O129" s="1024">
        <f t="shared" si="6"/>
        <v>0.6</v>
      </c>
      <c r="P129" s="1103">
        <f t="shared" si="9"/>
        <v>1.2</v>
      </c>
      <c r="Q129" s="1188"/>
    </row>
    <row r="130" spans="1:20">
      <c r="A130" s="1086" t="s">
        <v>1685</v>
      </c>
      <c r="B130" s="1066" t="s">
        <v>1638</v>
      </c>
      <c r="C130" s="1066" t="s">
        <v>455</v>
      </c>
      <c r="D130" s="1066" t="s">
        <v>1214</v>
      </c>
      <c r="E130" s="1067" t="s">
        <v>1898</v>
      </c>
      <c r="F130" s="1066">
        <v>1</v>
      </c>
      <c r="G130" s="1068" t="s">
        <v>1899</v>
      </c>
      <c r="H130" s="1066">
        <v>133</v>
      </c>
      <c r="I130" s="1066">
        <v>530</v>
      </c>
      <c r="J130" s="1069">
        <v>45916</v>
      </c>
      <c r="K130" s="1069">
        <v>46135</v>
      </c>
      <c r="L130" s="1066">
        <v>20</v>
      </c>
      <c r="M130" s="1066">
        <v>8</v>
      </c>
      <c r="N130" s="1066">
        <v>18</v>
      </c>
      <c r="O130" s="1024">
        <f t="shared" si="6"/>
        <v>0.4</v>
      </c>
      <c r="P130" s="1103">
        <f t="shared" si="9"/>
        <v>0.9</v>
      </c>
      <c r="Q130" s="1188"/>
    </row>
    <row r="131" spans="1:20">
      <c r="A131" s="1086" t="s">
        <v>1685</v>
      </c>
      <c r="B131" s="1066" t="s">
        <v>1638</v>
      </c>
      <c r="C131" s="1066" t="s">
        <v>455</v>
      </c>
      <c r="D131" s="1066" t="s">
        <v>1224</v>
      </c>
      <c r="E131" s="1067" t="s">
        <v>1770</v>
      </c>
      <c r="F131" s="1066">
        <v>1</v>
      </c>
      <c r="G131" s="1068" t="s">
        <v>1900</v>
      </c>
      <c r="H131" s="1066">
        <v>150</v>
      </c>
      <c r="I131" s="1066">
        <v>600</v>
      </c>
      <c r="J131" s="1069">
        <v>45916</v>
      </c>
      <c r="K131" s="1069">
        <v>46164</v>
      </c>
      <c r="L131" s="1066">
        <v>20</v>
      </c>
      <c r="M131" s="1066">
        <v>16</v>
      </c>
      <c r="N131" s="1066">
        <v>24</v>
      </c>
      <c r="O131" s="1024">
        <f t="shared" si="6"/>
        <v>0.8</v>
      </c>
      <c r="P131" s="1103">
        <f t="shared" si="9"/>
        <v>1.2</v>
      </c>
      <c r="Q131" s="1188"/>
    </row>
    <row r="132" spans="1:20">
      <c r="A132" s="1086" t="s">
        <v>1685</v>
      </c>
      <c r="B132" s="1066" t="s">
        <v>825</v>
      </c>
      <c r="C132" s="1066" t="s">
        <v>445</v>
      </c>
      <c r="D132" s="1066" t="s">
        <v>1214</v>
      </c>
      <c r="E132" s="1067" t="s">
        <v>1630</v>
      </c>
      <c r="F132" s="1066">
        <v>1</v>
      </c>
      <c r="G132" s="1068" t="s">
        <v>1901</v>
      </c>
      <c r="H132" s="1066">
        <v>113</v>
      </c>
      <c r="I132" s="1066">
        <v>900</v>
      </c>
      <c r="J132" s="1069">
        <v>45918</v>
      </c>
      <c r="K132" s="1069">
        <v>46104</v>
      </c>
      <c r="L132" s="1066">
        <v>21</v>
      </c>
      <c r="M132" s="1066">
        <v>12</v>
      </c>
      <c r="N132" s="1066">
        <v>12</v>
      </c>
      <c r="O132" s="1024">
        <f t="shared" si="6"/>
        <v>0.5714285714285714</v>
      </c>
      <c r="P132" s="1103">
        <f t="shared" si="9"/>
        <v>0.5714285714285714</v>
      </c>
      <c r="Q132" s="1188"/>
    </row>
    <row r="133" spans="1:20">
      <c r="A133" s="1086" t="s">
        <v>1685</v>
      </c>
      <c r="B133" s="1066" t="s">
        <v>825</v>
      </c>
      <c r="C133" s="1066" t="s">
        <v>455</v>
      </c>
      <c r="D133" s="1066" t="s">
        <v>1224</v>
      </c>
      <c r="E133" s="1067" t="s">
        <v>1630</v>
      </c>
      <c r="F133" s="1066">
        <v>1</v>
      </c>
      <c r="G133" s="1068" t="s">
        <v>1902</v>
      </c>
      <c r="H133" s="1066">
        <v>90</v>
      </c>
      <c r="I133" s="1066">
        <v>720</v>
      </c>
      <c r="J133" s="1069">
        <v>45918</v>
      </c>
      <c r="K133" s="1069">
        <v>46057</v>
      </c>
      <c r="L133" s="1066">
        <v>30</v>
      </c>
      <c r="M133" s="1066">
        <v>25</v>
      </c>
      <c r="N133" s="1066">
        <v>25</v>
      </c>
      <c r="O133" s="1024">
        <f t="shared" si="6"/>
        <v>0.83333333333333337</v>
      </c>
      <c r="P133" s="1103">
        <f t="shared" si="9"/>
        <v>0.83333333333333337</v>
      </c>
      <c r="Q133" s="1188"/>
    </row>
    <row r="134" spans="1:20">
      <c r="A134" s="1086" t="s">
        <v>1685</v>
      </c>
      <c r="B134" s="1066" t="s">
        <v>1756</v>
      </c>
      <c r="C134" s="1066" t="s">
        <v>445</v>
      </c>
      <c r="D134" s="1066" t="s">
        <v>1211</v>
      </c>
      <c r="E134" s="1067" t="s">
        <v>1761</v>
      </c>
      <c r="F134" s="1066">
        <v>3</v>
      </c>
      <c r="G134" s="1068" t="s">
        <v>1903</v>
      </c>
      <c r="H134" s="1066">
        <v>39</v>
      </c>
      <c r="I134" s="1066">
        <v>152</v>
      </c>
      <c r="J134" s="1069">
        <v>45918</v>
      </c>
      <c r="K134" s="1069">
        <v>45980</v>
      </c>
      <c r="L134" s="1066">
        <v>20</v>
      </c>
      <c r="M134" s="1066">
        <v>11</v>
      </c>
      <c r="N134" s="1066">
        <v>11</v>
      </c>
      <c r="O134" s="1024">
        <f t="shared" si="6"/>
        <v>0.55000000000000004</v>
      </c>
      <c r="P134" s="1103">
        <f t="shared" si="9"/>
        <v>0.55000000000000004</v>
      </c>
      <c r="Q134" s="1188"/>
    </row>
    <row r="135" spans="1:20">
      <c r="A135" s="1086" t="s">
        <v>1685</v>
      </c>
      <c r="B135" s="1066" t="s">
        <v>1638</v>
      </c>
      <c r="C135" s="1066" t="s">
        <v>1829</v>
      </c>
      <c r="D135" s="1066" t="s">
        <v>1211</v>
      </c>
      <c r="E135" s="1067" t="s">
        <v>1770</v>
      </c>
      <c r="F135" s="1066">
        <v>1</v>
      </c>
      <c r="G135" s="1068" t="s">
        <v>1904</v>
      </c>
      <c r="H135" s="1066">
        <v>56</v>
      </c>
      <c r="I135" s="1066">
        <v>280</v>
      </c>
      <c r="J135" s="1069">
        <v>45919</v>
      </c>
      <c r="K135" s="1069">
        <v>46003</v>
      </c>
      <c r="L135" s="1066">
        <v>20</v>
      </c>
      <c r="M135" s="1066">
        <v>3</v>
      </c>
      <c r="N135" s="1066">
        <v>5</v>
      </c>
      <c r="O135" s="1024">
        <f t="shared" si="6"/>
        <v>0.15</v>
      </c>
      <c r="P135" s="1103">
        <f t="shared" si="9"/>
        <v>0.25</v>
      </c>
      <c r="Q135" s="1188"/>
    </row>
    <row r="136" spans="1:20">
      <c r="A136" s="1086" t="s">
        <v>1685</v>
      </c>
      <c r="B136" s="1066" t="s">
        <v>1638</v>
      </c>
      <c r="C136" s="1066" t="s">
        <v>445</v>
      </c>
      <c r="D136" s="1066" t="s">
        <v>1217</v>
      </c>
      <c r="E136" s="1067" t="s">
        <v>1905</v>
      </c>
      <c r="F136" s="1066">
        <v>1</v>
      </c>
      <c r="G136" s="1068" t="s">
        <v>1906</v>
      </c>
      <c r="H136" s="1066">
        <v>80</v>
      </c>
      <c r="I136" s="1066">
        <v>640</v>
      </c>
      <c r="J136" s="1069">
        <v>45924</v>
      </c>
      <c r="K136" s="1069">
        <v>46044</v>
      </c>
      <c r="L136" s="1066">
        <v>20</v>
      </c>
      <c r="M136" s="1066">
        <v>12</v>
      </c>
      <c r="N136" s="1066">
        <v>12</v>
      </c>
      <c r="O136" s="1024">
        <f t="shared" si="6"/>
        <v>0.6</v>
      </c>
      <c r="P136" s="1103">
        <f t="shared" si="9"/>
        <v>0.6</v>
      </c>
      <c r="Q136" s="1188"/>
    </row>
    <row r="137" spans="1:20">
      <c r="A137" s="1086" t="s">
        <v>1685</v>
      </c>
      <c r="B137" s="1066" t="s">
        <v>1638</v>
      </c>
      <c r="C137" s="1066" t="s">
        <v>452</v>
      </c>
      <c r="D137" s="1066" t="s">
        <v>1211</v>
      </c>
      <c r="E137" s="1067" t="s">
        <v>1774</v>
      </c>
      <c r="F137" s="1066">
        <v>1</v>
      </c>
      <c r="G137" s="1068" t="s">
        <v>1907</v>
      </c>
      <c r="H137" s="1066">
        <v>56</v>
      </c>
      <c r="I137" s="1066">
        <v>280</v>
      </c>
      <c r="J137" s="1069">
        <v>45924</v>
      </c>
      <c r="K137" s="1069">
        <v>46014</v>
      </c>
      <c r="L137" s="1066">
        <v>20</v>
      </c>
      <c r="M137" s="1066">
        <v>7</v>
      </c>
      <c r="N137" s="1066">
        <v>13</v>
      </c>
      <c r="O137" s="1024">
        <f t="shared" si="6"/>
        <v>0.35</v>
      </c>
      <c r="P137" s="1103">
        <f t="shared" si="9"/>
        <v>0.65</v>
      </c>
      <c r="Q137" s="1188"/>
    </row>
    <row r="138" spans="1:20">
      <c r="A138" s="1086" t="s">
        <v>1685</v>
      </c>
      <c r="B138" s="1066" t="s">
        <v>1638</v>
      </c>
      <c r="C138" s="1066" t="s">
        <v>1837</v>
      </c>
      <c r="D138" s="1066" t="s">
        <v>1211</v>
      </c>
      <c r="E138" s="1067" t="s">
        <v>1641</v>
      </c>
      <c r="F138" s="1066">
        <v>2</v>
      </c>
      <c r="G138" s="1068" t="s">
        <v>1844</v>
      </c>
      <c r="H138" s="1066">
        <v>62</v>
      </c>
      <c r="I138" s="1066">
        <v>310</v>
      </c>
      <c r="J138" s="1069">
        <v>45924</v>
      </c>
      <c r="K138" s="1069">
        <v>46020</v>
      </c>
      <c r="L138" s="1066">
        <v>20</v>
      </c>
      <c r="M138" s="1066">
        <v>7</v>
      </c>
      <c r="N138" s="1066">
        <v>10</v>
      </c>
      <c r="O138" s="1024">
        <f t="shared" si="6"/>
        <v>0.35</v>
      </c>
      <c r="P138" s="1103">
        <f t="shared" si="9"/>
        <v>0.5</v>
      </c>
      <c r="Q138" s="1188"/>
    </row>
    <row r="139" spans="1:20">
      <c r="A139" s="1086" t="s">
        <v>1685</v>
      </c>
      <c r="B139" s="1066" t="s">
        <v>825</v>
      </c>
      <c r="C139" s="1066" t="s">
        <v>453</v>
      </c>
      <c r="D139" s="1066" t="s">
        <v>1224</v>
      </c>
      <c r="E139" s="1067" t="s">
        <v>1754</v>
      </c>
      <c r="F139" s="1066">
        <v>2</v>
      </c>
      <c r="G139" s="1068" t="s">
        <v>1755</v>
      </c>
      <c r="H139" s="1066">
        <v>120</v>
      </c>
      <c r="I139" s="1066">
        <v>960</v>
      </c>
      <c r="J139" s="1069">
        <v>45930</v>
      </c>
      <c r="K139" s="1069">
        <v>46118</v>
      </c>
      <c r="L139" s="1066">
        <v>20</v>
      </c>
      <c r="M139" s="1066">
        <v>14</v>
      </c>
      <c r="N139" s="1066">
        <v>14</v>
      </c>
      <c r="O139" s="1024">
        <f t="shared" si="6"/>
        <v>0.7</v>
      </c>
      <c r="P139" s="1103">
        <f t="shared" si="9"/>
        <v>0.7</v>
      </c>
      <c r="Q139" s="1188"/>
    </row>
    <row r="140" spans="1:20">
      <c r="A140" s="1086" t="s">
        <v>1685</v>
      </c>
      <c r="B140" s="1066" t="s">
        <v>1638</v>
      </c>
      <c r="C140" s="1066" t="s">
        <v>1908</v>
      </c>
      <c r="D140" s="1066" t="s">
        <v>1211</v>
      </c>
      <c r="E140" s="1067" t="s">
        <v>1770</v>
      </c>
      <c r="F140" s="1066">
        <v>2</v>
      </c>
      <c r="G140" s="1070" t="s">
        <v>1792</v>
      </c>
      <c r="H140" s="1071">
        <v>60</v>
      </c>
      <c r="I140" s="1071">
        <v>300</v>
      </c>
      <c r="J140" s="1072">
        <v>45930</v>
      </c>
      <c r="K140" s="1072">
        <v>46022</v>
      </c>
      <c r="L140" s="1066">
        <v>20</v>
      </c>
      <c r="M140" s="1066">
        <v>18</v>
      </c>
      <c r="N140" s="1066">
        <v>25</v>
      </c>
      <c r="O140" s="1024">
        <f t="shared" ref="O140:O183" si="10">M140/L140</f>
        <v>0.9</v>
      </c>
      <c r="P140" s="1103">
        <f t="shared" si="9"/>
        <v>1.25</v>
      </c>
      <c r="Q140" s="1188"/>
    </row>
    <row r="141" spans="1:20" ht="17.25" thickBot="1">
      <c r="A141" s="1088" t="s">
        <v>1685</v>
      </c>
      <c r="B141" s="1151" t="s">
        <v>1909</v>
      </c>
      <c r="C141" s="1151" t="s">
        <v>1908</v>
      </c>
      <c r="D141" s="1151" t="s">
        <v>1910</v>
      </c>
      <c r="E141" s="1152" t="s">
        <v>1911</v>
      </c>
      <c r="F141" s="1151">
        <v>1</v>
      </c>
      <c r="G141" s="1153" t="s">
        <v>1912</v>
      </c>
      <c r="H141" s="1154">
        <v>40</v>
      </c>
      <c r="I141" s="1154">
        <v>120</v>
      </c>
      <c r="J141" s="1155">
        <v>45917</v>
      </c>
      <c r="K141" s="1155">
        <v>45980</v>
      </c>
      <c r="L141" s="1151">
        <v>12</v>
      </c>
      <c r="M141" s="1151">
        <v>6</v>
      </c>
      <c r="N141" s="1151">
        <v>6</v>
      </c>
      <c r="O141" s="1105">
        <f t="shared" si="10"/>
        <v>0.5</v>
      </c>
      <c r="P141" s="1106">
        <f t="shared" si="9"/>
        <v>0.5</v>
      </c>
      <c r="Q141" s="1191">
        <f>COUNTA(G120:G141)</f>
        <v>22</v>
      </c>
      <c r="R141" s="997">
        <f>SUM(L120:L141)</f>
        <v>435</v>
      </c>
      <c r="S141" s="997">
        <f>SUM(M120:M141)</f>
        <v>245</v>
      </c>
      <c r="T141" s="998">
        <f>S141/R141</f>
        <v>0.56321839080459768</v>
      </c>
    </row>
    <row r="142" spans="1:20">
      <c r="A142" s="1078" t="s">
        <v>1687</v>
      </c>
      <c r="B142" s="1139" t="s">
        <v>1638</v>
      </c>
      <c r="C142" s="1139" t="s">
        <v>447</v>
      </c>
      <c r="D142" s="1139" t="s">
        <v>807</v>
      </c>
      <c r="E142" s="1140" t="s">
        <v>1913</v>
      </c>
      <c r="F142" s="1139">
        <v>1</v>
      </c>
      <c r="G142" s="1141" t="s">
        <v>1914</v>
      </c>
      <c r="H142" s="1139">
        <v>108</v>
      </c>
      <c r="I142" s="1139">
        <v>430</v>
      </c>
      <c r="J142" s="1142">
        <v>45943</v>
      </c>
      <c r="K142" s="1142">
        <v>46065</v>
      </c>
      <c r="L142" s="1139">
        <v>20</v>
      </c>
      <c r="M142" s="1139">
        <v>17</v>
      </c>
      <c r="N142" s="1139">
        <v>38</v>
      </c>
      <c r="O142" s="1101">
        <f t="shared" si="10"/>
        <v>0.85</v>
      </c>
      <c r="P142" s="1102">
        <f t="shared" si="9"/>
        <v>1.9</v>
      </c>
      <c r="Q142" s="1188"/>
    </row>
    <row r="143" spans="1:20">
      <c r="A143" s="1086" t="s">
        <v>1687</v>
      </c>
      <c r="B143" s="1020" t="s">
        <v>1638</v>
      </c>
      <c r="C143" s="1020" t="s">
        <v>447</v>
      </c>
      <c r="D143" s="1020" t="s">
        <v>1224</v>
      </c>
      <c r="E143" s="1021" t="s">
        <v>1647</v>
      </c>
      <c r="F143" s="1020">
        <v>1</v>
      </c>
      <c r="G143" s="1022" t="s">
        <v>1637</v>
      </c>
      <c r="H143" s="1020">
        <v>112</v>
      </c>
      <c r="I143" s="1020">
        <v>670</v>
      </c>
      <c r="J143" s="1023">
        <v>45944</v>
      </c>
      <c r="K143" s="1023">
        <v>46113</v>
      </c>
      <c r="L143" s="1020">
        <v>15</v>
      </c>
      <c r="M143" s="1020">
        <v>11</v>
      </c>
      <c r="N143" s="1020">
        <v>14</v>
      </c>
      <c r="O143" s="1024">
        <f t="shared" si="10"/>
        <v>0.73333333333333328</v>
      </c>
      <c r="P143" s="1103">
        <f t="shared" si="9"/>
        <v>0.93333333333333335</v>
      </c>
      <c r="Q143" s="1188"/>
    </row>
    <row r="144" spans="1:20">
      <c r="A144" s="1086" t="s">
        <v>1687</v>
      </c>
      <c r="B144" s="1020" t="s">
        <v>825</v>
      </c>
      <c r="C144" s="1020" t="s">
        <v>455</v>
      </c>
      <c r="D144" s="1020" t="s">
        <v>807</v>
      </c>
      <c r="E144" s="1021" t="s">
        <v>1630</v>
      </c>
      <c r="F144" s="1020">
        <v>1</v>
      </c>
      <c r="G144" s="1022" t="s">
        <v>1915</v>
      </c>
      <c r="H144" s="1020">
        <v>86</v>
      </c>
      <c r="I144" s="1020">
        <v>600</v>
      </c>
      <c r="J144" s="1023">
        <v>45945</v>
      </c>
      <c r="K144" s="1023">
        <v>46073</v>
      </c>
      <c r="L144" s="1020">
        <v>20</v>
      </c>
      <c r="M144" s="1020">
        <v>10</v>
      </c>
      <c r="N144" s="1020">
        <v>10</v>
      </c>
      <c r="O144" s="1024">
        <f t="shared" si="10"/>
        <v>0.5</v>
      </c>
      <c r="P144" s="1103">
        <f t="shared" si="9"/>
        <v>0.5</v>
      </c>
      <c r="Q144" s="1188"/>
    </row>
    <row r="145" spans="1:20">
      <c r="A145" s="1086" t="s">
        <v>1687</v>
      </c>
      <c r="B145" s="1020" t="s">
        <v>1412</v>
      </c>
      <c r="C145" s="1020" t="s">
        <v>1639</v>
      </c>
      <c r="D145" s="1020" t="s">
        <v>1211</v>
      </c>
      <c r="E145" s="1021" t="s">
        <v>763</v>
      </c>
      <c r="F145" s="1020">
        <v>1</v>
      </c>
      <c r="G145" s="1022" t="s">
        <v>1180</v>
      </c>
      <c r="H145" s="1020">
        <v>124</v>
      </c>
      <c r="I145" s="1020">
        <v>370</v>
      </c>
      <c r="J145" s="1023">
        <v>45945</v>
      </c>
      <c r="K145" s="1023">
        <v>46126</v>
      </c>
      <c r="L145" s="1020">
        <v>20</v>
      </c>
      <c r="M145" s="1020">
        <v>8</v>
      </c>
      <c r="N145" s="1020">
        <v>11</v>
      </c>
      <c r="O145" s="1024">
        <f t="shared" si="10"/>
        <v>0.4</v>
      </c>
      <c r="P145" s="1103">
        <f t="shared" si="9"/>
        <v>0.55000000000000004</v>
      </c>
      <c r="Q145" s="1188"/>
    </row>
    <row r="146" spans="1:20">
      <c r="A146" s="1086" t="s">
        <v>1687</v>
      </c>
      <c r="B146" s="1020" t="s">
        <v>1638</v>
      </c>
      <c r="C146" s="1020" t="s">
        <v>450</v>
      </c>
      <c r="D146" s="1020" t="s">
        <v>1211</v>
      </c>
      <c r="E146" s="1021" t="s">
        <v>1770</v>
      </c>
      <c r="F146" s="1020">
        <v>2</v>
      </c>
      <c r="G146" s="1022" t="s">
        <v>1916</v>
      </c>
      <c r="H146" s="1020">
        <v>60</v>
      </c>
      <c r="I146" s="1020">
        <v>300</v>
      </c>
      <c r="J146" s="1023">
        <v>45945</v>
      </c>
      <c r="K146" s="1023">
        <v>46034</v>
      </c>
      <c r="L146" s="1020">
        <v>20</v>
      </c>
      <c r="M146" s="1020">
        <v>14</v>
      </c>
      <c r="N146" s="1020">
        <v>18</v>
      </c>
      <c r="O146" s="1024">
        <f t="shared" si="10"/>
        <v>0.7</v>
      </c>
      <c r="P146" s="1103">
        <f t="shared" si="9"/>
        <v>0.9</v>
      </c>
      <c r="Q146" s="1188"/>
    </row>
    <row r="147" spans="1:20">
      <c r="A147" s="1086" t="s">
        <v>1687</v>
      </c>
      <c r="B147" s="1020" t="s">
        <v>825</v>
      </c>
      <c r="C147" s="1020" t="s">
        <v>445</v>
      </c>
      <c r="D147" s="1020" t="s">
        <v>1216</v>
      </c>
      <c r="E147" s="1021" t="s">
        <v>1874</v>
      </c>
      <c r="F147" s="1020">
        <v>2</v>
      </c>
      <c r="G147" s="1022" t="s">
        <v>1917</v>
      </c>
      <c r="H147" s="1020">
        <v>139</v>
      </c>
      <c r="I147" s="1020">
        <v>1100</v>
      </c>
      <c r="J147" s="1023">
        <v>45946</v>
      </c>
      <c r="K147" s="1023">
        <v>46157</v>
      </c>
      <c r="L147" s="1020">
        <v>35</v>
      </c>
      <c r="M147" s="1020">
        <v>29</v>
      </c>
      <c r="N147" s="1020">
        <v>34</v>
      </c>
      <c r="O147" s="1024">
        <f t="shared" si="10"/>
        <v>0.82857142857142863</v>
      </c>
      <c r="P147" s="1103">
        <f t="shared" si="9"/>
        <v>0.97142857142857142</v>
      </c>
      <c r="Q147" s="1188"/>
    </row>
    <row r="148" spans="1:20">
      <c r="A148" s="1086" t="s">
        <v>1687</v>
      </c>
      <c r="B148" s="1020" t="s">
        <v>1756</v>
      </c>
      <c r="C148" s="1020" t="s">
        <v>445</v>
      </c>
      <c r="D148" s="1020" t="s">
        <v>1211</v>
      </c>
      <c r="E148" s="1021" t="s">
        <v>1757</v>
      </c>
      <c r="F148" s="1020">
        <v>2</v>
      </c>
      <c r="G148" s="1022" t="s">
        <v>1918</v>
      </c>
      <c r="H148" s="1020">
        <v>47</v>
      </c>
      <c r="I148" s="1020">
        <v>139</v>
      </c>
      <c r="J148" s="1023">
        <v>45951</v>
      </c>
      <c r="K148" s="1023">
        <v>46038</v>
      </c>
      <c r="L148" s="1020">
        <v>20</v>
      </c>
      <c r="M148" s="1020">
        <v>7</v>
      </c>
      <c r="N148" s="1020">
        <v>10</v>
      </c>
      <c r="O148" s="1024">
        <f t="shared" si="10"/>
        <v>0.35</v>
      </c>
      <c r="P148" s="1103">
        <f t="shared" si="9"/>
        <v>0.5</v>
      </c>
      <c r="Q148" s="1188"/>
    </row>
    <row r="149" spans="1:20">
      <c r="A149" s="1086" t="s">
        <v>1687</v>
      </c>
      <c r="B149" s="1020" t="s">
        <v>3</v>
      </c>
      <c r="C149" s="1020" t="s">
        <v>779</v>
      </c>
      <c r="D149" s="1020" t="s">
        <v>478</v>
      </c>
      <c r="E149" s="1021" t="s">
        <v>762</v>
      </c>
      <c r="F149" s="1020">
        <v>1</v>
      </c>
      <c r="G149" s="1022" t="s">
        <v>1919</v>
      </c>
      <c r="H149" s="1020">
        <v>109</v>
      </c>
      <c r="I149" s="1020">
        <v>868</v>
      </c>
      <c r="J149" s="1023">
        <v>45960</v>
      </c>
      <c r="K149" s="1023">
        <v>46120</v>
      </c>
      <c r="L149" s="1020">
        <v>25</v>
      </c>
      <c r="M149" s="1020">
        <v>15</v>
      </c>
      <c r="N149" s="1020">
        <v>15</v>
      </c>
      <c r="O149" s="1024">
        <f t="shared" si="10"/>
        <v>0.6</v>
      </c>
      <c r="P149" s="1103">
        <f t="shared" si="9"/>
        <v>0.6</v>
      </c>
      <c r="Q149" s="1188"/>
    </row>
    <row r="150" spans="1:20" ht="15" customHeight="1" thickBot="1">
      <c r="A150" s="1093" t="s">
        <v>1687</v>
      </c>
      <c r="B150" s="1156" t="s">
        <v>1920</v>
      </c>
      <c r="C150" s="1157" t="s">
        <v>1747</v>
      </c>
      <c r="D150" s="1157" t="s">
        <v>1910</v>
      </c>
      <c r="E150" s="1129" t="s">
        <v>1921</v>
      </c>
      <c r="F150" s="1158">
        <v>1</v>
      </c>
      <c r="G150" s="1159" t="s">
        <v>1922</v>
      </c>
      <c r="H150" s="1158">
        <v>10</v>
      </c>
      <c r="I150" s="1158">
        <v>30</v>
      </c>
      <c r="J150" s="1160">
        <v>45959</v>
      </c>
      <c r="K150" s="1161">
        <v>46022</v>
      </c>
      <c r="L150" s="1162">
        <v>12</v>
      </c>
      <c r="M150" s="1162">
        <v>6</v>
      </c>
      <c r="N150" s="1162">
        <v>6</v>
      </c>
      <c r="O150" s="1163">
        <f t="shared" si="10"/>
        <v>0.5</v>
      </c>
      <c r="P150" s="1164">
        <f t="shared" si="9"/>
        <v>0.5</v>
      </c>
      <c r="Q150" s="1191">
        <f>COUNTA(G142:G150)</f>
        <v>9</v>
      </c>
      <c r="R150" s="997">
        <f>SUM(L142:L150)</f>
        <v>187</v>
      </c>
      <c r="S150" s="997">
        <f>SUM(M142:M150)</f>
        <v>117</v>
      </c>
      <c r="T150" s="998">
        <f>S150/R150</f>
        <v>0.62566844919786091</v>
      </c>
    </row>
    <row r="151" spans="1:20">
      <c r="A151" s="1078" t="s">
        <v>1690</v>
      </c>
      <c r="B151" s="1139" t="s">
        <v>7</v>
      </c>
      <c r="C151" s="1139" t="s">
        <v>226</v>
      </c>
      <c r="D151" s="1139" t="s">
        <v>478</v>
      </c>
      <c r="E151" s="1140" t="s">
        <v>773</v>
      </c>
      <c r="F151" s="1139">
        <v>1</v>
      </c>
      <c r="G151" s="1141" t="s">
        <v>1923</v>
      </c>
      <c r="H151" s="1139">
        <v>150</v>
      </c>
      <c r="I151" s="1139">
        <v>600</v>
      </c>
      <c r="J151" s="1142">
        <v>45966</v>
      </c>
      <c r="K151" s="1142">
        <v>46209</v>
      </c>
      <c r="L151" s="1139">
        <v>20</v>
      </c>
      <c r="M151" s="1139">
        <v>10</v>
      </c>
      <c r="N151" s="1139">
        <v>15</v>
      </c>
      <c r="O151" s="1101">
        <f t="shared" si="10"/>
        <v>0.5</v>
      </c>
      <c r="P151" s="1102">
        <f t="shared" si="9"/>
        <v>0.75</v>
      </c>
      <c r="Q151" s="1188"/>
    </row>
    <row r="152" spans="1:20">
      <c r="A152" s="1086" t="s">
        <v>1690</v>
      </c>
      <c r="B152" s="1020" t="s">
        <v>3</v>
      </c>
      <c r="C152" s="1020" t="s">
        <v>225</v>
      </c>
      <c r="D152" s="1020" t="s">
        <v>2</v>
      </c>
      <c r="E152" s="1021" t="s">
        <v>762</v>
      </c>
      <c r="F152" s="1020">
        <v>1</v>
      </c>
      <c r="G152" s="1022" t="s">
        <v>1924</v>
      </c>
      <c r="H152" s="1020">
        <v>132</v>
      </c>
      <c r="I152" s="1020">
        <v>1050</v>
      </c>
      <c r="J152" s="1023">
        <v>45967</v>
      </c>
      <c r="K152" s="1023">
        <v>46162</v>
      </c>
      <c r="L152" s="1020">
        <v>33</v>
      </c>
      <c r="M152" s="1020">
        <v>14</v>
      </c>
      <c r="N152" s="1020">
        <v>14</v>
      </c>
      <c r="O152" s="1024">
        <f t="shared" si="10"/>
        <v>0.42424242424242425</v>
      </c>
      <c r="P152" s="1103">
        <f t="shared" si="9"/>
        <v>0.42424242424242425</v>
      </c>
      <c r="Q152" s="1188"/>
    </row>
    <row r="153" spans="1:20">
      <c r="A153" s="1086" t="s">
        <v>1690</v>
      </c>
      <c r="B153" s="1020" t="s">
        <v>825</v>
      </c>
      <c r="C153" s="1020" t="s">
        <v>451</v>
      </c>
      <c r="D153" s="1020" t="s">
        <v>1214</v>
      </c>
      <c r="E153" s="1021" t="s">
        <v>1630</v>
      </c>
      <c r="F153" s="1020">
        <v>1</v>
      </c>
      <c r="G153" s="1022" t="s">
        <v>1925</v>
      </c>
      <c r="H153" s="1020">
        <v>132</v>
      </c>
      <c r="I153" s="1020">
        <v>900</v>
      </c>
      <c r="J153" s="1023">
        <v>45972</v>
      </c>
      <c r="K153" s="1023">
        <v>46134</v>
      </c>
      <c r="L153" s="1020">
        <v>19</v>
      </c>
      <c r="M153" s="1020">
        <v>12</v>
      </c>
      <c r="N153" s="1020">
        <v>12</v>
      </c>
      <c r="O153" s="1024">
        <f t="shared" si="10"/>
        <v>0.63157894736842102</v>
      </c>
      <c r="P153" s="1103">
        <f t="shared" si="9"/>
        <v>0.63157894736842102</v>
      </c>
      <c r="Q153" s="1188"/>
    </row>
    <row r="154" spans="1:20">
      <c r="A154" s="1086" t="s">
        <v>1690</v>
      </c>
      <c r="B154" s="1020" t="s">
        <v>1638</v>
      </c>
      <c r="C154" s="1020" t="s">
        <v>450</v>
      </c>
      <c r="D154" s="1020" t="s">
        <v>1211</v>
      </c>
      <c r="E154" s="1021" t="s">
        <v>1641</v>
      </c>
      <c r="F154" s="1020">
        <v>1</v>
      </c>
      <c r="G154" s="1022" t="s">
        <v>1926</v>
      </c>
      <c r="H154" s="1020">
        <v>64</v>
      </c>
      <c r="I154" s="1020">
        <v>320</v>
      </c>
      <c r="J154" s="1023">
        <v>45973</v>
      </c>
      <c r="K154" s="1023">
        <v>46064</v>
      </c>
      <c r="L154" s="1020">
        <v>20</v>
      </c>
      <c r="M154" s="1020">
        <v>10</v>
      </c>
      <c r="N154" s="1020">
        <v>19</v>
      </c>
      <c r="O154" s="1024">
        <f t="shared" si="10"/>
        <v>0.5</v>
      </c>
      <c r="P154" s="1103">
        <f t="shared" si="9"/>
        <v>0.95</v>
      </c>
      <c r="Q154" s="1188"/>
    </row>
    <row r="155" spans="1:20">
      <c r="A155" s="1086" t="s">
        <v>1690</v>
      </c>
      <c r="B155" s="1020" t="s">
        <v>825</v>
      </c>
      <c r="C155" s="1020" t="s">
        <v>445</v>
      </c>
      <c r="D155" s="1025" t="s">
        <v>807</v>
      </c>
      <c r="E155" s="1021" t="s">
        <v>927</v>
      </c>
      <c r="F155" s="1025">
        <v>1</v>
      </c>
      <c r="G155" s="1026" t="s">
        <v>1927</v>
      </c>
      <c r="H155" s="1025">
        <v>95</v>
      </c>
      <c r="I155" s="1025">
        <v>752</v>
      </c>
      <c r="J155" s="1027">
        <v>45974</v>
      </c>
      <c r="K155" s="1027">
        <v>46120</v>
      </c>
      <c r="L155" s="1025">
        <v>35</v>
      </c>
      <c r="M155" s="1028">
        <v>24</v>
      </c>
      <c r="N155" s="1025">
        <v>27</v>
      </c>
      <c r="O155" s="1024">
        <f t="shared" si="10"/>
        <v>0.68571428571428572</v>
      </c>
      <c r="P155" s="1103">
        <f t="shared" si="9"/>
        <v>0.77142857142857146</v>
      </c>
      <c r="Q155" s="1188"/>
    </row>
    <row r="156" spans="1:20">
      <c r="A156" s="1086" t="s">
        <v>1690</v>
      </c>
      <c r="B156" s="1020" t="s">
        <v>825</v>
      </c>
      <c r="C156" s="1020" t="s">
        <v>445</v>
      </c>
      <c r="D156" s="1020" t="s">
        <v>2</v>
      </c>
      <c r="E156" s="1021" t="s">
        <v>762</v>
      </c>
      <c r="F156" s="1020">
        <v>1</v>
      </c>
      <c r="G156" s="1022" t="s">
        <v>1928</v>
      </c>
      <c r="H156" s="1020">
        <v>113</v>
      </c>
      <c r="I156" s="1020">
        <v>900</v>
      </c>
      <c r="J156" s="1023">
        <v>45975</v>
      </c>
      <c r="K156" s="1023">
        <v>46146</v>
      </c>
      <c r="L156" s="1020">
        <v>21</v>
      </c>
      <c r="M156" s="1020">
        <v>9</v>
      </c>
      <c r="N156" s="1020">
        <v>9</v>
      </c>
      <c r="O156" s="1024">
        <f t="shared" si="10"/>
        <v>0.42857142857142855</v>
      </c>
      <c r="P156" s="1103">
        <f t="shared" si="9"/>
        <v>0.42857142857142855</v>
      </c>
      <c r="Q156" s="1188"/>
    </row>
    <row r="157" spans="1:20">
      <c r="A157" s="1086" t="s">
        <v>1690</v>
      </c>
      <c r="B157" s="1020" t="s">
        <v>1638</v>
      </c>
      <c r="C157" s="1020" t="s">
        <v>454</v>
      </c>
      <c r="D157" s="1020" t="s">
        <v>1214</v>
      </c>
      <c r="E157" s="1021" t="s">
        <v>1640</v>
      </c>
      <c r="F157" s="1020">
        <v>1</v>
      </c>
      <c r="G157" s="1022" t="s">
        <v>1929</v>
      </c>
      <c r="H157" s="1020">
        <v>120</v>
      </c>
      <c r="I157" s="1020">
        <v>600</v>
      </c>
      <c r="J157" s="1051">
        <v>45978</v>
      </c>
      <c r="K157" s="1051">
        <v>46154</v>
      </c>
      <c r="L157" s="1020">
        <v>20</v>
      </c>
      <c r="M157" s="1020">
        <v>16</v>
      </c>
      <c r="N157" s="1020">
        <v>17</v>
      </c>
      <c r="O157" s="1024">
        <f t="shared" si="10"/>
        <v>0.8</v>
      </c>
      <c r="P157" s="1103">
        <f t="shared" si="9"/>
        <v>0.85</v>
      </c>
      <c r="Q157" s="1188"/>
    </row>
    <row r="158" spans="1:20">
      <c r="A158" s="1086" t="s">
        <v>1690</v>
      </c>
      <c r="B158" s="1020" t="s">
        <v>3</v>
      </c>
      <c r="C158" s="1020" t="s">
        <v>779</v>
      </c>
      <c r="D158" s="1020" t="s">
        <v>478</v>
      </c>
      <c r="E158" s="1021" t="s">
        <v>768</v>
      </c>
      <c r="F158" s="1020">
        <v>1</v>
      </c>
      <c r="G158" s="1022" t="s">
        <v>1930</v>
      </c>
      <c r="H158" s="1020">
        <v>110</v>
      </c>
      <c r="I158" s="1025">
        <v>880</v>
      </c>
      <c r="J158" s="1023">
        <v>45985</v>
      </c>
      <c r="K158" s="1023">
        <v>46150</v>
      </c>
      <c r="L158" s="1020">
        <v>30</v>
      </c>
      <c r="M158" s="1020">
        <v>26</v>
      </c>
      <c r="N158" s="1020">
        <v>26</v>
      </c>
      <c r="O158" s="1024">
        <f t="shared" si="10"/>
        <v>0.8666666666666667</v>
      </c>
      <c r="P158" s="1103">
        <f t="shared" si="9"/>
        <v>0.8666666666666667</v>
      </c>
      <c r="Q158" s="1188"/>
    </row>
    <row r="159" spans="1:20">
      <c r="A159" s="1086" t="s">
        <v>1690</v>
      </c>
      <c r="B159" s="1020" t="s">
        <v>858</v>
      </c>
      <c r="C159" s="1020" t="s">
        <v>194</v>
      </c>
      <c r="D159" s="1020" t="s">
        <v>326</v>
      </c>
      <c r="E159" s="1021" t="s">
        <v>869</v>
      </c>
      <c r="F159" s="1020">
        <v>4</v>
      </c>
      <c r="G159" s="1022" t="s">
        <v>1931</v>
      </c>
      <c r="H159" s="1020">
        <v>39</v>
      </c>
      <c r="I159" s="1020">
        <v>152</v>
      </c>
      <c r="J159" s="1023">
        <v>45986</v>
      </c>
      <c r="K159" s="1023">
        <v>46042</v>
      </c>
      <c r="L159" s="1020">
        <v>20</v>
      </c>
      <c r="M159" s="1020">
        <v>6</v>
      </c>
      <c r="N159" s="1020">
        <v>7</v>
      </c>
      <c r="O159" s="1024">
        <f t="shared" si="10"/>
        <v>0.3</v>
      </c>
      <c r="P159" s="1103">
        <f t="shared" si="9"/>
        <v>0.35</v>
      </c>
      <c r="Q159" s="1188"/>
    </row>
    <row r="160" spans="1:20">
      <c r="A160" s="1086" t="s">
        <v>1690</v>
      </c>
      <c r="B160" s="1020" t="s">
        <v>7</v>
      </c>
      <c r="C160" s="1020" t="s">
        <v>769</v>
      </c>
      <c r="D160" s="1020" t="s">
        <v>326</v>
      </c>
      <c r="E160" s="1021" t="s">
        <v>771</v>
      </c>
      <c r="F160" s="1020">
        <v>1</v>
      </c>
      <c r="G160" s="1022" t="s">
        <v>1932</v>
      </c>
      <c r="H160" s="1020">
        <v>58</v>
      </c>
      <c r="I160" s="1020">
        <v>290</v>
      </c>
      <c r="J160" s="1023">
        <v>45988</v>
      </c>
      <c r="K160" s="1023">
        <v>46076</v>
      </c>
      <c r="L160" s="1020">
        <v>12</v>
      </c>
      <c r="M160" s="1020">
        <v>5</v>
      </c>
      <c r="N160" s="1020">
        <v>13</v>
      </c>
      <c r="O160" s="1024">
        <f t="shared" si="10"/>
        <v>0.41666666666666669</v>
      </c>
      <c r="P160" s="1103">
        <f t="shared" si="9"/>
        <v>1.0833333333333333</v>
      </c>
      <c r="Q160" s="1188"/>
    </row>
    <row r="161" spans="1:20" s="1029" customFormat="1">
      <c r="A161" s="1114" t="s">
        <v>1690</v>
      </c>
      <c r="B161" s="1020" t="s">
        <v>3</v>
      </c>
      <c r="C161" s="1020" t="s">
        <v>228</v>
      </c>
      <c r="D161" s="1020" t="s">
        <v>807</v>
      </c>
      <c r="E161" s="1021" t="s">
        <v>927</v>
      </c>
      <c r="F161" s="1020">
        <v>1</v>
      </c>
      <c r="G161" s="1022" t="s">
        <v>1933</v>
      </c>
      <c r="H161" s="1020">
        <v>100</v>
      </c>
      <c r="I161" s="1020">
        <v>800</v>
      </c>
      <c r="J161" s="1023">
        <v>45988</v>
      </c>
      <c r="K161" s="1023">
        <v>46136</v>
      </c>
      <c r="L161" s="1020">
        <v>20</v>
      </c>
      <c r="M161" s="1020">
        <v>13</v>
      </c>
      <c r="N161" s="1020">
        <v>13</v>
      </c>
      <c r="O161" s="1024">
        <f t="shared" si="10"/>
        <v>0.65</v>
      </c>
      <c r="P161" s="1103">
        <f t="shared" si="9"/>
        <v>0.65</v>
      </c>
      <c r="Q161" s="1188"/>
    </row>
    <row r="162" spans="1:20" s="1029" customFormat="1" ht="17.25" thickBot="1">
      <c r="A162" s="1114" t="s">
        <v>1690</v>
      </c>
      <c r="B162" s="1020" t="s">
        <v>825</v>
      </c>
      <c r="C162" s="1020" t="s">
        <v>445</v>
      </c>
      <c r="D162" s="1025" t="s">
        <v>2</v>
      </c>
      <c r="E162" s="1021" t="s">
        <v>762</v>
      </c>
      <c r="F162" s="1025">
        <v>1</v>
      </c>
      <c r="G162" s="1026" t="s">
        <v>1934</v>
      </c>
      <c r="H162" s="1025">
        <v>119</v>
      </c>
      <c r="I162" s="1025">
        <v>940</v>
      </c>
      <c r="J162" s="1027">
        <v>45988</v>
      </c>
      <c r="K162" s="1027">
        <v>46168</v>
      </c>
      <c r="L162" s="1025">
        <v>35</v>
      </c>
      <c r="M162" s="1028">
        <v>15</v>
      </c>
      <c r="N162" s="1025">
        <v>16</v>
      </c>
      <c r="O162" s="1024">
        <f t="shared" si="10"/>
        <v>0.42857142857142855</v>
      </c>
      <c r="P162" s="1103">
        <f t="shared" si="9"/>
        <v>0.45714285714285713</v>
      </c>
      <c r="Q162" s="1191">
        <f>COUNTA(G151:G162)</f>
        <v>12</v>
      </c>
      <c r="R162" s="997">
        <f>SUM(L151:L162)</f>
        <v>285</v>
      </c>
      <c r="S162" s="997">
        <f>SUM(M151:M162)</f>
        <v>160</v>
      </c>
      <c r="T162" s="998">
        <f>S162/R162</f>
        <v>0.56140350877192979</v>
      </c>
    </row>
    <row r="163" spans="1:20">
      <c r="A163" s="1078" t="s">
        <v>1694</v>
      </c>
      <c r="B163" s="1079" t="s">
        <v>47</v>
      </c>
      <c r="C163" s="1079" t="s">
        <v>225</v>
      </c>
      <c r="D163" s="1079" t="s">
        <v>2</v>
      </c>
      <c r="E163" s="1080" t="s">
        <v>1643</v>
      </c>
      <c r="F163" s="1079">
        <v>1</v>
      </c>
      <c r="G163" s="1081" t="s">
        <v>1937</v>
      </c>
      <c r="H163" s="1079">
        <v>145</v>
      </c>
      <c r="I163" s="1079">
        <v>870</v>
      </c>
      <c r="J163" s="1082">
        <v>45992</v>
      </c>
      <c r="K163" s="1082">
        <v>46205</v>
      </c>
      <c r="L163" s="1079">
        <v>20</v>
      </c>
      <c r="M163" s="1083">
        <v>11</v>
      </c>
      <c r="N163" s="1079">
        <v>20</v>
      </c>
      <c r="O163" s="1101">
        <f t="shared" si="10"/>
        <v>0.55000000000000004</v>
      </c>
      <c r="P163" s="1102">
        <f t="shared" ref="P163:P183" si="11">N163/L163</f>
        <v>1</v>
      </c>
      <c r="Q163" s="1188"/>
    </row>
    <row r="164" spans="1:20">
      <c r="A164" s="1086" t="s">
        <v>1694</v>
      </c>
      <c r="B164" s="1020" t="s">
        <v>1412</v>
      </c>
      <c r="C164" s="1020" t="s">
        <v>453</v>
      </c>
      <c r="D164" s="1020" t="s">
        <v>2</v>
      </c>
      <c r="E164" s="1021" t="s">
        <v>1643</v>
      </c>
      <c r="F164" s="1020">
        <v>1</v>
      </c>
      <c r="G164" s="1022" t="s">
        <v>1938</v>
      </c>
      <c r="H164" s="1020">
        <v>174</v>
      </c>
      <c r="I164" s="1020">
        <v>870</v>
      </c>
      <c r="J164" s="1023">
        <v>45992</v>
      </c>
      <c r="K164" s="1023">
        <v>46246</v>
      </c>
      <c r="L164" s="1020">
        <v>22</v>
      </c>
      <c r="M164" s="1020">
        <v>6</v>
      </c>
      <c r="N164" s="1020">
        <v>13</v>
      </c>
      <c r="O164" s="1024">
        <f t="shared" si="10"/>
        <v>0.27272727272727271</v>
      </c>
      <c r="P164" s="1103">
        <f t="shared" si="11"/>
        <v>0.59090909090909094</v>
      </c>
      <c r="Q164" s="1188"/>
    </row>
    <row r="165" spans="1:20">
      <c r="A165" s="1086" t="s">
        <v>1694</v>
      </c>
      <c r="B165" s="1020" t="s">
        <v>7</v>
      </c>
      <c r="C165" s="1020" t="s">
        <v>248</v>
      </c>
      <c r="D165" s="1025" t="s">
        <v>2</v>
      </c>
      <c r="E165" s="1021" t="s">
        <v>771</v>
      </c>
      <c r="F165" s="1025">
        <v>1</v>
      </c>
      <c r="G165" s="1026" t="s">
        <v>1939</v>
      </c>
      <c r="H165" s="1025">
        <v>133</v>
      </c>
      <c r="I165" s="1025">
        <v>665</v>
      </c>
      <c r="J165" s="1027">
        <v>45995</v>
      </c>
      <c r="K165" s="1027">
        <v>46195</v>
      </c>
      <c r="L165" s="1025">
        <v>26</v>
      </c>
      <c r="M165" s="1028">
        <v>9</v>
      </c>
      <c r="N165" s="1025">
        <v>21</v>
      </c>
      <c r="O165" s="1024">
        <f t="shared" si="10"/>
        <v>0.34615384615384615</v>
      </c>
      <c r="P165" s="1103">
        <f t="shared" si="11"/>
        <v>0.80769230769230771</v>
      </c>
      <c r="Q165" s="1188"/>
    </row>
    <row r="166" spans="1:20">
      <c r="A166" s="1086" t="s">
        <v>1694</v>
      </c>
      <c r="B166" s="1020" t="s">
        <v>7</v>
      </c>
      <c r="C166" s="1020" t="s">
        <v>228</v>
      </c>
      <c r="D166" s="1020" t="s">
        <v>2</v>
      </c>
      <c r="E166" s="1021" t="s">
        <v>771</v>
      </c>
      <c r="F166" s="1020">
        <v>1</v>
      </c>
      <c r="G166" s="1022" t="s">
        <v>1940</v>
      </c>
      <c r="H166" s="1020">
        <v>133</v>
      </c>
      <c r="I166" s="1020">
        <v>660</v>
      </c>
      <c r="J166" s="1023">
        <v>45999</v>
      </c>
      <c r="K166" s="1023">
        <v>46197</v>
      </c>
      <c r="L166" s="1020">
        <v>20</v>
      </c>
      <c r="M166" s="1020">
        <v>15</v>
      </c>
      <c r="N166" s="1020">
        <v>21</v>
      </c>
      <c r="O166" s="1024">
        <f t="shared" si="10"/>
        <v>0.75</v>
      </c>
      <c r="P166" s="1103">
        <f t="shared" si="11"/>
        <v>1.05</v>
      </c>
      <c r="Q166" s="1188"/>
    </row>
    <row r="167" spans="1:20">
      <c r="A167" s="1086" t="s">
        <v>1694</v>
      </c>
      <c r="B167" s="1020" t="s">
        <v>7</v>
      </c>
      <c r="C167" s="1020" t="s">
        <v>368</v>
      </c>
      <c r="D167" s="1020" t="s">
        <v>2</v>
      </c>
      <c r="E167" s="1021" t="s">
        <v>768</v>
      </c>
      <c r="F167" s="1020">
        <v>1</v>
      </c>
      <c r="G167" s="1022" t="s">
        <v>1941</v>
      </c>
      <c r="H167" s="1020">
        <v>180</v>
      </c>
      <c r="I167" s="1020">
        <v>900</v>
      </c>
      <c r="J167" s="1023">
        <v>46000</v>
      </c>
      <c r="K167" s="1023">
        <v>46266</v>
      </c>
      <c r="L167" s="1020">
        <v>20</v>
      </c>
      <c r="M167" s="1020">
        <v>7</v>
      </c>
      <c r="N167" s="1020">
        <v>10</v>
      </c>
      <c r="O167" s="1024">
        <f t="shared" si="10"/>
        <v>0.35</v>
      </c>
      <c r="P167" s="1103">
        <f t="shared" si="11"/>
        <v>0.5</v>
      </c>
      <c r="Q167" s="1188"/>
    </row>
    <row r="168" spans="1:20">
      <c r="A168" s="1086" t="s">
        <v>1694</v>
      </c>
      <c r="B168" s="1020" t="s">
        <v>7</v>
      </c>
      <c r="C168" s="1020" t="s">
        <v>1228</v>
      </c>
      <c r="D168" s="1020" t="s">
        <v>326</v>
      </c>
      <c r="E168" s="1021" t="s">
        <v>1675</v>
      </c>
      <c r="F168" s="1020">
        <v>1</v>
      </c>
      <c r="G168" s="1022" t="s">
        <v>1942</v>
      </c>
      <c r="H168" s="1020">
        <v>42</v>
      </c>
      <c r="I168" s="1020">
        <v>210</v>
      </c>
      <c r="J168" s="1023">
        <v>46001</v>
      </c>
      <c r="K168" s="1023">
        <v>46062</v>
      </c>
      <c r="L168" s="1020">
        <v>20</v>
      </c>
      <c r="M168" s="1020">
        <v>8</v>
      </c>
      <c r="N168" s="1020">
        <v>10</v>
      </c>
      <c r="O168" s="1024">
        <f t="shared" si="10"/>
        <v>0.4</v>
      </c>
      <c r="P168" s="1103">
        <f t="shared" si="11"/>
        <v>0.5</v>
      </c>
      <c r="Q168" s="1188"/>
    </row>
    <row r="169" spans="1:20">
      <c r="A169" s="1086" t="s">
        <v>1694</v>
      </c>
      <c r="B169" s="1020" t="s">
        <v>47</v>
      </c>
      <c r="C169" s="1020" t="s">
        <v>226</v>
      </c>
      <c r="D169" s="1020" t="s">
        <v>2</v>
      </c>
      <c r="E169" s="1021" t="s">
        <v>763</v>
      </c>
      <c r="F169" s="1020">
        <v>1</v>
      </c>
      <c r="G169" s="1022" t="s">
        <v>1943</v>
      </c>
      <c r="H169" s="1020">
        <v>174</v>
      </c>
      <c r="I169" s="1020">
        <v>870</v>
      </c>
      <c r="J169" s="1023">
        <v>46001</v>
      </c>
      <c r="K169" s="1023">
        <v>46224</v>
      </c>
      <c r="L169" s="1020">
        <v>23</v>
      </c>
      <c r="M169" s="1020">
        <v>23</v>
      </c>
      <c r="N169" s="1020">
        <v>31</v>
      </c>
      <c r="O169" s="1024">
        <f t="shared" si="10"/>
        <v>1</v>
      </c>
      <c r="P169" s="1103">
        <f t="shared" si="11"/>
        <v>1.3478260869565217</v>
      </c>
      <c r="Q169" s="1188"/>
    </row>
    <row r="170" spans="1:20">
      <c r="A170" s="1086" t="s">
        <v>1694</v>
      </c>
      <c r="B170" s="1020" t="s">
        <v>7</v>
      </c>
      <c r="C170" s="1020" t="s">
        <v>1149</v>
      </c>
      <c r="D170" s="1020" t="s">
        <v>478</v>
      </c>
      <c r="E170" s="1021" t="s">
        <v>813</v>
      </c>
      <c r="F170" s="1020">
        <v>1</v>
      </c>
      <c r="G170" s="1022" t="s">
        <v>1944</v>
      </c>
      <c r="H170" s="1020">
        <v>88</v>
      </c>
      <c r="I170" s="1020">
        <v>350</v>
      </c>
      <c r="J170" s="1023">
        <v>46008</v>
      </c>
      <c r="K170" s="1023">
        <v>46139</v>
      </c>
      <c r="L170" s="1020">
        <v>20</v>
      </c>
      <c r="M170" s="1020">
        <v>18</v>
      </c>
      <c r="N170" s="1020">
        <v>21</v>
      </c>
      <c r="O170" s="1024">
        <f t="shared" si="10"/>
        <v>0.9</v>
      </c>
      <c r="P170" s="1103">
        <f t="shared" si="11"/>
        <v>1.05</v>
      </c>
      <c r="Q170" s="1188"/>
    </row>
    <row r="171" spans="1:20">
      <c r="A171" s="1086" t="s">
        <v>1694</v>
      </c>
      <c r="B171" s="1025" t="s">
        <v>7</v>
      </c>
      <c r="C171" s="1025" t="s">
        <v>226</v>
      </c>
      <c r="D171" s="1025" t="s">
        <v>2</v>
      </c>
      <c r="E171" s="1021" t="s">
        <v>786</v>
      </c>
      <c r="F171" s="1025">
        <v>1</v>
      </c>
      <c r="G171" s="1026" t="s">
        <v>1945</v>
      </c>
      <c r="H171" s="1025">
        <v>121</v>
      </c>
      <c r="I171" s="1025">
        <v>605</v>
      </c>
      <c r="J171" s="1027">
        <v>46009</v>
      </c>
      <c r="K171" s="1027">
        <v>46206</v>
      </c>
      <c r="L171" s="1025">
        <v>20</v>
      </c>
      <c r="M171" s="1028">
        <v>13</v>
      </c>
      <c r="N171" s="1025">
        <v>17</v>
      </c>
      <c r="O171" s="1024">
        <f t="shared" si="10"/>
        <v>0.65</v>
      </c>
      <c r="P171" s="1103">
        <f t="shared" si="11"/>
        <v>0.85</v>
      </c>
      <c r="Q171" s="1188"/>
    </row>
    <row r="172" spans="1:20">
      <c r="A172" s="1086" t="s">
        <v>1694</v>
      </c>
      <c r="B172" s="1025" t="s">
        <v>47</v>
      </c>
      <c r="C172" s="1025" t="s">
        <v>233</v>
      </c>
      <c r="D172" s="1025" t="s">
        <v>326</v>
      </c>
      <c r="E172" s="1021" t="s">
        <v>763</v>
      </c>
      <c r="F172" s="1025">
        <v>2</v>
      </c>
      <c r="G172" s="1026" t="s">
        <v>1946</v>
      </c>
      <c r="H172" s="1025">
        <v>93</v>
      </c>
      <c r="I172" s="1025">
        <v>370</v>
      </c>
      <c r="J172" s="1027">
        <v>46013</v>
      </c>
      <c r="K172" s="1027">
        <v>46150</v>
      </c>
      <c r="L172" s="1025">
        <v>15</v>
      </c>
      <c r="M172" s="1028">
        <v>10</v>
      </c>
      <c r="N172" s="1025">
        <v>19</v>
      </c>
      <c r="O172" s="1024">
        <f t="shared" si="10"/>
        <v>0.66666666666666663</v>
      </c>
      <c r="P172" s="1103">
        <f t="shared" si="11"/>
        <v>1.2666666666666666</v>
      </c>
      <c r="Q172" s="1188"/>
    </row>
    <row r="173" spans="1:20">
      <c r="A173" s="1086" t="s">
        <v>1694</v>
      </c>
      <c r="B173" s="1020" t="s">
        <v>3</v>
      </c>
      <c r="C173" s="1020" t="s">
        <v>226</v>
      </c>
      <c r="D173" s="1020" t="s">
        <v>478</v>
      </c>
      <c r="E173" s="1021" t="s">
        <v>762</v>
      </c>
      <c r="F173" s="1020">
        <v>1</v>
      </c>
      <c r="G173" s="1022" t="s">
        <v>1947</v>
      </c>
      <c r="H173" s="1020">
        <v>90</v>
      </c>
      <c r="I173" s="1020">
        <v>720</v>
      </c>
      <c r="J173" s="1023">
        <v>46013</v>
      </c>
      <c r="K173" s="1023">
        <v>46153</v>
      </c>
      <c r="L173" s="1020">
        <v>30</v>
      </c>
      <c r="M173" s="1020">
        <v>18</v>
      </c>
      <c r="N173" s="1020">
        <v>18</v>
      </c>
      <c r="O173" s="1024">
        <f t="shared" si="10"/>
        <v>0.6</v>
      </c>
      <c r="P173" s="1103">
        <f t="shared" si="11"/>
        <v>0.6</v>
      </c>
      <c r="Q173" s="1188"/>
    </row>
    <row r="174" spans="1:20">
      <c r="A174" s="1086" t="s">
        <v>1694</v>
      </c>
      <c r="B174" s="1020" t="s">
        <v>7</v>
      </c>
      <c r="C174" s="1020" t="s">
        <v>248</v>
      </c>
      <c r="D174" s="1020" t="s">
        <v>2</v>
      </c>
      <c r="E174" s="1021" t="s">
        <v>786</v>
      </c>
      <c r="F174" s="1020">
        <v>1</v>
      </c>
      <c r="G174" s="1022" t="s">
        <v>1948</v>
      </c>
      <c r="H174" s="1020">
        <v>138</v>
      </c>
      <c r="I174" s="1020">
        <v>690</v>
      </c>
      <c r="J174" s="1023">
        <v>46014</v>
      </c>
      <c r="K174" s="1023">
        <v>46219</v>
      </c>
      <c r="L174" s="1020">
        <v>26</v>
      </c>
      <c r="M174" s="1020">
        <v>8</v>
      </c>
      <c r="N174" s="1020">
        <v>14</v>
      </c>
      <c r="O174" s="1024">
        <f t="shared" si="10"/>
        <v>0.30769230769230771</v>
      </c>
      <c r="P174" s="1103">
        <f t="shared" si="11"/>
        <v>0.53846153846153844</v>
      </c>
      <c r="Q174" s="1188"/>
    </row>
    <row r="175" spans="1:20">
      <c r="A175" s="1086" t="s">
        <v>1694</v>
      </c>
      <c r="B175" s="1020" t="s">
        <v>7</v>
      </c>
      <c r="C175" s="1020" t="s">
        <v>1205</v>
      </c>
      <c r="D175" s="1020" t="s">
        <v>326</v>
      </c>
      <c r="E175" s="1021" t="s">
        <v>768</v>
      </c>
      <c r="F175" s="1020">
        <v>1</v>
      </c>
      <c r="G175" s="1022" t="s">
        <v>1949</v>
      </c>
      <c r="H175" s="1020">
        <v>70</v>
      </c>
      <c r="I175" s="1020">
        <v>350</v>
      </c>
      <c r="J175" s="1023">
        <v>46020</v>
      </c>
      <c r="K175" s="1023">
        <v>46122</v>
      </c>
      <c r="L175" s="1020">
        <v>18</v>
      </c>
      <c r="M175" s="1020">
        <v>8</v>
      </c>
      <c r="N175" s="1020">
        <v>8</v>
      </c>
      <c r="O175" s="1024">
        <f t="shared" si="10"/>
        <v>0.44444444444444442</v>
      </c>
      <c r="P175" s="1103">
        <f t="shared" si="11"/>
        <v>0.44444444444444442</v>
      </c>
      <c r="Q175" s="1188"/>
    </row>
    <row r="176" spans="1:20">
      <c r="A176" s="1086" t="s">
        <v>1694</v>
      </c>
      <c r="B176" s="1020" t="s">
        <v>3</v>
      </c>
      <c r="C176" s="1020" t="s">
        <v>194</v>
      </c>
      <c r="D176" s="1020" t="s">
        <v>1216</v>
      </c>
      <c r="E176" s="1021" t="s">
        <v>930</v>
      </c>
      <c r="F176" s="1020">
        <v>4</v>
      </c>
      <c r="G176" s="1022" t="s">
        <v>1691</v>
      </c>
      <c r="H176" s="1020">
        <v>130</v>
      </c>
      <c r="I176" s="1020">
        <v>1033</v>
      </c>
      <c r="J176" s="1023">
        <v>46020</v>
      </c>
      <c r="K176" s="1023">
        <v>46225</v>
      </c>
      <c r="L176" s="1020">
        <v>25</v>
      </c>
      <c r="M176" s="1020">
        <v>22</v>
      </c>
      <c r="N176" s="1020">
        <v>25</v>
      </c>
      <c r="O176" s="1024">
        <f t="shared" si="10"/>
        <v>0.88</v>
      </c>
      <c r="P176" s="1103">
        <f t="shared" si="11"/>
        <v>1</v>
      </c>
      <c r="Q176" s="1188"/>
    </row>
    <row r="177" spans="1:20">
      <c r="A177" s="1086" t="s">
        <v>1694</v>
      </c>
      <c r="B177" s="1025" t="s">
        <v>47</v>
      </c>
      <c r="C177" s="1025" t="s">
        <v>228</v>
      </c>
      <c r="D177" s="1025" t="s">
        <v>2</v>
      </c>
      <c r="E177" s="1035" t="s">
        <v>763</v>
      </c>
      <c r="F177" s="1025">
        <v>1</v>
      </c>
      <c r="G177" s="1026" t="s">
        <v>1950</v>
      </c>
      <c r="H177" s="1025">
        <v>175</v>
      </c>
      <c r="I177" s="1025">
        <v>870</v>
      </c>
      <c r="J177" s="1027">
        <v>46020</v>
      </c>
      <c r="K177" s="1027">
        <v>46322</v>
      </c>
      <c r="L177" s="1025">
        <v>20</v>
      </c>
      <c r="M177" s="1028">
        <v>7</v>
      </c>
      <c r="N177" s="1025">
        <v>13</v>
      </c>
      <c r="O177" s="1024">
        <f t="shared" si="10"/>
        <v>0.35</v>
      </c>
      <c r="P177" s="1103">
        <f t="shared" si="11"/>
        <v>0.65</v>
      </c>
      <c r="Q177" s="1188"/>
    </row>
    <row r="178" spans="1:20">
      <c r="A178" s="1086" t="s">
        <v>1694</v>
      </c>
      <c r="B178" s="1020" t="s">
        <v>3</v>
      </c>
      <c r="C178" s="1020" t="s">
        <v>194</v>
      </c>
      <c r="D178" s="1020" t="s">
        <v>2</v>
      </c>
      <c r="E178" s="1021" t="s">
        <v>762</v>
      </c>
      <c r="F178" s="1020">
        <v>1</v>
      </c>
      <c r="G178" s="1022" t="s">
        <v>1951</v>
      </c>
      <c r="H178" s="1020">
        <v>114</v>
      </c>
      <c r="I178" s="1020">
        <v>900</v>
      </c>
      <c r="J178" s="1023">
        <v>46021</v>
      </c>
      <c r="K178" s="1023">
        <v>46192</v>
      </c>
      <c r="L178" s="1020">
        <v>21</v>
      </c>
      <c r="M178" s="1020">
        <v>11</v>
      </c>
      <c r="N178" s="1020">
        <v>12</v>
      </c>
      <c r="O178" s="1024">
        <f t="shared" si="10"/>
        <v>0.52380952380952384</v>
      </c>
      <c r="P178" s="1103">
        <f t="shared" si="11"/>
        <v>0.5714285714285714</v>
      </c>
      <c r="Q178" s="1188"/>
    </row>
    <row r="179" spans="1:20">
      <c r="A179" s="1086" t="s">
        <v>1694</v>
      </c>
      <c r="B179" s="1020" t="s">
        <v>3</v>
      </c>
      <c r="C179" s="1020" t="s">
        <v>194</v>
      </c>
      <c r="D179" s="1020" t="s">
        <v>1216</v>
      </c>
      <c r="E179" s="1021" t="s">
        <v>961</v>
      </c>
      <c r="F179" s="1020">
        <v>3</v>
      </c>
      <c r="G179" s="1022" t="s">
        <v>1917</v>
      </c>
      <c r="H179" s="1020">
        <v>139</v>
      </c>
      <c r="I179" s="1020">
        <v>1100</v>
      </c>
      <c r="J179" s="1023">
        <v>46021</v>
      </c>
      <c r="K179" s="1023">
        <v>46226</v>
      </c>
      <c r="L179" s="1020">
        <v>35</v>
      </c>
      <c r="M179" s="1020">
        <v>26</v>
      </c>
      <c r="N179" s="1020">
        <v>29</v>
      </c>
      <c r="O179" s="1024">
        <f t="shared" si="10"/>
        <v>0.74285714285714288</v>
      </c>
      <c r="P179" s="1103">
        <f t="shared" si="11"/>
        <v>0.82857142857142863</v>
      </c>
      <c r="Q179" s="1188"/>
    </row>
    <row r="180" spans="1:20">
      <c r="A180" s="1086" t="s">
        <v>1694</v>
      </c>
      <c r="B180" s="1020" t="s">
        <v>47</v>
      </c>
      <c r="C180" s="1020" t="s">
        <v>194</v>
      </c>
      <c r="D180" s="1020" t="s">
        <v>2</v>
      </c>
      <c r="E180" s="1021" t="s">
        <v>1643</v>
      </c>
      <c r="F180" s="1020">
        <v>1</v>
      </c>
      <c r="G180" s="1022" t="s">
        <v>1952</v>
      </c>
      <c r="H180" s="1020">
        <v>145</v>
      </c>
      <c r="I180" s="1020">
        <v>870</v>
      </c>
      <c r="J180" s="1023">
        <v>46021</v>
      </c>
      <c r="K180" s="1023">
        <v>46234</v>
      </c>
      <c r="L180" s="1020">
        <v>20</v>
      </c>
      <c r="M180" s="1020">
        <v>14</v>
      </c>
      <c r="N180" s="1020">
        <v>17</v>
      </c>
      <c r="O180" s="1024">
        <f t="shared" si="10"/>
        <v>0.7</v>
      </c>
      <c r="P180" s="1103">
        <f t="shared" si="11"/>
        <v>0.85</v>
      </c>
      <c r="Q180" s="1188"/>
    </row>
    <row r="181" spans="1:20">
      <c r="A181" s="1086" t="s">
        <v>1694</v>
      </c>
      <c r="B181" s="1020" t="s">
        <v>1412</v>
      </c>
      <c r="C181" s="1020" t="s">
        <v>454</v>
      </c>
      <c r="D181" s="1020" t="s">
        <v>1214</v>
      </c>
      <c r="E181" s="1021" t="s">
        <v>1643</v>
      </c>
      <c r="F181" s="1020">
        <v>1</v>
      </c>
      <c r="G181" s="1022" t="s">
        <v>1953</v>
      </c>
      <c r="H181" s="1020">
        <v>145</v>
      </c>
      <c r="I181" s="1020">
        <v>870</v>
      </c>
      <c r="J181" s="1023">
        <v>46022</v>
      </c>
      <c r="K181" s="1023">
        <v>46293</v>
      </c>
      <c r="L181" s="1020">
        <v>20</v>
      </c>
      <c r="M181" s="1020">
        <v>9</v>
      </c>
      <c r="N181" s="1020">
        <v>16</v>
      </c>
      <c r="O181" s="1024">
        <f t="shared" si="10"/>
        <v>0.45</v>
      </c>
      <c r="P181" s="1103">
        <f t="shared" si="11"/>
        <v>0.8</v>
      </c>
      <c r="Q181" s="1188"/>
    </row>
    <row r="182" spans="1:20">
      <c r="A182" s="1086" t="s">
        <v>1694</v>
      </c>
      <c r="B182" s="1020" t="s">
        <v>3</v>
      </c>
      <c r="C182" s="1020" t="s">
        <v>228</v>
      </c>
      <c r="D182" s="1020" t="s">
        <v>478</v>
      </c>
      <c r="E182" s="1021" t="s">
        <v>762</v>
      </c>
      <c r="F182" s="1020">
        <v>1</v>
      </c>
      <c r="G182" s="1022" t="s">
        <v>1954</v>
      </c>
      <c r="H182" s="1020">
        <v>120</v>
      </c>
      <c r="I182" s="1020">
        <v>960</v>
      </c>
      <c r="J182" s="1023">
        <v>46022</v>
      </c>
      <c r="K182" s="1023">
        <v>46199</v>
      </c>
      <c r="L182" s="1020">
        <v>20</v>
      </c>
      <c r="M182" s="1020">
        <v>12</v>
      </c>
      <c r="N182" s="1020">
        <v>13</v>
      </c>
      <c r="O182" s="1024">
        <f t="shared" si="10"/>
        <v>0.6</v>
      </c>
      <c r="P182" s="1103">
        <f t="shared" si="11"/>
        <v>0.65</v>
      </c>
      <c r="Q182" s="1188"/>
    </row>
    <row r="183" spans="1:20" s="1036" customFormat="1" ht="15" customHeight="1" thickBot="1">
      <c r="A183" s="1173" t="s">
        <v>1694</v>
      </c>
      <c r="B183" s="1143" t="s">
        <v>1955</v>
      </c>
      <c r="C183" s="1143" t="s">
        <v>1736</v>
      </c>
      <c r="D183" s="1092" t="s">
        <v>94</v>
      </c>
      <c r="E183" s="1174" t="s">
        <v>1956</v>
      </c>
      <c r="F183" s="1092">
        <v>3</v>
      </c>
      <c r="G183" s="1116" t="s">
        <v>1957</v>
      </c>
      <c r="H183" s="1092">
        <v>47</v>
      </c>
      <c r="I183" s="1092">
        <v>139</v>
      </c>
      <c r="J183" s="1175">
        <v>46021</v>
      </c>
      <c r="K183" s="1175">
        <v>46108</v>
      </c>
      <c r="L183" s="1092">
        <v>20</v>
      </c>
      <c r="M183" s="1092">
        <v>4</v>
      </c>
      <c r="N183" s="1092">
        <v>4</v>
      </c>
      <c r="O183" s="1176">
        <f t="shared" si="10"/>
        <v>0.2</v>
      </c>
      <c r="P183" s="1177">
        <f t="shared" si="11"/>
        <v>0.2</v>
      </c>
      <c r="Q183" s="1191">
        <f>COUNTA(G163:G183)</f>
        <v>21</v>
      </c>
      <c r="R183" s="997">
        <f>SUM(L163:L183)</f>
        <v>461</v>
      </c>
      <c r="S183" s="997">
        <f>SUM(M163:M183)</f>
        <v>259</v>
      </c>
      <c r="T183" s="998">
        <f>S183/R183</f>
        <v>0.56182212581344904</v>
      </c>
    </row>
    <row r="192" spans="1:20">
      <c r="A192" s="1086" t="s">
        <v>1690</v>
      </c>
      <c r="B192" s="1030" t="s">
        <v>7</v>
      </c>
      <c r="C192" s="1030" t="s">
        <v>454</v>
      </c>
      <c r="D192" s="1018" t="s">
        <v>476</v>
      </c>
      <c r="E192" s="1031" t="s">
        <v>762</v>
      </c>
      <c r="F192" s="1030">
        <v>14</v>
      </c>
      <c r="G192" s="1032" t="s">
        <v>1935</v>
      </c>
      <c r="H192" s="1030">
        <v>91</v>
      </c>
      <c r="I192" s="1030">
        <v>728</v>
      </c>
      <c r="J192" s="1033">
        <v>45973</v>
      </c>
      <c r="K192" s="1033">
        <v>46113</v>
      </c>
      <c r="L192" s="1030">
        <v>20</v>
      </c>
      <c r="M192" s="1030">
        <v>11</v>
      </c>
      <c r="N192" s="1030">
        <v>16</v>
      </c>
      <c r="O192" s="1034">
        <f>M192/L192</f>
        <v>0.55000000000000004</v>
      </c>
      <c r="P192" s="1165">
        <f>N192/L192</f>
        <v>0.8</v>
      </c>
      <c r="Q192" s="1190"/>
    </row>
    <row r="193" spans="1:17" ht="17.25" thickBot="1">
      <c r="A193" s="1088" t="s">
        <v>1690</v>
      </c>
      <c r="B193" s="1166" t="s">
        <v>7</v>
      </c>
      <c r="C193" s="1166" t="s">
        <v>454</v>
      </c>
      <c r="D193" s="1167" t="s">
        <v>476</v>
      </c>
      <c r="E193" s="1168" t="s">
        <v>762</v>
      </c>
      <c r="F193" s="1166">
        <v>14</v>
      </c>
      <c r="G193" s="1169" t="s">
        <v>1936</v>
      </c>
      <c r="H193" s="1166">
        <v>91</v>
      </c>
      <c r="I193" s="1166">
        <v>728</v>
      </c>
      <c r="J193" s="1170">
        <v>45979</v>
      </c>
      <c r="K193" s="1170">
        <v>46119</v>
      </c>
      <c r="L193" s="1166">
        <v>20</v>
      </c>
      <c r="M193" s="1166">
        <v>26</v>
      </c>
      <c r="N193" s="1166">
        <v>27</v>
      </c>
      <c r="O193" s="1171">
        <f>M193/L193</f>
        <v>1.3</v>
      </c>
      <c r="P193" s="1172">
        <f>N193/L193</f>
        <v>1.35</v>
      </c>
      <c r="Q193" s="1190"/>
    </row>
  </sheetData>
  <autoFilter ref="A2:P150" xr:uid="{00000000-0009-0000-0000-000001000000}"/>
  <phoneticPr fontId="6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18983-A203-443C-AB34-65F249CBC35E}">
  <dimension ref="A3:C20"/>
  <sheetViews>
    <sheetView workbookViewId="0">
      <selection activeCell="A3" sqref="A3"/>
    </sheetView>
  </sheetViews>
  <sheetFormatPr defaultRowHeight="16.5"/>
  <sheetData>
    <row r="3" spans="1:3">
      <c r="A3" s="1179"/>
      <c r="B3" s="1180"/>
      <c r="C3" s="1181"/>
    </row>
    <row r="4" spans="1:3">
      <c r="A4" s="1182"/>
      <c r="B4" s="1183"/>
      <c r="C4" s="1184"/>
    </row>
    <row r="5" spans="1:3">
      <c r="A5" s="1182"/>
      <c r="B5" s="1183"/>
      <c r="C5" s="1184"/>
    </row>
    <row r="6" spans="1:3">
      <c r="A6" s="1182"/>
      <c r="B6" s="1183"/>
      <c r="C6" s="1184"/>
    </row>
    <row r="7" spans="1:3">
      <c r="A7" s="1182"/>
      <c r="B7" s="1183"/>
      <c r="C7" s="1184"/>
    </row>
    <row r="8" spans="1:3">
      <c r="A8" s="1182"/>
      <c r="B8" s="1183"/>
      <c r="C8" s="1184"/>
    </row>
    <row r="9" spans="1:3">
      <c r="A9" s="1182"/>
      <c r="B9" s="1183"/>
      <c r="C9" s="1184"/>
    </row>
    <row r="10" spans="1:3">
      <c r="A10" s="1182"/>
      <c r="B10" s="1183"/>
      <c r="C10" s="1184"/>
    </row>
    <row r="11" spans="1:3">
      <c r="A11" s="1182"/>
      <c r="B11" s="1183"/>
      <c r="C11" s="1184"/>
    </row>
    <row r="12" spans="1:3">
      <c r="A12" s="1182"/>
      <c r="B12" s="1183"/>
      <c r="C12" s="1184"/>
    </row>
    <row r="13" spans="1:3">
      <c r="A13" s="1182"/>
      <c r="B13" s="1183"/>
      <c r="C13" s="1184"/>
    </row>
    <row r="14" spans="1:3">
      <c r="A14" s="1182"/>
      <c r="B14" s="1183"/>
      <c r="C14" s="1184"/>
    </row>
    <row r="15" spans="1:3">
      <c r="A15" s="1182"/>
      <c r="B15" s="1183"/>
      <c r="C15" s="1184"/>
    </row>
    <row r="16" spans="1:3">
      <c r="A16" s="1182"/>
      <c r="B16" s="1183"/>
      <c r="C16" s="1184"/>
    </row>
    <row r="17" spans="1:3">
      <c r="A17" s="1182"/>
      <c r="B17" s="1183"/>
      <c r="C17" s="1184"/>
    </row>
    <row r="18" spans="1:3">
      <c r="A18" s="1182"/>
      <c r="B18" s="1183"/>
      <c r="C18" s="1184"/>
    </row>
    <row r="19" spans="1:3">
      <c r="A19" s="1182"/>
      <c r="B19" s="1183"/>
      <c r="C19" s="1184"/>
    </row>
    <row r="20" spans="1:3">
      <c r="A20" s="1185"/>
      <c r="B20" s="1186"/>
      <c r="C20" s="1187"/>
    </row>
  </sheetData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0.79998168889431442"/>
    <pageSetUpPr fitToPage="1"/>
  </sheetPr>
  <dimension ref="A1:Y362"/>
  <sheetViews>
    <sheetView zoomScale="85" zoomScaleNormal="85" workbookViewId="0">
      <pane ySplit="4" topLeftCell="A95" activePane="bottomLeft" state="frozen"/>
      <selection activeCell="L21" sqref="L21"/>
      <selection pane="bottomLeft" activeCell="L21" sqref="L21"/>
    </sheetView>
  </sheetViews>
  <sheetFormatPr defaultRowHeight="16.5"/>
  <cols>
    <col min="1" max="1" width="5.875" style="2" customWidth="1"/>
    <col min="2" max="2" width="6.25" style="2" customWidth="1"/>
    <col min="4" max="5" width="7.5" customWidth="1"/>
    <col min="6" max="6" width="24.75" bestFit="1" customWidth="1"/>
    <col min="7" max="7" width="7.75" style="326" customWidth="1"/>
    <col min="8" max="8" width="73.875" customWidth="1"/>
    <col min="9" max="9" width="9.625" style="2" customWidth="1"/>
    <col min="10" max="10" width="10.25" style="2" customWidth="1"/>
    <col min="11" max="12" width="13.25" style="2" bestFit="1" customWidth="1"/>
    <col min="13" max="13" width="8.875" style="2" bestFit="1" customWidth="1"/>
    <col min="14" max="14" width="9.375" style="2" customWidth="1"/>
    <col min="15" max="15" width="8.875" style="2" bestFit="1" customWidth="1"/>
    <col min="16" max="17" width="8.375" style="2" customWidth="1"/>
    <col min="18" max="19" width="6.5" customWidth="1"/>
    <col min="20" max="20" width="7.75" bestFit="1" customWidth="1"/>
    <col min="21" max="23" width="6.5" customWidth="1"/>
  </cols>
  <sheetData>
    <row r="1" spans="1:23" ht="17.25" thickBot="1">
      <c r="A1" s="1237" t="s">
        <v>1226</v>
      </c>
      <c r="B1" s="1237"/>
      <c r="C1" s="1237"/>
      <c r="D1" s="1237"/>
      <c r="E1" s="1237"/>
      <c r="F1" s="1237"/>
      <c r="G1" s="763" t="s">
        <v>1276</v>
      </c>
      <c r="H1">
        <f>COUNTA(A5:A209)</f>
        <v>173</v>
      </c>
      <c r="I1" s="554" t="s">
        <v>469</v>
      </c>
      <c r="J1">
        <f>COUNTIF(E5:E209,"국")+COUNTIF(E5:E209,"국(혼)")</f>
        <v>55</v>
      </c>
      <c r="K1" s="554" t="s">
        <v>823</v>
      </c>
      <c r="L1" s="2">
        <f>COUNTIF(E5:E209,"계")+COUNTIF(E5:E209,"계(혼)")</f>
        <v>77</v>
      </c>
      <c r="M1" s="554" t="s">
        <v>824</v>
      </c>
      <c r="N1" s="2">
        <f>COUNTIF(E5:E209,"과평(국)")+COUNTIF(E5:E209,"과평(계)")</f>
        <v>11</v>
      </c>
      <c r="O1" s="554" t="s">
        <v>1207</v>
      </c>
      <c r="P1">
        <f>COUNTIF(E5:E209,"KDT")</f>
        <v>5</v>
      </c>
      <c r="Q1" s="554" t="s">
        <v>1208</v>
      </c>
      <c r="R1">
        <f>COUNTIF(E5:E209,"산대특")</f>
        <v>24</v>
      </c>
      <c r="S1" s="736" t="s">
        <v>1209</v>
      </c>
      <c r="T1">
        <f>COUNTIF(E5:E108,"일반고")</f>
        <v>1</v>
      </c>
    </row>
    <row r="2" spans="1:23" s="1" customFormat="1" ht="18" customHeight="1">
      <c r="A2" s="1232" t="s">
        <v>1218</v>
      </c>
      <c r="B2" s="1233"/>
      <c r="C2" s="1233"/>
      <c r="D2" s="1233"/>
      <c r="E2" s="1233"/>
      <c r="F2" s="1233"/>
      <c r="G2" s="1233"/>
      <c r="H2" s="1233"/>
      <c r="I2" s="1233"/>
      <c r="J2" s="1233"/>
      <c r="K2" s="1234"/>
      <c r="L2" s="764">
        <f>COUNTA(H5:H9,H11:H20,H23:H43,H45:H59,H62:H72,H74:H81,H83:H101,H103:H115,H118:H128,H129:H141,H143:H151,H153:H177)</f>
        <v>160</v>
      </c>
      <c r="M2" s="765">
        <f>SUM(M5:M9,M11:M20,M23:M43,M45:M59,M62:M72,M74:M81,M83:M101,M103:M115,M118:M151,M153:M177)</f>
        <v>3532</v>
      </c>
      <c r="N2" s="765">
        <f>SUM(N5:N9,N11:N20,N23:N43,N45:N59,N62:N72,N74:N81,N83:N101,N103:N115,N118:N151,N153:N177)</f>
        <v>2093</v>
      </c>
      <c r="O2" s="766"/>
      <c r="P2" s="767">
        <f>N2/M2</f>
        <v>0.5925821064552661</v>
      </c>
      <c r="Q2" s="768">
        <f t="shared" ref="Q2" si="0">O2/M2</f>
        <v>0</v>
      </c>
    </row>
    <row r="3" spans="1:23" s="1" customFormat="1" ht="18" customHeight="1">
      <c r="A3" s="1235" t="s">
        <v>1219</v>
      </c>
      <c r="B3" s="1235"/>
      <c r="C3" s="1235"/>
      <c r="D3" s="1235"/>
      <c r="E3" s="1235"/>
      <c r="F3" s="1235"/>
      <c r="G3" s="1235"/>
      <c r="H3" s="1235"/>
      <c r="I3" s="1235"/>
      <c r="J3" s="1235"/>
      <c r="K3" s="1236"/>
      <c r="L3" s="769">
        <f>COUNTA(H5:H210)</f>
        <v>173</v>
      </c>
      <c r="M3" s="770">
        <f>SUM(M5:M210)</f>
        <v>3772</v>
      </c>
      <c r="N3" s="771">
        <f>SUM(N5:N210)</f>
        <v>2205</v>
      </c>
      <c r="O3" s="772">
        <f>SUM(O5:O210)</f>
        <v>0</v>
      </c>
      <c r="P3" s="773">
        <f>N3/M3</f>
        <v>0.58457051961823969</v>
      </c>
      <c r="Q3" s="774">
        <f>O3/M3</f>
        <v>0</v>
      </c>
    </row>
    <row r="4" spans="1:23" s="263" customFormat="1" ht="18" customHeight="1" thickBot="1">
      <c r="A4" s="932" t="s">
        <v>17</v>
      </c>
      <c r="B4" s="932" t="s">
        <v>766</v>
      </c>
      <c r="C4" s="932" t="s">
        <v>18</v>
      </c>
      <c r="D4" s="932" t="s">
        <v>764</v>
      </c>
      <c r="E4" s="932" t="s">
        <v>765</v>
      </c>
      <c r="F4" s="932" t="s">
        <v>761</v>
      </c>
      <c r="G4" s="932" t="s">
        <v>796</v>
      </c>
      <c r="H4" s="933" t="s">
        <v>11</v>
      </c>
      <c r="I4" s="932" t="s">
        <v>19</v>
      </c>
      <c r="J4" s="932" t="s">
        <v>20</v>
      </c>
      <c r="K4" s="932" t="s">
        <v>189</v>
      </c>
      <c r="L4" s="934" t="s">
        <v>190</v>
      </c>
      <c r="M4" s="935" t="s">
        <v>10</v>
      </c>
      <c r="N4" s="936" t="s">
        <v>9</v>
      </c>
      <c r="O4" s="937" t="s">
        <v>25</v>
      </c>
      <c r="P4" s="938" t="s">
        <v>26</v>
      </c>
      <c r="Q4" s="939" t="s">
        <v>8</v>
      </c>
    </row>
    <row r="5" spans="1:23" s="326" customFormat="1" ht="17.25" customHeight="1">
      <c r="A5" s="950">
        <v>1</v>
      </c>
      <c r="B5" s="951" t="s">
        <v>1667</v>
      </c>
      <c r="C5" s="952" t="s">
        <v>3</v>
      </c>
      <c r="D5" s="952" t="s">
        <v>226</v>
      </c>
      <c r="E5" s="952" t="s">
        <v>478</v>
      </c>
      <c r="F5" s="953" t="s">
        <v>1206</v>
      </c>
      <c r="G5" s="952"/>
      <c r="H5" s="954" t="s">
        <v>1266</v>
      </c>
      <c r="I5" s="952"/>
      <c r="J5" s="952"/>
      <c r="K5" s="955">
        <v>45309</v>
      </c>
      <c r="L5" s="955">
        <v>45478</v>
      </c>
      <c r="M5" s="952">
        <v>30</v>
      </c>
      <c r="N5" s="956">
        <v>25</v>
      </c>
      <c r="O5" s="952"/>
      <c r="P5" s="957">
        <f t="shared" ref="P5:P36" si="1">N5/M5</f>
        <v>0.83333333333333337</v>
      </c>
      <c r="Q5" s="958">
        <f t="shared" ref="Q5:Q36" si="2">O5/M5</f>
        <v>0</v>
      </c>
      <c r="R5" s="775"/>
      <c r="S5" s="775"/>
      <c r="T5" s="775"/>
    </row>
    <row r="6" spans="1:23" s="326" customFormat="1" ht="17.25" customHeight="1">
      <c r="A6" s="959">
        <v>2</v>
      </c>
      <c r="B6" s="940" t="s">
        <v>1667</v>
      </c>
      <c r="C6" s="912" t="s">
        <v>7</v>
      </c>
      <c r="D6" s="912" t="s">
        <v>235</v>
      </c>
      <c r="E6" s="912" t="s">
        <v>2</v>
      </c>
      <c r="F6" s="913" t="s">
        <v>771</v>
      </c>
      <c r="G6" s="912"/>
      <c r="H6" s="914" t="s">
        <v>1264</v>
      </c>
      <c r="I6" s="912"/>
      <c r="J6" s="912"/>
      <c r="K6" s="915">
        <v>45313</v>
      </c>
      <c r="L6" s="915">
        <v>45462</v>
      </c>
      <c r="M6" s="912">
        <v>20</v>
      </c>
      <c r="N6" s="930">
        <v>17</v>
      </c>
      <c r="O6" s="912"/>
      <c r="P6" s="941">
        <f t="shared" si="1"/>
        <v>0.85</v>
      </c>
      <c r="Q6" s="960">
        <f t="shared" si="2"/>
        <v>0</v>
      </c>
      <c r="R6" s="775"/>
      <c r="S6" s="775"/>
      <c r="T6" s="775"/>
    </row>
    <row r="7" spans="1:23" s="326" customFormat="1" ht="17.25" customHeight="1">
      <c r="A7" s="959">
        <v>3</v>
      </c>
      <c r="B7" s="940" t="s">
        <v>1667</v>
      </c>
      <c r="C7" s="912" t="s">
        <v>47</v>
      </c>
      <c r="D7" s="912" t="s">
        <v>1205</v>
      </c>
      <c r="E7" s="912" t="s">
        <v>326</v>
      </c>
      <c r="F7" s="913" t="s">
        <v>763</v>
      </c>
      <c r="G7" s="912"/>
      <c r="H7" s="914" t="s">
        <v>1177</v>
      </c>
      <c r="I7" s="912"/>
      <c r="J7" s="912"/>
      <c r="K7" s="915">
        <v>45315</v>
      </c>
      <c r="L7" s="915">
        <v>45504</v>
      </c>
      <c r="M7" s="912">
        <v>20</v>
      </c>
      <c r="N7" s="912">
        <v>8</v>
      </c>
      <c r="O7" s="912"/>
      <c r="P7" s="941">
        <f t="shared" si="1"/>
        <v>0.4</v>
      </c>
      <c r="Q7" s="960">
        <f t="shared" si="2"/>
        <v>0</v>
      </c>
      <c r="R7" s="776"/>
      <c r="S7" s="776"/>
      <c r="T7" s="776"/>
      <c r="U7"/>
      <c r="V7"/>
      <c r="W7"/>
    </row>
    <row r="8" spans="1:23">
      <c r="A8" s="959">
        <v>4</v>
      </c>
      <c r="B8" s="940" t="s">
        <v>1667</v>
      </c>
      <c r="C8" s="912" t="s">
        <v>3</v>
      </c>
      <c r="D8" s="912" t="s">
        <v>769</v>
      </c>
      <c r="E8" s="912" t="s">
        <v>326</v>
      </c>
      <c r="F8" s="913" t="s">
        <v>762</v>
      </c>
      <c r="G8" s="912"/>
      <c r="H8" s="914" t="s">
        <v>1265</v>
      </c>
      <c r="I8" s="912"/>
      <c r="J8" s="912"/>
      <c r="K8" s="915">
        <v>45316</v>
      </c>
      <c r="L8" s="915">
        <v>45422</v>
      </c>
      <c r="M8" s="912">
        <v>28</v>
      </c>
      <c r="N8" s="912">
        <v>6</v>
      </c>
      <c r="O8" s="912"/>
      <c r="P8" s="941">
        <f t="shared" si="1"/>
        <v>0.21428571428571427</v>
      </c>
      <c r="Q8" s="960">
        <f t="shared" si="2"/>
        <v>0</v>
      </c>
      <c r="R8" s="776"/>
      <c r="S8" s="776"/>
      <c r="T8" s="776"/>
    </row>
    <row r="9" spans="1:23">
      <c r="A9" s="959">
        <v>6</v>
      </c>
      <c r="B9" s="940" t="s">
        <v>1667</v>
      </c>
      <c r="C9" s="912" t="s">
        <v>3</v>
      </c>
      <c r="D9" s="912" t="s">
        <v>227</v>
      </c>
      <c r="E9" s="912" t="s">
        <v>476</v>
      </c>
      <c r="F9" s="913" t="s">
        <v>930</v>
      </c>
      <c r="G9" s="912"/>
      <c r="H9" s="914" t="s">
        <v>1668</v>
      </c>
      <c r="I9" s="912"/>
      <c r="J9" s="912"/>
      <c r="K9" s="915">
        <v>45320</v>
      </c>
      <c r="L9" s="915">
        <v>45505</v>
      </c>
      <c r="M9" s="912">
        <v>22</v>
      </c>
      <c r="N9" s="930">
        <v>20</v>
      </c>
      <c r="O9" s="912"/>
      <c r="P9" s="941">
        <f t="shared" si="1"/>
        <v>0.90909090909090906</v>
      </c>
      <c r="Q9" s="960">
        <f t="shared" si="2"/>
        <v>0</v>
      </c>
      <c r="R9" s="750">
        <f>SUM(M5:M9)</f>
        <v>120</v>
      </c>
      <c r="S9" s="750">
        <f>SUM(N5:N9)</f>
        <v>76</v>
      </c>
      <c r="T9" s="996">
        <f>S9/R9</f>
        <v>0.6333333333333333</v>
      </c>
      <c r="U9">
        <f>COUNTA(H5:H9)</f>
        <v>5</v>
      </c>
    </row>
    <row r="10" spans="1:23" ht="17.25" thickBot="1">
      <c r="A10" s="969">
        <v>5</v>
      </c>
      <c r="B10" s="970" t="s">
        <v>1701</v>
      </c>
      <c r="C10" s="971" t="s">
        <v>1702</v>
      </c>
      <c r="D10" s="971" t="s">
        <v>1704</v>
      </c>
      <c r="E10" s="971" t="s">
        <v>1705</v>
      </c>
      <c r="F10" s="972" t="s">
        <v>1707</v>
      </c>
      <c r="G10" s="971"/>
      <c r="H10" s="973" t="s">
        <v>1703</v>
      </c>
      <c r="I10" s="971"/>
      <c r="J10" s="971"/>
      <c r="K10" s="974">
        <v>45319</v>
      </c>
      <c r="L10" s="974">
        <v>45498</v>
      </c>
      <c r="M10" s="971">
        <v>20</v>
      </c>
      <c r="N10" s="971">
        <v>9</v>
      </c>
      <c r="O10" s="971"/>
      <c r="P10" s="975">
        <f>N10/M10</f>
        <v>0.45</v>
      </c>
      <c r="Q10" s="976">
        <f>O10/M10</f>
        <v>0</v>
      </c>
      <c r="R10" s="997">
        <f>SUM(M5:M10)</f>
        <v>140</v>
      </c>
      <c r="S10" s="997">
        <f>SUM(N5:N10)</f>
        <v>85</v>
      </c>
      <c r="T10" s="998">
        <f>S10/R10</f>
        <v>0.6071428571428571</v>
      </c>
      <c r="U10">
        <f>COUNTA(H5:H10)</f>
        <v>6</v>
      </c>
    </row>
    <row r="11" spans="1:23" s="735" customFormat="1">
      <c r="A11" s="950">
        <v>7</v>
      </c>
      <c r="B11" s="951" t="s">
        <v>1669</v>
      </c>
      <c r="C11" s="952" t="s">
        <v>47</v>
      </c>
      <c r="D11" s="952" t="s">
        <v>228</v>
      </c>
      <c r="E11" s="952" t="s">
        <v>326</v>
      </c>
      <c r="F11" s="953" t="s">
        <v>763</v>
      </c>
      <c r="G11" s="952"/>
      <c r="H11" s="954" t="s">
        <v>1258</v>
      </c>
      <c r="I11" s="952"/>
      <c r="J11" s="952"/>
      <c r="K11" s="955">
        <v>45336</v>
      </c>
      <c r="L11" s="955">
        <v>45523</v>
      </c>
      <c r="M11" s="952">
        <v>13</v>
      </c>
      <c r="N11" s="952">
        <v>13</v>
      </c>
      <c r="O11" s="952"/>
      <c r="P11" s="957">
        <f t="shared" si="1"/>
        <v>1</v>
      </c>
      <c r="Q11" s="958">
        <f t="shared" si="2"/>
        <v>0</v>
      </c>
    </row>
    <row r="12" spans="1:23">
      <c r="A12" s="959">
        <v>8</v>
      </c>
      <c r="B12" s="940" t="s">
        <v>1669</v>
      </c>
      <c r="C12" s="912" t="s">
        <v>47</v>
      </c>
      <c r="D12" s="912" t="s">
        <v>233</v>
      </c>
      <c r="E12" s="912" t="s">
        <v>326</v>
      </c>
      <c r="F12" s="913" t="s">
        <v>763</v>
      </c>
      <c r="G12" s="912"/>
      <c r="H12" s="914" t="s">
        <v>882</v>
      </c>
      <c r="I12" s="912"/>
      <c r="J12" s="912"/>
      <c r="K12" s="915">
        <v>45341</v>
      </c>
      <c r="L12" s="915">
        <v>45475</v>
      </c>
      <c r="M12" s="912">
        <v>15</v>
      </c>
      <c r="N12" s="912">
        <v>11</v>
      </c>
      <c r="O12" s="912"/>
      <c r="P12" s="941">
        <f t="shared" si="1"/>
        <v>0.73333333333333328</v>
      </c>
      <c r="Q12" s="960">
        <f t="shared" si="2"/>
        <v>0</v>
      </c>
      <c r="R12" s="776"/>
      <c r="S12" s="776"/>
      <c r="T12" s="776"/>
    </row>
    <row r="13" spans="1:23">
      <c r="A13" s="959">
        <v>9</v>
      </c>
      <c r="B13" s="940" t="s">
        <v>1669</v>
      </c>
      <c r="C13" s="912" t="s">
        <v>3</v>
      </c>
      <c r="D13" s="912" t="s">
        <v>227</v>
      </c>
      <c r="E13" s="912" t="s">
        <v>807</v>
      </c>
      <c r="F13" s="913"/>
      <c r="G13" s="912"/>
      <c r="H13" s="914" t="s">
        <v>150</v>
      </c>
      <c r="I13" s="912"/>
      <c r="J13" s="912"/>
      <c r="K13" s="915">
        <v>45342</v>
      </c>
      <c r="L13" s="915">
        <v>45517</v>
      </c>
      <c r="M13" s="912">
        <v>30</v>
      </c>
      <c r="N13" s="912">
        <v>24</v>
      </c>
      <c r="O13" s="912"/>
      <c r="P13" s="941">
        <f t="shared" si="1"/>
        <v>0.8</v>
      </c>
      <c r="Q13" s="960">
        <f t="shared" si="2"/>
        <v>0</v>
      </c>
      <c r="R13" s="776"/>
      <c r="S13" s="776"/>
      <c r="T13" s="776"/>
    </row>
    <row r="14" spans="1:23">
      <c r="A14" s="959">
        <v>10</v>
      </c>
      <c r="B14" s="940" t="s">
        <v>1669</v>
      </c>
      <c r="C14" s="912" t="s">
        <v>47</v>
      </c>
      <c r="D14" s="912" t="s">
        <v>227</v>
      </c>
      <c r="E14" s="912" t="s">
        <v>2</v>
      </c>
      <c r="F14" s="913" t="s">
        <v>763</v>
      </c>
      <c r="G14" s="912"/>
      <c r="H14" s="914" t="s">
        <v>1261</v>
      </c>
      <c r="I14" s="912"/>
      <c r="J14" s="912"/>
      <c r="K14" s="915">
        <v>45348</v>
      </c>
      <c r="L14" s="915">
        <v>45611</v>
      </c>
      <c r="M14" s="912">
        <v>22</v>
      </c>
      <c r="N14" s="930">
        <v>15</v>
      </c>
      <c r="O14" s="912"/>
      <c r="P14" s="941">
        <f t="shared" si="1"/>
        <v>0.68181818181818177</v>
      </c>
      <c r="Q14" s="960">
        <f t="shared" si="2"/>
        <v>0</v>
      </c>
      <c r="R14" s="776"/>
      <c r="S14" s="776"/>
      <c r="T14" s="776"/>
    </row>
    <row r="15" spans="1:23">
      <c r="A15" s="959">
        <v>11</v>
      </c>
      <c r="B15" s="940" t="s">
        <v>1669</v>
      </c>
      <c r="C15" s="912" t="s">
        <v>7</v>
      </c>
      <c r="D15" s="912" t="s">
        <v>228</v>
      </c>
      <c r="E15" s="912" t="s">
        <v>2</v>
      </c>
      <c r="F15" s="913" t="s">
        <v>762</v>
      </c>
      <c r="G15" s="912"/>
      <c r="H15" s="914" t="s">
        <v>1262</v>
      </c>
      <c r="I15" s="912"/>
      <c r="J15" s="912"/>
      <c r="K15" s="915">
        <v>45349</v>
      </c>
      <c r="L15" s="915">
        <v>45539</v>
      </c>
      <c r="M15" s="912">
        <v>20</v>
      </c>
      <c r="N15" s="912">
        <v>18</v>
      </c>
      <c r="O15" s="912"/>
      <c r="P15" s="941">
        <f t="shared" si="1"/>
        <v>0.9</v>
      </c>
      <c r="Q15" s="960">
        <f t="shared" si="2"/>
        <v>0</v>
      </c>
      <c r="R15" s="776"/>
      <c r="S15" s="776"/>
      <c r="T15" s="776"/>
    </row>
    <row r="16" spans="1:23">
      <c r="A16" s="959">
        <v>12</v>
      </c>
      <c r="B16" s="940" t="s">
        <v>1669</v>
      </c>
      <c r="C16" s="912" t="s">
        <v>7</v>
      </c>
      <c r="D16" s="912" t="s">
        <v>194</v>
      </c>
      <c r="E16" s="912" t="s">
        <v>2</v>
      </c>
      <c r="F16" s="913" t="s">
        <v>813</v>
      </c>
      <c r="G16" s="912"/>
      <c r="H16" s="914" t="s">
        <v>1263</v>
      </c>
      <c r="I16" s="912"/>
      <c r="J16" s="912"/>
      <c r="K16" s="915">
        <v>45349</v>
      </c>
      <c r="L16" s="915">
        <v>45558</v>
      </c>
      <c r="M16" s="912">
        <v>20</v>
      </c>
      <c r="N16" s="912">
        <v>20</v>
      </c>
      <c r="O16" s="912"/>
      <c r="P16" s="941">
        <f t="shared" si="1"/>
        <v>1</v>
      </c>
      <c r="Q16" s="960">
        <f t="shared" si="2"/>
        <v>0</v>
      </c>
      <c r="R16" s="776"/>
      <c r="S16" s="776"/>
      <c r="T16" s="776"/>
    </row>
    <row r="17" spans="1:25">
      <c r="A17" s="959">
        <v>15</v>
      </c>
      <c r="B17" s="940" t="s">
        <v>1669</v>
      </c>
      <c r="C17" s="912" t="s">
        <v>3</v>
      </c>
      <c r="D17" s="912" t="s">
        <v>225</v>
      </c>
      <c r="E17" s="912" t="s">
        <v>478</v>
      </c>
      <c r="F17" s="913" t="s">
        <v>927</v>
      </c>
      <c r="G17" s="912"/>
      <c r="H17" s="914" t="s">
        <v>1670</v>
      </c>
      <c r="I17" s="912"/>
      <c r="J17" s="912"/>
      <c r="K17" s="915">
        <v>45349</v>
      </c>
      <c r="L17" s="915">
        <v>45502</v>
      </c>
      <c r="M17" s="912">
        <v>20</v>
      </c>
      <c r="N17" s="912">
        <v>14</v>
      </c>
      <c r="O17" s="912"/>
      <c r="P17" s="941">
        <f t="shared" si="1"/>
        <v>0.7</v>
      </c>
      <c r="Q17" s="960">
        <f t="shared" si="2"/>
        <v>0</v>
      </c>
      <c r="R17" s="776"/>
      <c r="S17" s="776"/>
      <c r="T17" s="776"/>
    </row>
    <row r="18" spans="1:25" s="1" customFormat="1" ht="17.25" customHeight="1">
      <c r="A18" s="959">
        <v>16</v>
      </c>
      <c r="B18" s="940" t="s">
        <v>1669</v>
      </c>
      <c r="C18" s="912" t="s">
        <v>3</v>
      </c>
      <c r="D18" s="912" t="s">
        <v>225</v>
      </c>
      <c r="E18" s="912" t="s">
        <v>807</v>
      </c>
      <c r="F18" s="913" t="s">
        <v>927</v>
      </c>
      <c r="G18" s="912"/>
      <c r="H18" s="914" t="s">
        <v>880</v>
      </c>
      <c r="I18" s="912"/>
      <c r="J18" s="912"/>
      <c r="K18" s="915">
        <v>45350</v>
      </c>
      <c r="L18" s="915">
        <v>45505</v>
      </c>
      <c r="M18" s="912">
        <v>22</v>
      </c>
      <c r="N18" s="912">
        <v>21</v>
      </c>
      <c r="O18" s="912"/>
      <c r="P18" s="941">
        <f t="shared" si="1"/>
        <v>0.95454545454545459</v>
      </c>
      <c r="Q18" s="960">
        <f t="shared" si="2"/>
        <v>0</v>
      </c>
      <c r="R18" s="776"/>
      <c r="S18" s="776"/>
      <c r="T18" s="776"/>
      <c r="U18"/>
      <c r="V18"/>
      <c r="W18"/>
      <c r="X18"/>
      <c r="Y18"/>
    </row>
    <row r="19" spans="1:25">
      <c r="A19" s="959">
        <v>17</v>
      </c>
      <c r="B19" s="940" t="s">
        <v>1669</v>
      </c>
      <c r="C19" s="912" t="s">
        <v>3</v>
      </c>
      <c r="D19" s="912" t="s">
        <v>779</v>
      </c>
      <c r="E19" s="912" t="s">
        <v>478</v>
      </c>
      <c r="F19" s="913" t="s">
        <v>762</v>
      </c>
      <c r="G19" s="912"/>
      <c r="H19" s="914" t="s">
        <v>1260</v>
      </c>
      <c r="I19" s="912"/>
      <c r="J19" s="912"/>
      <c r="K19" s="915">
        <v>45350</v>
      </c>
      <c r="L19" s="915">
        <v>45497</v>
      </c>
      <c r="M19" s="912">
        <v>12</v>
      </c>
      <c r="N19" s="912">
        <v>12</v>
      </c>
      <c r="O19" s="912"/>
      <c r="P19" s="941">
        <f t="shared" si="1"/>
        <v>1</v>
      </c>
      <c r="Q19" s="960">
        <f t="shared" si="2"/>
        <v>0</v>
      </c>
      <c r="R19" s="776"/>
      <c r="S19" s="776"/>
      <c r="T19" s="776"/>
    </row>
    <row r="20" spans="1:25">
      <c r="A20" s="959">
        <v>18</v>
      </c>
      <c r="B20" s="940" t="s">
        <v>1669</v>
      </c>
      <c r="C20" s="912" t="s">
        <v>3</v>
      </c>
      <c r="D20" s="912" t="s">
        <v>228</v>
      </c>
      <c r="E20" s="912" t="s">
        <v>478</v>
      </c>
      <c r="F20" s="913" t="s">
        <v>762</v>
      </c>
      <c r="G20" s="912"/>
      <c r="H20" s="914" t="s">
        <v>1671</v>
      </c>
      <c r="I20" s="912"/>
      <c r="J20" s="912"/>
      <c r="K20" s="915">
        <v>45351</v>
      </c>
      <c r="L20" s="915">
        <v>45511</v>
      </c>
      <c r="M20" s="912">
        <v>30</v>
      </c>
      <c r="N20" s="912">
        <v>22</v>
      </c>
      <c r="O20" s="912"/>
      <c r="P20" s="941">
        <f t="shared" si="1"/>
        <v>0.73333333333333328</v>
      </c>
      <c r="Q20" s="960">
        <f t="shared" si="2"/>
        <v>0</v>
      </c>
      <c r="R20" s="750">
        <f>SUM(M11:M20)</f>
        <v>204</v>
      </c>
      <c r="S20" s="750">
        <f>SUM(N11:N20)</f>
        <v>170</v>
      </c>
      <c r="T20" s="996">
        <f>S20/R20</f>
        <v>0.83333333333333337</v>
      </c>
      <c r="U20">
        <f>COUNTA(H11:H20)</f>
        <v>10</v>
      </c>
    </row>
    <row r="21" spans="1:25">
      <c r="A21" s="959">
        <v>13</v>
      </c>
      <c r="B21" s="942" t="s">
        <v>1718</v>
      </c>
      <c r="C21" s="921" t="s">
        <v>1702</v>
      </c>
      <c r="D21" s="921" t="s">
        <v>1704</v>
      </c>
      <c r="E21" s="921" t="s">
        <v>1705</v>
      </c>
      <c r="F21" s="922" t="s">
        <v>1707</v>
      </c>
      <c r="G21" s="921"/>
      <c r="H21" s="924" t="s">
        <v>1706</v>
      </c>
      <c r="I21" s="921"/>
      <c r="J21" s="921"/>
      <c r="K21" s="923">
        <v>45345</v>
      </c>
      <c r="L21" s="923">
        <v>45429</v>
      </c>
      <c r="M21" s="921">
        <v>20</v>
      </c>
      <c r="N21" s="921">
        <v>12</v>
      </c>
      <c r="O21" s="921"/>
      <c r="P21" s="943">
        <f>N21/M21</f>
        <v>0.6</v>
      </c>
      <c r="Q21" s="977">
        <f>O21/M21</f>
        <v>0</v>
      </c>
      <c r="R21" s="776"/>
      <c r="S21" s="776"/>
      <c r="T21" s="776"/>
    </row>
    <row r="22" spans="1:25" ht="17.25" thickBot="1">
      <c r="A22" s="961">
        <v>14</v>
      </c>
      <c r="B22" s="962" t="s">
        <v>1718</v>
      </c>
      <c r="C22" s="963" t="s">
        <v>1702</v>
      </c>
      <c r="D22" s="963" t="s">
        <v>1704</v>
      </c>
      <c r="E22" s="963" t="s">
        <v>1705</v>
      </c>
      <c r="F22" s="964" t="s">
        <v>1709</v>
      </c>
      <c r="G22" s="963"/>
      <c r="H22" s="965" t="s">
        <v>1708</v>
      </c>
      <c r="I22" s="963"/>
      <c r="J22" s="963"/>
      <c r="K22" s="966">
        <v>45349</v>
      </c>
      <c r="L22" s="966">
        <v>45411</v>
      </c>
      <c r="M22" s="963">
        <v>20</v>
      </c>
      <c r="N22" s="963">
        <v>13</v>
      </c>
      <c r="O22" s="963"/>
      <c r="P22" s="967">
        <f>N22/M22</f>
        <v>0.65</v>
      </c>
      <c r="Q22" s="968">
        <f>O22/M22</f>
        <v>0</v>
      </c>
      <c r="R22" s="997">
        <f>SUM(M11:M22)</f>
        <v>244</v>
      </c>
      <c r="S22" s="997">
        <f>SUM(N11:N22)</f>
        <v>195</v>
      </c>
      <c r="T22" s="998">
        <f>S22/R22</f>
        <v>0.79918032786885251</v>
      </c>
      <c r="U22">
        <f>COUNTA(H11:H22)</f>
        <v>12</v>
      </c>
    </row>
    <row r="23" spans="1:25">
      <c r="A23" s="950">
        <v>19</v>
      </c>
      <c r="B23" s="951" t="s">
        <v>1672</v>
      </c>
      <c r="C23" s="952" t="s">
        <v>3</v>
      </c>
      <c r="D23" s="952" t="s">
        <v>194</v>
      </c>
      <c r="E23" s="952" t="s">
        <v>2</v>
      </c>
      <c r="F23" s="953" t="s">
        <v>762</v>
      </c>
      <c r="G23" s="952"/>
      <c r="H23" s="954" t="s">
        <v>1245</v>
      </c>
      <c r="I23" s="952"/>
      <c r="J23" s="952"/>
      <c r="K23" s="955">
        <v>45355</v>
      </c>
      <c r="L23" s="955">
        <v>45499</v>
      </c>
      <c r="M23" s="952">
        <v>35</v>
      </c>
      <c r="N23" s="952">
        <v>11</v>
      </c>
      <c r="O23" s="952"/>
      <c r="P23" s="957">
        <f t="shared" si="1"/>
        <v>0.31428571428571428</v>
      </c>
      <c r="Q23" s="958">
        <f t="shared" si="2"/>
        <v>0</v>
      </c>
      <c r="R23" s="776"/>
      <c r="S23" s="776"/>
      <c r="T23" s="776"/>
    </row>
    <row r="24" spans="1:25" s="735" customFormat="1">
      <c r="A24" s="959">
        <v>20</v>
      </c>
      <c r="B24" s="940" t="s">
        <v>1672</v>
      </c>
      <c r="C24" s="912" t="s">
        <v>7</v>
      </c>
      <c r="D24" s="912" t="s">
        <v>226</v>
      </c>
      <c r="E24" s="912" t="s">
        <v>2</v>
      </c>
      <c r="F24" s="913" t="s">
        <v>773</v>
      </c>
      <c r="G24" s="912"/>
      <c r="H24" s="914" t="s">
        <v>893</v>
      </c>
      <c r="I24" s="912"/>
      <c r="J24" s="912"/>
      <c r="K24" s="915">
        <v>45355</v>
      </c>
      <c r="L24" s="915">
        <v>45595</v>
      </c>
      <c r="M24" s="912">
        <v>20</v>
      </c>
      <c r="N24" s="912">
        <v>17</v>
      </c>
      <c r="O24" s="912"/>
      <c r="P24" s="941">
        <f t="shared" si="1"/>
        <v>0.85</v>
      </c>
      <c r="Q24" s="960">
        <f t="shared" si="2"/>
        <v>0</v>
      </c>
      <c r="R24" s="776"/>
      <c r="S24" s="776"/>
      <c r="T24" s="776"/>
    </row>
    <row r="25" spans="1:25" s="735" customFormat="1">
      <c r="A25" s="959">
        <v>21</v>
      </c>
      <c r="B25" s="940" t="s">
        <v>1672</v>
      </c>
      <c r="C25" s="912" t="s">
        <v>7</v>
      </c>
      <c r="D25" s="912" t="s">
        <v>368</v>
      </c>
      <c r="E25" s="912" t="s">
        <v>2</v>
      </c>
      <c r="F25" s="913" t="s">
        <v>768</v>
      </c>
      <c r="G25" s="912"/>
      <c r="H25" s="914" t="s">
        <v>1246</v>
      </c>
      <c r="I25" s="912"/>
      <c r="J25" s="912"/>
      <c r="K25" s="915">
        <v>45356</v>
      </c>
      <c r="L25" s="915">
        <v>45604</v>
      </c>
      <c r="M25" s="912">
        <v>21</v>
      </c>
      <c r="N25" s="912">
        <v>16</v>
      </c>
      <c r="O25" s="912"/>
      <c r="P25" s="941">
        <f t="shared" si="1"/>
        <v>0.76190476190476186</v>
      </c>
      <c r="Q25" s="960">
        <f t="shared" si="2"/>
        <v>0</v>
      </c>
    </row>
    <row r="26" spans="1:25">
      <c r="A26" s="959">
        <v>22</v>
      </c>
      <c r="B26" s="940" t="s">
        <v>1672</v>
      </c>
      <c r="C26" s="912" t="s">
        <v>3</v>
      </c>
      <c r="D26" s="912" t="s">
        <v>194</v>
      </c>
      <c r="E26" s="912" t="s">
        <v>326</v>
      </c>
      <c r="F26" s="913" t="s">
        <v>762</v>
      </c>
      <c r="G26" s="912"/>
      <c r="H26" s="914" t="s">
        <v>1267</v>
      </c>
      <c r="I26" s="912"/>
      <c r="J26" s="912"/>
      <c r="K26" s="915">
        <v>45359</v>
      </c>
      <c r="L26" s="915">
        <v>45446</v>
      </c>
      <c r="M26" s="912">
        <v>21</v>
      </c>
      <c r="N26" s="912">
        <v>7</v>
      </c>
      <c r="O26" s="912"/>
      <c r="P26" s="941">
        <f t="shared" si="1"/>
        <v>0.33333333333333331</v>
      </c>
      <c r="Q26" s="960">
        <f t="shared" si="2"/>
        <v>0</v>
      </c>
      <c r="R26" s="776"/>
      <c r="S26" s="776"/>
      <c r="T26" s="776"/>
    </row>
    <row r="27" spans="1:25">
      <c r="A27" s="959">
        <v>23</v>
      </c>
      <c r="B27" s="940" t="s">
        <v>1672</v>
      </c>
      <c r="C27" s="912" t="s">
        <v>3</v>
      </c>
      <c r="D27" s="912" t="s">
        <v>194</v>
      </c>
      <c r="E27" s="912" t="s">
        <v>476</v>
      </c>
      <c r="F27" s="913" t="s">
        <v>961</v>
      </c>
      <c r="G27" s="912"/>
      <c r="H27" s="914" t="s">
        <v>1155</v>
      </c>
      <c r="I27" s="912"/>
      <c r="J27" s="912"/>
      <c r="K27" s="915">
        <v>45359</v>
      </c>
      <c r="L27" s="915">
        <v>45538</v>
      </c>
      <c r="M27" s="912">
        <v>35</v>
      </c>
      <c r="N27" s="912">
        <v>28</v>
      </c>
      <c r="O27" s="912"/>
      <c r="P27" s="941">
        <f t="shared" si="1"/>
        <v>0.8</v>
      </c>
      <c r="Q27" s="960">
        <f t="shared" si="2"/>
        <v>0</v>
      </c>
      <c r="R27" s="776"/>
      <c r="S27" s="776"/>
      <c r="T27" s="776"/>
    </row>
    <row r="28" spans="1:25">
      <c r="A28" s="959">
        <v>24</v>
      </c>
      <c r="B28" s="940" t="s">
        <v>1672</v>
      </c>
      <c r="C28" s="912" t="s">
        <v>7</v>
      </c>
      <c r="D28" s="912" t="s">
        <v>368</v>
      </c>
      <c r="E28" s="912" t="s">
        <v>1209</v>
      </c>
      <c r="F28" s="913" t="s">
        <v>1227</v>
      </c>
      <c r="G28" s="912"/>
      <c r="H28" s="914" t="s">
        <v>1247</v>
      </c>
      <c r="I28" s="912"/>
      <c r="J28" s="912"/>
      <c r="K28" s="915">
        <v>45362</v>
      </c>
      <c r="L28" s="915">
        <v>45653</v>
      </c>
      <c r="M28" s="912">
        <v>14</v>
      </c>
      <c r="N28" s="912">
        <v>7</v>
      </c>
      <c r="O28" s="912"/>
      <c r="P28" s="941">
        <f t="shared" si="1"/>
        <v>0.5</v>
      </c>
      <c r="Q28" s="960">
        <f t="shared" si="2"/>
        <v>0</v>
      </c>
      <c r="R28" s="776"/>
      <c r="S28" s="776"/>
      <c r="T28" s="776"/>
    </row>
    <row r="29" spans="1:25">
      <c r="A29" s="959">
        <v>25</v>
      </c>
      <c r="B29" s="940" t="s">
        <v>1672</v>
      </c>
      <c r="C29" s="912" t="s">
        <v>7</v>
      </c>
      <c r="D29" s="912" t="s">
        <v>1205</v>
      </c>
      <c r="E29" s="912" t="s">
        <v>326</v>
      </c>
      <c r="F29" s="913" t="s">
        <v>762</v>
      </c>
      <c r="G29" s="912"/>
      <c r="H29" s="914" t="s">
        <v>1248</v>
      </c>
      <c r="I29" s="912"/>
      <c r="J29" s="912"/>
      <c r="K29" s="915">
        <v>45362</v>
      </c>
      <c r="L29" s="915">
        <v>45463</v>
      </c>
      <c r="M29" s="912">
        <v>23</v>
      </c>
      <c r="N29" s="912">
        <v>13</v>
      </c>
      <c r="O29" s="912"/>
      <c r="P29" s="941">
        <f t="shared" si="1"/>
        <v>0.56521739130434778</v>
      </c>
      <c r="Q29" s="960">
        <f t="shared" si="2"/>
        <v>0</v>
      </c>
      <c r="R29" s="776"/>
      <c r="S29" s="776"/>
      <c r="T29" s="776"/>
    </row>
    <row r="30" spans="1:25">
      <c r="A30" s="959">
        <v>26</v>
      </c>
      <c r="B30" s="940" t="s">
        <v>1672</v>
      </c>
      <c r="C30" s="912" t="s">
        <v>7</v>
      </c>
      <c r="D30" s="912" t="s">
        <v>248</v>
      </c>
      <c r="E30" s="912" t="s">
        <v>2</v>
      </c>
      <c r="F30" s="913" t="s">
        <v>786</v>
      </c>
      <c r="G30" s="912"/>
      <c r="H30" s="914" t="s">
        <v>1249</v>
      </c>
      <c r="I30" s="912"/>
      <c r="J30" s="912"/>
      <c r="K30" s="915">
        <v>45362</v>
      </c>
      <c r="L30" s="915">
        <v>45560</v>
      </c>
      <c r="M30" s="912">
        <v>20</v>
      </c>
      <c r="N30" s="912">
        <v>16</v>
      </c>
      <c r="O30" s="912"/>
      <c r="P30" s="941">
        <f t="shared" si="1"/>
        <v>0.8</v>
      </c>
      <c r="Q30" s="960">
        <f t="shared" si="2"/>
        <v>0</v>
      </c>
      <c r="R30" s="776"/>
      <c r="S30" s="776"/>
      <c r="T30" s="776"/>
    </row>
    <row r="31" spans="1:25">
      <c r="A31" s="959">
        <v>27</v>
      </c>
      <c r="B31" s="940" t="s">
        <v>1672</v>
      </c>
      <c r="C31" s="912" t="s">
        <v>47</v>
      </c>
      <c r="D31" s="912" t="s">
        <v>836</v>
      </c>
      <c r="E31" s="912" t="s">
        <v>326</v>
      </c>
      <c r="F31" s="913" t="s">
        <v>763</v>
      </c>
      <c r="G31" s="912"/>
      <c r="H31" s="914" t="s">
        <v>1136</v>
      </c>
      <c r="I31" s="912"/>
      <c r="J31" s="912"/>
      <c r="K31" s="915">
        <v>45363</v>
      </c>
      <c r="L31" s="915">
        <v>45470</v>
      </c>
      <c r="M31" s="912">
        <v>14</v>
      </c>
      <c r="N31" s="912">
        <v>12</v>
      </c>
      <c r="O31" s="912"/>
      <c r="P31" s="941">
        <f t="shared" si="1"/>
        <v>0.8571428571428571</v>
      </c>
      <c r="Q31" s="960">
        <f t="shared" si="2"/>
        <v>0</v>
      </c>
      <c r="R31" s="776"/>
      <c r="S31" s="776"/>
      <c r="T31" s="776"/>
    </row>
    <row r="32" spans="1:25">
      <c r="A32" s="959">
        <v>28</v>
      </c>
      <c r="B32" s="940" t="s">
        <v>1672</v>
      </c>
      <c r="C32" s="912" t="s">
        <v>7</v>
      </c>
      <c r="D32" s="912" t="s">
        <v>233</v>
      </c>
      <c r="E32" s="912" t="s">
        <v>326</v>
      </c>
      <c r="F32" s="913" t="s">
        <v>813</v>
      </c>
      <c r="G32" s="912"/>
      <c r="H32" s="914" t="s">
        <v>912</v>
      </c>
      <c r="I32" s="912"/>
      <c r="J32" s="912"/>
      <c r="K32" s="915">
        <v>45363</v>
      </c>
      <c r="L32" s="915">
        <v>45453</v>
      </c>
      <c r="M32" s="912">
        <v>17</v>
      </c>
      <c r="N32" s="912">
        <v>8</v>
      </c>
      <c r="O32" s="912"/>
      <c r="P32" s="941">
        <f t="shared" si="1"/>
        <v>0.47058823529411764</v>
      </c>
      <c r="Q32" s="960">
        <f t="shared" si="2"/>
        <v>0</v>
      </c>
      <c r="R32" s="776"/>
      <c r="S32" s="776"/>
      <c r="T32" s="776"/>
    </row>
    <row r="33" spans="1:23">
      <c r="A33" s="959">
        <v>29</v>
      </c>
      <c r="B33" s="940" t="s">
        <v>1672</v>
      </c>
      <c r="C33" s="912" t="s">
        <v>3</v>
      </c>
      <c r="D33" s="912" t="s">
        <v>226</v>
      </c>
      <c r="E33" s="912" t="s">
        <v>807</v>
      </c>
      <c r="F33" s="913" t="s">
        <v>762</v>
      </c>
      <c r="G33" s="912"/>
      <c r="H33" s="914" t="s">
        <v>984</v>
      </c>
      <c r="I33" s="912"/>
      <c r="J33" s="912"/>
      <c r="K33" s="915">
        <v>45363</v>
      </c>
      <c r="L33" s="915">
        <v>45490</v>
      </c>
      <c r="M33" s="912">
        <v>20</v>
      </c>
      <c r="N33" s="912">
        <v>15</v>
      </c>
      <c r="O33" s="912"/>
      <c r="P33" s="941">
        <f t="shared" si="1"/>
        <v>0.75</v>
      </c>
      <c r="Q33" s="960">
        <f t="shared" si="2"/>
        <v>0</v>
      </c>
      <c r="R33" s="776"/>
      <c r="S33" s="776"/>
      <c r="T33" s="776"/>
    </row>
    <row r="34" spans="1:23">
      <c r="A34" s="959">
        <v>30</v>
      </c>
      <c r="B34" s="940" t="s">
        <v>1672</v>
      </c>
      <c r="C34" s="912" t="s">
        <v>7</v>
      </c>
      <c r="D34" s="912" t="s">
        <v>230</v>
      </c>
      <c r="E34" s="912" t="s">
        <v>326</v>
      </c>
      <c r="F34" s="913" t="s">
        <v>1092</v>
      </c>
      <c r="G34" s="912"/>
      <c r="H34" s="914" t="s">
        <v>1250</v>
      </c>
      <c r="I34" s="912"/>
      <c r="J34" s="912"/>
      <c r="K34" s="915">
        <v>45370</v>
      </c>
      <c r="L34" s="915">
        <v>45524</v>
      </c>
      <c r="M34" s="912">
        <v>20</v>
      </c>
      <c r="N34" s="912">
        <v>12</v>
      </c>
      <c r="O34" s="912"/>
      <c r="P34" s="941">
        <f t="shared" si="1"/>
        <v>0.6</v>
      </c>
      <c r="Q34" s="960">
        <f t="shared" si="2"/>
        <v>0</v>
      </c>
      <c r="R34" s="776"/>
      <c r="S34" s="776"/>
      <c r="T34" s="776"/>
    </row>
    <row r="35" spans="1:23">
      <c r="A35" s="959">
        <v>31</v>
      </c>
      <c r="B35" s="940" t="s">
        <v>1672</v>
      </c>
      <c r="C35" s="912" t="s">
        <v>7</v>
      </c>
      <c r="D35" s="912" t="s">
        <v>1228</v>
      </c>
      <c r="E35" s="912" t="s">
        <v>326</v>
      </c>
      <c r="F35" s="913" t="s">
        <v>813</v>
      </c>
      <c r="G35" s="912"/>
      <c r="H35" s="914" t="s">
        <v>1251</v>
      </c>
      <c r="I35" s="912"/>
      <c r="J35" s="912"/>
      <c r="K35" s="915">
        <v>45370</v>
      </c>
      <c r="L35" s="915">
        <v>45460</v>
      </c>
      <c r="M35" s="912">
        <v>20</v>
      </c>
      <c r="N35" s="912">
        <v>10</v>
      </c>
      <c r="O35" s="912"/>
      <c r="P35" s="941">
        <f t="shared" si="1"/>
        <v>0.5</v>
      </c>
      <c r="Q35" s="960">
        <f t="shared" si="2"/>
        <v>0</v>
      </c>
      <c r="R35" s="776"/>
      <c r="S35" s="776"/>
      <c r="T35" s="776"/>
    </row>
    <row r="36" spans="1:23">
      <c r="A36" s="959">
        <v>32</v>
      </c>
      <c r="B36" s="940" t="s">
        <v>1672</v>
      </c>
      <c r="C36" s="912" t="s">
        <v>7</v>
      </c>
      <c r="D36" s="912" t="s">
        <v>836</v>
      </c>
      <c r="E36" s="912" t="s">
        <v>326</v>
      </c>
      <c r="F36" s="913" t="s">
        <v>773</v>
      </c>
      <c r="G36" s="912"/>
      <c r="H36" s="914" t="s">
        <v>1253</v>
      </c>
      <c r="I36" s="912"/>
      <c r="J36" s="912"/>
      <c r="K36" s="915">
        <v>45371</v>
      </c>
      <c r="L36" s="915">
        <v>45455</v>
      </c>
      <c r="M36" s="912">
        <v>21</v>
      </c>
      <c r="N36" s="912">
        <v>6</v>
      </c>
      <c r="O36" s="912"/>
      <c r="P36" s="941">
        <f t="shared" si="1"/>
        <v>0.2857142857142857</v>
      </c>
      <c r="Q36" s="960">
        <f t="shared" si="2"/>
        <v>0</v>
      </c>
      <c r="R36" s="776"/>
      <c r="S36" s="776"/>
      <c r="T36" s="776"/>
    </row>
    <row r="37" spans="1:23">
      <c r="A37" s="959">
        <v>33</v>
      </c>
      <c r="B37" s="940" t="s">
        <v>1672</v>
      </c>
      <c r="C37" s="912" t="s">
        <v>50</v>
      </c>
      <c r="D37" s="912" t="s">
        <v>226</v>
      </c>
      <c r="E37" s="912" t="s">
        <v>326</v>
      </c>
      <c r="F37" s="913" t="s">
        <v>1105</v>
      </c>
      <c r="G37" s="912"/>
      <c r="H37" s="914" t="s">
        <v>1252</v>
      </c>
      <c r="I37" s="912"/>
      <c r="J37" s="912"/>
      <c r="K37" s="915">
        <v>45371</v>
      </c>
      <c r="L37" s="915">
        <v>45482</v>
      </c>
      <c r="M37" s="912">
        <v>17</v>
      </c>
      <c r="N37" s="912">
        <v>9</v>
      </c>
      <c r="O37" s="912"/>
      <c r="P37" s="941">
        <f t="shared" ref="P37:P68" si="3">N37/M37</f>
        <v>0.52941176470588236</v>
      </c>
      <c r="Q37" s="960">
        <f t="shared" ref="Q37:Q68" si="4">O37/M37</f>
        <v>0</v>
      </c>
      <c r="R37" s="776"/>
      <c r="S37" s="776"/>
      <c r="T37" s="776"/>
    </row>
    <row r="38" spans="1:23">
      <c r="A38" s="959">
        <v>34</v>
      </c>
      <c r="B38" s="940" t="s">
        <v>1672</v>
      </c>
      <c r="C38" s="912" t="s">
        <v>3</v>
      </c>
      <c r="D38" s="912" t="s">
        <v>194</v>
      </c>
      <c r="E38" s="912" t="s">
        <v>2</v>
      </c>
      <c r="F38" s="913" t="s">
        <v>762</v>
      </c>
      <c r="G38" s="912"/>
      <c r="H38" s="914" t="s">
        <v>1254</v>
      </c>
      <c r="I38" s="912"/>
      <c r="J38" s="912"/>
      <c r="K38" s="915">
        <v>45377</v>
      </c>
      <c r="L38" s="915">
        <v>45534</v>
      </c>
      <c r="M38" s="912">
        <v>35</v>
      </c>
      <c r="N38" s="912">
        <v>30</v>
      </c>
      <c r="O38" s="912"/>
      <c r="P38" s="941">
        <f t="shared" si="3"/>
        <v>0.8571428571428571</v>
      </c>
      <c r="Q38" s="960">
        <f t="shared" si="4"/>
        <v>0</v>
      </c>
      <c r="R38" s="776"/>
      <c r="S38" s="776"/>
      <c r="T38" s="776"/>
    </row>
    <row r="39" spans="1:23">
      <c r="A39" s="959">
        <v>35</v>
      </c>
      <c r="B39" s="940" t="s">
        <v>1672</v>
      </c>
      <c r="C39" s="912" t="s">
        <v>7</v>
      </c>
      <c r="D39" s="912" t="s">
        <v>830</v>
      </c>
      <c r="E39" s="912" t="s">
        <v>326</v>
      </c>
      <c r="F39" s="913"/>
      <c r="G39" s="912"/>
      <c r="H39" s="914" t="s">
        <v>1189</v>
      </c>
      <c r="I39" s="912"/>
      <c r="J39" s="912"/>
      <c r="K39" s="915">
        <v>45377</v>
      </c>
      <c r="L39" s="915">
        <v>45470</v>
      </c>
      <c r="M39" s="912">
        <v>20</v>
      </c>
      <c r="N39" s="912">
        <v>7</v>
      </c>
      <c r="O39" s="912"/>
      <c r="P39" s="941">
        <f t="shared" si="3"/>
        <v>0.35</v>
      </c>
      <c r="Q39" s="960">
        <f t="shared" si="4"/>
        <v>0</v>
      </c>
      <c r="R39" s="776"/>
      <c r="S39" s="776"/>
      <c r="T39" s="776"/>
    </row>
    <row r="40" spans="1:23">
      <c r="A40" s="959">
        <v>36</v>
      </c>
      <c r="B40" s="940" t="s">
        <v>1672</v>
      </c>
      <c r="C40" s="912" t="s">
        <v>7</v>
      </c>
      <c r="D40" s="912" t="s">
        <v>231</v>
      </c>
      <c r="E40" s="912" t="s">
        <v>326</v>
      </c>
      <c r="F40" s="913" t="s">
        <v>773</v>
      </c>
      <c r="G40" s="912"/>
      <c r="H40" s="914" t="s">
        <v>611</v>
      </c>
      <c r="I40" s="912"/>
      <c r="J40" s="912"/>
      <c r="K40" s="915">
        <v>45377</v>
      </c>
      <c r="L40" s="915">
        <v>45482</v>
      </c>
      <c r="M40" s="912">
        <v>12</v>
      </c>
      <c r="N40" s="912">
        <v>6</v>
      </c>
      <c r="O40" s="912"/>
      <c r="P40" s="941">
        <f t="shared" si="3"/>
        <v>0.5</v>
      </c>
      <c r="Q40" s="960">
        <f t="shared" si="4"/>
        <v>0</v>
      </c>
      <c r="R40" s="776"/>
      <c r="S40" s="776"/>
      <c r="T40" s="776"/>
    </row>
    <row r="41" spans="1:23">
      <c r="A41" s="959">
        <v>37</v>
      </c>
      <c r="B41" s="940" t="s">
        <v>1672</v>
      </c>
      <c r="C41" s="912" t="s">
        <v>7</v>
      </c>
      <c r="D41" s="912" t="s">
        <v>228</v>
      </c>
      <c r="E41" s="912" t="s">
        <v>2</v>
      </c>
      <c r="F41" s="913" t="s">
        <v>771</v>
      </c>
      <c r="G41" s="912"/>
      <c r="H41" s="914" t="s">
        <v>1255</v>
      </c>
      <c r="I41" s="912"/>
      <c r="J41" s="912"/>
      <c r="K41" s="915">
        <v>45379</v>
      </c>
      <c r="L41" s="915">
        <v>45567</v>
      </c>
      <c r="M41" s="912">
        <v>20</v>
      </c>
      <c r="N41" s="912">
        <v>20</v>
      </c>
      <c r="O41" s="912"/>
      <c r="P41" s="941">
        <f t="shared" si="3"/>
        <v>1</v>
      </c>
      <c r="Q41" s="960">
        <f t="shared" si="4"/>
        <v>0</v>
      </c>
      <c r="R41" s="776"/>
      <c r="S41" s="776"/>
      <c r="T41" s="776"/>
    </row>
    <row r="42" spans="1:23">
      <c r="A42" s="959">
        <v>38</v>
      </c>
      <c r="B42" s="940" t="s">
        <v>1672</v>
      </c>
      <c r="C42" s="912" t="s">
        <v>7</v>
      </c>
      <c r="D42" s="912" t="s">
        <v>226</v>
      </c>
      <c r="E42" s="912" t="s">
        <v>2</v>
      </c>
      <c r="F42" s="913" t="s">
        <v>786</v>
      </c>
      <c r="G42" s="912"/>
      <c r="H42" s="914" t="s">
        <v>1256</v>
      </c>
      <c r="I42" s="912"/>
      <c r="J42" s="912"/>
      <c r="K42" s="915">
        <v>45379</v>
      </c>
      <c r="L42" s="915">
        <v>45618</v>
      </c>
      <c r="M42" s="912">
        <v>20</v>
      </c>
      <c r="N42" s="912">
        <v>17</v>
      </c>
      <c r="O42" s="912"/>
      <c r="P42" s="941">
        <f t="shared" si="3"/>
        <v>0.85</v>
      </c>
      <c r="Q42" s="960">
        <f t="shared" si="4"/>
        <v>0</v>
      </c>
      <c r="R42" s="776"/>
      <c r="S42" s="776"/>
      <c r="T42" s="776"/>
    </row>
    <row r="43" spans="1:23">
      <c r="A43" s="959">
        <v>39</v>
      </c>
      <c r="B43" s="940" t="s">
        <v>1672</v>
      </c>
      <c r="C43" s="912" t="s">
        <v>3</v>
      </c>
      <c r="D43" s="912" t="s">
        <v>227</v>
      </c>
      <c r="E43" s="912" t="s">
        <v>2</v>
      </c>
      <c r="F43" s="913" t="s">
        <v>762</v>
      </c>
      <c r="G43" s="912"/>
      <c r="H43" s="914" t="s">
        <v>1257</v>
      </c>
      <c r="I43" s="912"/>
      <c r="J43" s="912"/>
      <c r="K43" s="915">
        <v>45380</v>
      </c>
      <c r="L43" s="915">
        <v>45554</v>
      </c>
      <c r="M43" s="912">
        <v>30</v>
      </c>
      <c r="N43" s="912">
        <v>16</v>
      </c>
      <c r="O43" s="912"/>
      <c r="P43" s="941">
        <f t="shared" si="3"/>
        <v>0.53333333333333333</v>
      </c>
      <c r="Q43" s="960">
        <f t="shared" si="4"/>
        <v>0</v>
      </c>
      <c r="R43" s="750">
        <f>SUM(M23:M43)</f>
        <v>455</v>
      </c>
      <c r="S43" s="750">
        <f>SUM(N23:N43)</f>
        <v>283</v>
      </c>
      <c r="T43" s="996">
        <f>S43/R43</f>
        <v>0.62197802197802199</v>
      </c>
      <c r="U43">
        <f>COUNTA(H23:H43)</f>
        <v>21</v>
      </c>
    </row>
    <row r="44" spans="1:23" ht="17.25" thickBot="1">
      <c r="A44" s="961">
        <v>40</v>
      </c>
      <c r="B44" s="962" t="s">
        <v>1672</v>
      </c>
      <c r="C44" s="963" t="s">
        <v>858</v>
      </c>
      <c r="D44" s="963" t="s">
        <v>194</v>
      </c>
      <c r="E44" s="963" t="s">
        <v>326</v>
      </c>
      <c r="F44" s="964" t="s">
        <v>1673</v>
      </c>
      <c r="G44" s="963"/>
      <c r="H44" s="964" t="s">
        <v>1232</v>
      </c>
      <c r="I44" s="963"/>
      <c r="J44" s="963"/>
      <c r="K44" s="966">
        <v>45379</v>
      </c>
      <c r="L44" s="966">
        <v>45498</v>
      </c>
      <c r="M44" s="963">
        <v>20</v>
      </c>
      <c r="N44" s="978">
        <v>9</v>
      </c>
      <c r="O44" s="963"/>
      <c r="P44" s="967">
        <f>N44/M44</f>
        <v>0.45</v>
      </c>
      <c r="Q44" s="968">
        <f>O44/M44</f>
        <v>0</v>
      </c>
      <c r="R44" s="997">
        <f>SUM(M23:M44)</f>
        <v>475</v>
      </c>
      <c r="S44" s="997">
        <f>SUM(N23:N44)</f>
        <v>292</v>
      </c>
      <c r="T44" s="998">
        <f>S44/R44</f>
        <v>0.61473684210526314</v>
      </c>
      <c r="U44">
        <f>COUNTA(H23:H44)</f>
        <v>22</v>
      </c>
    </row>
    <row r="45" spans="1:23">
      <c r="A45" s="950">
        <v>41</v>
      </c>
      <c r="B45" s="951" t="s">
        <v>1674</v>
      </c>
      <c r="C45" s="952" t="s">
        <v>3</v>
      </c>
      <c r="D45" s="952" t="s">
        <v>227</v>
      </c>
      <c r="E45" s="952" t="s">
        <v>2</v>
      </c>
      <c r="F45" s="953" t="s">
        <v>762</v>
      </c>
      <c r="G45" s="952"/>
      <c r="H45" s="954" t="s">
        <v>1268</v>
      </c>
      <c r="I45" s="952"/>
      <c r="J45" s="952"/>
      <c r="K45" s="955">
        <v>45383</v>
      </c>
      <c r="L45" s="955">
        <v>45527</v>
      </c>
      <c r="M45" s="952">
        <v>22</v>
      </c>
      <c r="N45" s="952">
        <v>16</v>
      </c>
      <c r="O45" s="952"/>
      <c r="P45" s="957">
        <f t="shared" si="3"/>
        <v>0.72727272727272729</v>
      </c>
      <c r="Q45" s="958">
        <f t="shared" si="4"/>
        <v>0</v>
      </c>
      <c r="R45" s="776"/>
      <c r="S45" s="776"/>
      <c r="T45" s="776"/>
    </row>
    <row r="46" spans="1:23">
      <c r="A46" s="959">
        <v>42</v>
      </c>
      <c r="B46" s="940" t="s">
        <v>1674</v>
      </c>
      <c r="C46" s="912" t="s">
        <v>7</v>
      </c>
      <c r="D46" s="912" t="s">
        <v>233</v>
      </c>
      <c r="E46" s="912" t="s">
        <v>2</v>
      </c>
      <c r="F46" s="913" t="s">
        <v>773</v>
      </c>
      <c r="G46" s="912"/>
      <c r="H46" s="914" t="s">
        <v>1269</v>
      </c>
      <c r="I46" s="912"/>
      <c r="J46" s="912"/>
      <c r="K46" s="915">
        <v>45391</v>
      </c>
      <c r="L46" s="915">
        <v>45560</v>
      </c>
      <c r="M46" s="912">
        <v>20</v>
      </c>
      <c r="N46" s="912">
        <v>11</v>
      </c>
      <c r="O46" s="912"/>
      <c r="P46" s="941">
        <f t="shared" si="3"/>
        <v>0.55000000000000004</v>
      </c>
      <c r="Q46" s="960">
        <f t="shared" si="4"/>
        <v>0</v>
      </c>
      <c r="R46" s="776"/>
      <c r="S46" s="776"/>
      <c r="T46" s="776"/>
    </row>
    <row r="47" spans="1:23">
      <c r="A47" s="959">
        <v>43</v>
      </c>
      <c r="B47" s="940" t="s">
        <v>1674</v>
      </c>
      <c r="C47" s="912" t="s">
        <v>7</v>
      </c>
      <c r="D47" s="912" t="s">
        <v>769</v>
      </c>
      <c r="E47" s="912" t="s">
        <v>326</v>
      </c>
      <c r="F47" s="913" t="s">
        <v>771</v>
      </c>
      <c r="G47" s="912"/>
      <c r="H47" s="914" t="s">
        <v>854</v>
      </c>
      <c r="I47" s="912"/>
      <c r="J47" s="912"/>
      <c r="K47" s="915">
        <v>45391</v>
      </c>
      <c r="L47" s="915">
        <v>45477</v>
      </c>
      <c r="M47" s="912">
        <v>20</v>
      </c>
      <c r="N47" s="912">
        <v>11</v>
      </c>
      <c r="O47" s="912"/>
      <c r="P47" s="941">
        <f t="shared" si="3"/>
        <v>0.55000000000000004</v>
      </c>
      <c r="Q47" s="960">
        <f t="shared" si="4"/>
        <v>0</v>
      </c>
      <c r="R47" s="776"/>
      <c r="S47" s="776"/>
      <c r="T47" s="776"/>
    </row>
    <row r="48" spans="1:23">
      <c r="A48" s="959">
        <v>44</v>
      </c>
      <c r="B48" s="940" t="s">
        <v>1674</v>
      </c>
      <c r="C48" s="912" t="s">
        <v>7</v>
      </c>
      <c r="D48" s="912" t="s">
        <v>942</v>
      </c>
      <c r="E48" s="912" t="s">
        <v>326</v>
      </c>
      <c r="F48" s="913" t="s">
        <v>1675</v>
      </c>
      <c r="G48" s="912"/>
      <c r="H48" s="914" t="s">
        <v>289</v>
      </c>
      <c r="I48" s="912"/>
      <c r="J48" s="912"/>
      <c r="K48" s="915">
        <v>45391</v>
      </c>
      <c r="L48" s="915">
        <v>45441</v>
      </c>
      <c r="M48" s="912">
        <v>20</v>
      </c>
      <c r="N48" s="912">
        <v>10</v>
      </c>
      <c r="O48" s="912"/>
      <c r="P48" s="941">
        <f t="shared" si="3"/>
        <v>0.5</v>
      </c>
      <c r="Q48" s="960">
        <f t="shared" si="4"/>
        <v>0</v>
      </c>
      <c r="R48" s="776"/>
      <c r="S48" s="776"/>
      <c r="T48" s="776"/>
      <c r="U48" s="735"/>
      <c r="V48" s="735"/>
      <c r="W48" s="735"/>
    </row>
    <row r="49" spans="1:21">
      <c r="A49" s="959">
        <v>45</v>
      </c>
      <c r="B49" s="940" t="s">
        <v>1674</v>
      </c>
      <c r="C49" s="912" t="s">
        <v>7</v>
      </c>
      <c r="D49" s="912" t="s">
        <v>194</v>
      </c>
      <c r="E49" s="912" t="s">
        <v>326</v>
      </c>
      <c r="F49" s="913" t="s">
        <v>773</v>
      </c>
      <c r="G49" s="912"/>
      <c r="H49" s="914" t="s">
        <v>1237</v>
      </c>
      <c r="I49" s="912"/>
      <c r="J49" s="912"/>
      <c r="K49" s="915">
        <v>45392</v>
      </c>
      <c r="L49" s="915">
        <v>45498</v>
      </c>
      <c r="M49" s="912">
        <v>20</v>
      </c>
      <c r="N49" s="912">
        <v>13</v>
      </c>
      <c r="O49" s="912"/>
      <c r="P49" s="941">
        <f t="shared" si="3"/>
        <v>0.65</v>
      </c>
      <c r="Q49" s="960">
        <f t="shared" si="4"/>
        <v>0</v>
      </c>
      <c r="R49" s="776"/>
      <c r="S49" s="776"/>
      <c r="T49" s="776"/>
    </row>
    <row r="50" spans="1:21">
      <c r="A50" s="959">
        <v>46</v>
      </c>
      <c r="B50" s="940" t="s">
        <v>1674</v>
      </c>
      <c r="C50" s="912" t="s">
        <v>47</v>
      </c>
      <c r="D50" s="912" t="s">
        <v>194</v>
      </c>
      <c r="E50" s="912" t="s">
        <v>326</v>
      </c>
      <c r="F50" s="913" t="s">
        <v>763</v>
      </c>
      <c r="G50" s="912"/>
      <c r="H50" s="914" t="s">
        <v>1238</v>
      </c>
      <c r="I50" s="912"/>
      <c r="J50" s="912"/>
      <c r="K50" s="915">
        <v>45398</v>
      </c>
      <c r="L50" s="915">
        <v>45538</v>
      </c>
      <c r="M50" s="912">
        <v>20</v>
      </c>
      <c r="N50" s="912">
        <v>4</v>
      </c>
      <c r="O50" s="912"/>
      <c r="P50" s="941">
        <f t="shared" si="3"/>
        <v>0.2</v>
      </c>
      <c r="Q50" s="960">
        <f t="shared" si="4"/>
        <v>0</v>
      </c>
      <c r="R50" s="776"/>
      <c r="S50" s="776"/>
      <c r="T50" s="776"/>
    </row>
    <row r="51" spans="1:21">
      <c r="A51" s="959">
        <v>47</v>
      </c>
      <c r="B51" s="940" t="s">
        <v>1674</v>
      </c>
      <c r="C51" s="912" t="s">
        <v>47</v>
      </c>
      <c r="D51" s="912" t="s">
        <v>228</v>
      </c>
      <c r="E51" s="912" t="s">
        <v>326</v>
      </c>
      <c r="F51" s="913" t="s">
        <v>763</v>
      </c>
      <c r="G51" s="912"/>
      <c r="H51" s="914" t="s">
        <v>721</v>
      </c>
      <c r="I51" s="912"/>
      <c r="J51" s="912"/>
      <c r="K51" s="915">
        <v>45398</v>
      </c>
      <c r="L51" s="915">
        <v>45588</v>
      </c>
      <c r="M51" s="912">
        <v>13</v>
      </c>
      <c r="N51" s="912">
        <v>12</v>
      </c>
      <c r="O51" s="912"/>
      <c r="P51" s="941">
        <f t="shared" si="3"/>
        <v>0.92307692307692313</v>
      </c>
      <c r="Q51" s="960">
        <f t="shared" si="4"/>
        <v>0</v>
      </c>
      <c r="R51" s="776"/>
      <c r="S51" s="776"/>
      <c r="T51" s="776"/>
    </row>
    <row r="52" spans="1:21">
      <c r="A52" s="959">
        <v>48</v>
      </c>
      <c r="B52" s="940" t="s">
        <v>1674</v>
      </c>
      <c r="C52" s="912" t="s">
        <v>7</v>
      </c>
      <c r="D52" s="912" t="s">
        <v>228</v>
      </c>
      <c r="E52" s="912" t="s">
        <v>2</v>
      </c>
      <c r="F52" s="913" t="s">
        <v>773</v>
      </c>
      <c r="G52" s="912"/>
      <c r="H52" s="914" t="s">
        <v>1239</v>
      </c>
      <c r="I52" s="912"/>
      <c r="J52" s="912"/>
      <c r="K52" s="915">
        <v>45405</v>
      </c>
      <c r="L52" s="915">
        <v>45596</v>
      </c>
      <c r="M52" s="912">
        <v>20</v>
      </c>
      <c r="N52" s="912">
        <v>20</v>
      </c>
      <c r="O52" s="912"/>
      <c r="P52" s="941">
        <f t="shared" si="3"/>
        <v>1</v>
      </c>
      <c r="Q52" s="960">
        <f t="shared" si="4"/>
        <v>0</v>
      </c>
      <c r="R52" s="776"/>
      <c r="S52" s="776"/>
      <c r="T52" s="776"/>
    </row>
    <row r="53" spans="1:21">
      <c r="A53" s="959">
        <v>49</v>
      </c>
      <c r="B53" s="940" t="s">
        <v>1674</v>
      </c>
      <c r="C53" s="912" t="s">
        <v>3</v>
      </c>
      <c r="D53" s="912" t="s">
        <v>228</v>
      </c>
      <c r="E53" s="912" t="s">
        <v>478</v>
      </c>
      <c r="F53" s="913" t="s">
        <v>762</v>
      </c>
      <c r="G53" s="912"/>
      <c r="H53" s="914" t="s">
        <v>1240</v>
      </c>
      <c r="I53" s="912"/>
      <c r="J53" s="912"/>
      <c r="K53" s="915">
        <v>45405</v>
      </c>
      <c r="L53" s="915">
        <v>45567</v>
      </c>
      <c r="M53" s="912">
        <v>20</v>
      </c>
      <c r="N53" s="912">
        <v>15</v>
      </c>
      <c r="O53" s="912"/>
      <c r="P53" s="941">
        <f t="shared" si="3"/>
        <v>0.75</v>
      </c>
      <c r="Q53" s="960">
        <f t="shared" si="4"/>
        <v>0</v>
      </c>
      <c r="R53" s="776"/>
      <c r="S53" s="776"/>
      <c r="T53" s="776"/>
    </row>
    <row r="54" spans="1:21">
      <c r="A54" s="959">
        <v>50</v>
      </c>
      <c r="B54" s="940" t="s">
        <v>1674</v>
      </c>
      <c r="C54" s="912" t="s">
        <v>3</v>
      </c>
      <c r="D54" s="912" t="s">
        <v>194</v>
      </c>
      <c r="E54" s="912" t="s">
        <v>476</v>
      </c>
      <c r="F54" s="913" t="s">
        <v>961</v>
      </c>
      <c r="G54" s="912"/>
      <c r="H54" s="914" t="s">
        <v>1155</v>
      </c>
      <c r="I54" s="912"/>
      <c r="J54" s="912"/>
      <c r="K54" s="915">
        <v>45406</v>
      </c>
      <c r="L54" s="915">
        <v>45590</v>
      </c>
      <c r="M54" s="921">
        <v>21</v>
      </c>
      <c r="N54" s="912">
        <v>20</v>
      </c>
      <c r="O54" s="912"/>
      <c r="P54" s="941">
        <f t="shared" si="3"/>
        <v>0.95238095238095233</v>
      </c>
      <c r="Q54" s="960">
        <f t="shared" si="4"/>
        <v>0</v>
      </c>
      <c r="R54" s="776"/>
      <c r="S54" s="776"/>
      <c r="T54" s="776"/>
    </row>
    <row r="55" spans="1:21">
      <c r="A55" s="959">
        <v>51</v>
      </c>
      <c r="B55" s="940" t="s">
        <v>1674</v>
      </c>
      <c r="C55" s="912" t="s">
        <v>3</v>
      </c>
      <c r="D55" s="912" t="s">
        <v>779</v>
      </c>
      <c r="E55" s="912" t="s">
        <v>326</v>
      </c>
      <c r="F55" s="913" t="s">
        <v>762</v>
      </c>
      <c r="G55" s="912"/>
      <c r="H55" s="914" t="s">
        <v>790</v>
      </c>
      <c r="I55" s="912"/>
      <c r="J55" s="912"/>
      <c r="K55" s="915">
        <v>45406</v>
      </c>
      <c r="L55" s="915">
        <v>45509</v>
      </c>
      <c r="M55" s="912">
        <v>30</v>
      </c>
      <c r="N55" s="912">
        <v>12</v>
      </c>
      <c r="O55" s="912"/>
      <c r="P55" s="941">
        <f t="shared" si="3"/>
        <v>0.4</v>
      </c>
      <c r="Q55" s="960">
        <f t="shared" si="4"/>
        <v>0</v>
      </c>
      <c r="R55" s="776"/>
      <c r="S55" s="776"/>
      <c r="T55" s="776"/>
    </row>
    <row r="56" spans="1:21">
      <c r="A56" s="959">
        <v>52</v>
      </c>
      <c r="B56" s="940" t="s">
        <v>1674</v>
      </c>
      <c r="C56" s="912" t="s">
        <v>3</v>
      </c>
      <c r="D56" s="912" t="s">
        <v>194</v>
      </c>
      <c r="E56" s="912" t="s">
        <v>2</v>
      </c>
      <c r="F56" s="913" t="s">
        <v>762</v>
      </c>
      <c r="G56" s="912"/>
      <c r="H56" s="914" t="s">
        <v>1241</v>
      </c>
      <c r="I56" s="912"/>
      <c r="J56" s="912"/>
      <c r="K56" s="915">
        <v>45407</v>
      </c>
      <c r="L56" s="915">
        <v>45572</v>
      </c>
      <c r="M56" s="912">
        <v>21</v>
      </c>
      <c r="N56" s="912">
        <v>14</v>
      </c>
      <c r="O56" s="912"/>
      <c r="P56" s="941">
        <f t="shared" si="3"/>
        <v>0.66666666666666663</v>
      </c>
      <c r="Q56" s="960">
        <f t="shared" si="4"/>
        <v>0</v>
      </c>
      <c r="R56" s="776"/>
      <c r="S56" s="776"/>
      <c r="T56" s="776"/>
    </row>
    <row r="57" spans="1:21">
      <c r="A57" s="959">
        <v>53</v>
      </c>
      <c r="B57" s="940" t="s">
        <v>1674</v>
      </c>
      <c r="C57" s="912" t="s">
        <v>47</v>
      </c>
      <c r="D57" s="912" t="s">
        <v>830</v>
      </c>
      <c r="E57" s="912" t="s">
        <v>326</v>
      </c>
      <c r="F57" s="913" t="s">
        <v>763</v>
      </c>
      <c r="G57" s="912"/>
      <c r="H57" s="914" t="s">
        <v>1243</v>
      </c>
      <c r="I57" s="912"/>
      <c r="J57" s="912"/>
      <c r="K57" s="915">
        <v>45407</v>
      </c>
      <c r="L57" s="915">
        <v>45644</v>
      </c>
      <c r="M57" s="912">
        <v>13</v>
      </c>
      <c r="N57" s="912">
        <v>12</v>
      </c>
      <c r="O57" s="912"/>
      <c r="P57" s="941">
        <f t="shared" si="3"/>
        <v>0.92307692307692313</v>
      </c>
      <c r="Q57" s="960">
        <f t="shared" si="4"/>
        <v>0</v>
      </c>
      <c r="R57" s="776"/>
      <c r="S57" s="776"/>
      <c r="T57" s="776"/>
    </row>
    <row r="58" spans="1:21">
      <c r="A58" s="959">
        <v>54</v>
      </c>
      <c r="B58" s="940" t="s">
        <v>1674</v>
      </c>
      <c r="C58" s="912" t="s">
        <v>3</v>
      </c>
      <c r="D58" s="912" t="s">
        <v>769</v>
      </c>
      <c r="E58" s="912" t="s">
        <v>326</v>
      </c>
      <c r="F58" s="913" t="s">
        <v>762</v>
      </c>
      <c r="G58" s="912"/>
      <c r="H58" s="914" t="s">
        <v>1242</v>
      </c>
      <c r="I58" s="912"/>
      <c r="J58" s="912"/>
      <c r="K58" s="915">
        <v>45407</v>
      </c>
      <c r="L58" s="915">
        <v>45509</v>
      </c>
      <c r="M58" s="912">
        <v>28</v>
      </c>
      <c r="N58" s="912">
        <v>10</v>
      </c>
      <c r="O58" s="912"/>
      <c r="P58" s="941">
        <f t="shared" si="3"/>
        <v>0.35714285714285715</v>
      </c>
      <c r="Q58" s="960">
        <f t="shared" si="4"/>
        <v>0</v>
      </c>
      <c r="R58" s="776"/>
      <c r="S58" s="776"/>
      <c r="T58" s="776"/>
    </row>
    <row r="59" spans="1:21">
      <c r="A59" s="959">
        <v>55</v>
      </c>
      <c r="B59" s="940" t="s">
        <v>1674</v>
      </c>
      <c r="C59" s="912" t="s">
        <v>47</v>
      </c>
      <c r="D59" s="912" t="s">
        <v>225</v>
      </c>
      <c r="E59" s="912" t="s">
        <v>2</v>
      </c>
      <c r="F59" s="913" t="s">
        <v>763</v>
      </c>
      <c r="G59" s="912"/>
      <c r="H59" s="914" t="s">
        <v>1244</v>
      </c>
      <c r="I59" s="912"/>
      <c r="J59" s="912"/>
      <c r="K59" s="915">
        <v>45411</v>
      </c>
      <c r="L59" s="915">
        <v>45653</v>
      </c>
      <c r="M59" s="912">
        <v>20</v>
      </c>
      <c r="N59" s="930">
        <v>14</v>
      </c>
      <c r="O59" s="912"/>
      <c r="P59" s="941">
        <f t="shared" si="3"/>
        <v>0.7</v>
      </c>
      <c r="Q59" s="960">
        <f t="shared" si="4"/>
        <v>0</v>
      </c>
      <c r="R59" s="750">
        <f>SUM(M45:M59)</f>
        <v>308</v>
      </c>
      <c r="S59" s="750">
        <f>SUM(N45:N59)</f>
        <v>194</v>
      </c>
      <c r="T59" s="996">
        <f>S59/R59</f>
        <v>0.62987012987012991</v>
      </c>
      <c r="U59">
        <f>COUNTA(H45:H59)</f>
        <v>15</v>
      </c>
    </row>
    <row r="60" spans="1:21">
      <c r="A60" s="959">
        <v>56</v>
      </c>
      <c r="B60" s="942" t="s">
        <v>1710</v>
      </c>
      <c r="C60" s="921" t="s">
        <v>1702</v>
      </c>
      <c r="D60" s="921" t="s">
        <v>1704</v>
      </c>
      <c r="E60" s="921" t="s">
        <v>1705</v>
      </c>
      <c r="F60" s="922" t="s">
        <v>1711</v>
      </c>
      <c r="G60" s="921"/>
      <c r="H60" s="924" t="s">
        <v>1703</v>
      </c>
      <c r="I60" s="921"/>
      <c r="J60" s="921"/>
      <c r="K60" s="923">
        <v>45396</v>
      </c>
      <c r="L60" s="923">
        <v>45529</v>
      </c>
      <c r="M60" s="921">
        <v>20</v>
      </c>
      <c r="N60" s="921">
        <v>7</v>
      </c>
      <c r="O60" s="921"/>
      <c r="P60" s="943">
        <f>N60/M60</f>
        <v>0.35</v>
      </c>
      <c r="Q60" s="977">
        <f>O60/M60</f>
        <v>0</v>
      </c>
      <c r="R60" s="776"/>
      <c r="S60" s="776"/>
      <c r="T60" s="776"/>
    </row>
    <row r="61" spans="1:21" ht="17.25" thickBot="1">
      <c r="A61" s="969">
        <v>57</v>
      </c>
      <c r="B61" s="970" t="s">
        <v>1710</v>
      </c>
      <c r="C61" s="971" t="s">
        <v>1702</v>
      </c>
      <c r="D61" s="971" t="s">
        <v>1704</v>
      </c>
      <c r="E61" s="971" t="s">
        <v>1705</v>
      </c>
      <c r="F61" s="972" t="s">
        <v>1709</v>
      </c>
      <c r="G61" s="971"/>
      <c r="H61" s="973" t="s">
        <v>1708</v>
      </c>
      <c r="I61" s="971"/>
      <c r="J61" s="971"/>
      <c r="K61" s="974">
        <v>45412</v>
      </c>
      <c r="L61" s="974">
        <v>45475</v>
      </c>
      <c r="M61" s="971">
        <v>20</v>
      </c>
      <c r="N61" s="971">
        <v>15</v>
      </c>
      <c r="O61" s="971"/>
      <c r="P61" s="975">
        <f t="shared" si="3"/>
        <v>0.75</v>
      </c>
      <c r="Q61" s="976">
        <f t="shared" si="4"/>
        <v>0</v>
      </c>
      <c r="R61" s="997">
        <f>SUM(M45:M61)</f>
        <v>348</v>
      </c>
      <c r="S61" s="997">
        <f>SUM(N45:N61)</f>
        <v>216</v>
      </c>
      <c r="T61" s="998">
        <f>S61/R61</f>
        <v>0.62068965517241381</v>
      </c>
      <c r="U61">
        <f>COUNTA(H45:H61)</f>
        <v>17</v>
      </c>
    </row>
    <row r="62" spans="1:21">
      <c r="A62" s="950">
        <v>58</v>
      </c>
      <c r="B62" s="951" t="s">
        <v>1676</v>
      </c>
      <c r="C62" s="952" t="s">
        <v>7</v>
      </c>
      <c r="D62" s="952" t="s">
        <v>228</v>
      </c>
      <c r="E62" s="952" t="s">
        <v>326</v>
      </c>
      <c r="F62" s="953" t="s">
        <v>813</v>
      </c>
      <c r="G62" s="952"/>
      <c r="H62" s="954" t="s">
        <v>1234</v>
      </c>
      <c r="I62" s="952"/>
      <c r="J62" s="952"/>
      <c r="K62" s="955">
        <v>45419</v>
      </c>
      <c r="L62" s="955">
        <v>45524</v>
      </c>
      <c r="M62" s="952">
        <v>20</v>
      </c>
      <c r="N62" s="952">
        <v>14</v>
      </c>
      <c r="O62" s="952"/>
      <c r="P62" s="957">
        <f t="shared" si="3"/>
        <v>0.7</v>
      </c>
      <c r="Q62" s="958">
        <f t="shared" si="4"/>
        <v>0</v>
      </c>
      <c r="R62" s="776"/>
      <c r="S62" s="776"/>
      <c r="T62" s="776"/>
    </row>
    <row r="63" spans="1:21">
      <c r="A63" s="959">
        <v>59</v>
      </c>
      <c r="B63" s="940" t="s">
        <v>1676</v>
      </c>
      <c r="C63" s="912" t="s">
        <v>47</v>
      </c>
      <c r="D63" s="912" t="s">
        <v>233</v>
      </c>
      <c r="E63" s="912" t="s">
        <v>2</v>
      </c>
      <c r="F63" s="913" t="s">
        <v>763</v>
      </c>
      <c r="G63" s="912"/>
      <c r="H63" s="914" t="s">
        <v>1233</v>
      </c>
      <c r="I63" s="912"/>
      <c r="J63" s="912"/>
      <c r="K63" s="915">
        <v>45419</v>
      </c>
      <c r="L63" s="915">
        <v>45636</v>
      </c>
      <c r="M63" s="912">
        <v>20</v>
      </c>
      <c r="N63" s="912">
        <v>15</v>
      </c>
      <c r="O63" s="912"/>
      <c r="P63" s="941">
        <f t="shared" si="3"/>
        <v>0.75</v>
      </c>
      <c r="Q63" s="960">
        <f t="shared" si="4"/>
        <v>0</v>
      </c>
      <c r="R63" s="776"/>
      <c r="S63" s="776"/>
      <c r="T63" s="776"/>
    </row>
    <row r="64" spans="1:21">
      <c r="A64" s="959">
        <v>60</v>
      </c>
      <c r="B64" s="940" t="s">
        <v>1676</v>
      </c>
      <c r="C64" s="912" t="s">
        <v>50</v>
      </c>
      <c r="D64" s="912" t="s">
        <v>230</v>
      </c>
      <c r="E64" s="912" t="s">
        <v>326</v>
      </c>
      <c r="F64" s="913" t="s">
        <v>1105</v>
      </c>
      <c r="G64" s="912"/>
      <c r="H64" s="913" t="s">
        <v>40</v>
      </c>
      <c r="I64" s="912"/>
      <c r="J64" s="912"/>
      <c r="K64" s="915">
        <v>45419</v>
      </c>
      <c r="L64" s="915">
        <v>45505</v>
      </c>
      <c r="M64" s="912">
        <v>12</v>
      </c>
      <c r="N64" s="912">
        <v>12</v>
      </c>
      <c r="O64" s="912"/>
      <c r="P64" s="941">
        <f t="shared" si="3"/>
        <v>1</v>
      </c>
      <c r="Q64" s="960">
        <f t="shared" si="4"/>
        <v>0</v>
      </c>
      <c r="R64" s="776"/>
      <c r="S64" s="776"/>
      <c r="T64" s="776"/>
    </row>
    <row r="65" spans="1:21" s="750" customFormat="1">
      <c r="A65" s="959">
        <v>61</v>
      </c>
      <c r="B65" s="940" t="s">
        <v>1676</v>
      </c>
      <c r="C65" s="912" t="s">
        <v>7</v>
      </c>
      <c r="D65" s="912" t="s">
        <v>233</v>
      </c>
      <c r="E65" s="912" t="s">
        <v>326</v>
      </c>
      <c r="F65" s="913" t="s">
        <v>786</v>
      </c>
      <c r="G65" s="912"/>
      <c r="H65" s="914" t="s">
        <v>1229</v>
      </c>
      <c r="I65" s="912"/>
      <c r="J65" s="912"/>
      <c r="K65" s="915">
        <v>45421</v>
      </c>
      <c r="L65" s="915">
        <v>45517</v>
      </c>
      <c r="M65" s="912">
        <v>20</v>
      </c>
      <c r="N65" s="912">
        <v>11</v>
      </c>
      <c r="O65" s="912"/>
      <c r="P65" s="941">
        <f t="shared" si="3"/>
        <v>0.55000000000000004</v>
      </c>
      <c r="Q65" s="960">
        <f t="shared" si="4"/>
        <v>0</v>
      </c>
      <c r="R65" s="776"/>
      <c r="S65" s="776"/>
      <c r="T65" s="776"/>
    </row>
    <row r="66" spans="1:21" s="750" customFormat="1">
      <c r="A66" s="959">
        <v>62</v>
      </c>
      <c r="B66" s="940" t="s">
        <v>1676</v>
      </c>
      <c r="C66" s="912" t="s">
        <v>47</v>
      </c>
      <c r="D66" s="912" t="s">
        <v>226</v>
      </c>
      <c r="E66" s="912" t="s">
        <v>326</v>
      </c>
      <c r="F66" s="913" t="s">
        <v>763</v>
      </c>
      <c r="G66" s="912"/>
      <c r="H66" s="914" t="s">
        <v>856</v>
      </c>
      <c r="I66" s="912"/>
      <c r="J66" s="912"/>
      <c r="K66" s="915">
        <v>45425</v>
      </c>
      <c r="L66" s="915">
        <v>45609</v>
      </c>
      <c r="M66" s="912">
        <v>10</v>
      </c>
      <c r="N66" s="912">
        <v>8</v>
      </c>
      <c r="O66" s="912"/>
      <c r="P66" s="941">
        <f t="shared" si="3"/>
        <v>0.8</v>
      </c>
      <c r="Q66" s="960">
        <f t="shared" si="4"/>
        <v>0</v>
      </c>
      <c r="R66" s="776"/>
      <c r="S66" s="776"/>
      <c r="T66" s="776"/>
    </row>
    <row r="67" spans="1:21">
      <c r="A67" s="959">
        <v>63</v>
      </c>
      <c r="B67" s="940" t="s">
        <v>1676</v>
      </c>
      <c r="C67" s="912" t="s">
        <v>3</v>
      </c>
      <c r="D67" s="912" t="s">
        <v>225</v>
      </c>
      <c r="E67" s="912" t="s">
        <v>2</v>
      </c>
      <c r="F67" s="913" t="s">
        <v>762</v>
      </c>
      <c r="G67" s="912"/>
      <c r="H67" s="914" t="s">
        <v>1235</v>
      </c>
      <c r="I67" s="912"/>
      <c r="J67" s="912"/>
      <c r="K67" s="915">
        <v>45428</v>
      </c>
      <c r="L67" s="915">
        <v>45499</v>
      </c>
      <c r="M67" s="912">
        <v>20</v>
      </c>
      <c r="N67" s="912">
        <v>10</v>
      </c>
      <c r="O67" s="912"/>
      <c r="P67" s="941">
        <f t="shared" si="3"/>
        <v>0.5</v>
      </c>
      <c r="Q67" s="960">
        <f t="shared" si="4"/>
        <v>0</v>
      </c>
      <c r="R67" s="776"/>
      <c r="S67" s="776"/>
      <c r="T67" s="776"/>
    </row>
    <row r="68" spans="1:21">
      <c r="A68" s="959">
        <v>64</v>
      </c>
      <c r="B68" s="940" t="s">
        <v>1676</v>
      </c>
      <c r="C68" s="912" t="s">
        <v>7</v>
      </c>
      <c r="D68" s="912" t="s">
        <v>248</v>
      </c>
      <c r="E68" s="912" t="s">
        <v>2</v>
      </c>
      <c r="F68" s="913" t="s">
        <v>771</v>
      </c>
      <c r="G68" s="912"/>
      <c r="H68" s="914" t="s">
        <v>1236</v>
      </c>
      <c r="I68" s="912"/>
      <c r="J68" s="912"/>
      <c r="K68" s="915">
        <v>45432</v>
      </c>
      <c r="L68" s="915">
        <v>45616</v>
      </c>
      <c r="M68" s="912">
        <v>26</v>
      </c>
      <c r="N68" s="912">
        <v>11</v>
      </c>
      <c r="O68" s="912"/>
      <c r="P68" s="941">
        <f t="shared" si="3"/>
        <v>0.42307692307692307</v>
      </c>
      <c r="Q68" s="960">
        <f t="shared" si="4"/>
        <v>0</v>
      </c>
      <c r="R68" s="776"/>
      <c r="S68" s="776"/>
      <c r="T68" s="776"/>
    </row>
    <row r="69" spans="1:21">
      <c r="A69" s="959">
        <v>65</v>
      </c>
      <c r="B69" s="940" t="s">
        <v>1676</v>
      </c>
      <c r="C69" s="912" t="s">
        <v>3</v>
      </c>
      <c r="D69" s="912" t="s">
        <v>226</v>
      </c>
      <c r="E69" s="912" t="s">
        <v>2</v>
      </c>
      <c r="F69" s="913" t="s">
        <v>762</v>
      </c>
      <c r="G69" s="912"/>
      <c r="H69" s="913" t="s">
        <v>1230</v>
      </c>
      <c r="I69" s="912"/>
      <c r="J69" s="912"/>
      <c r="K69" s="915">
        <v>45433</v>
      </c>
      <c r="L69" s="915">
        <v>45603</v>
      </c>
      <c r="M69" s="912">
        <v>30</v>
      </c>
      <c r="N69" s="916">
        <v>29</v>
      </c>
      <c r="O69" s="912"/>
      <c r="P69" s="941">
        <f t="shared" ref="P69:P99" si="5">N69/M69</f>
        <v>0.96666666666666667</v>
      </c>
      <c r="Q69" s="960">
        <f t="shared" ref="Q69:Q99" si="6">O69/M69</f>
        <v>0</v>
      </c>
      <c r="R69" s="776"/>
      <c r="S69" s="776"/>
      <c r="T69" s="776"/>
    </row>
    <row r="70" spans="1:21">
      <c r="A70" s="959">
        <v>66</v>
      </c>
      <c r="B70" s="940" t="s">
        <v>1676</v>
      </c>
      <c r="C70" s="912" t="s">
        <v>47</v>
      </c>
      <c r="D70" s="912" t="s">
        <v>231</v>
      </c>
      <c r="E70" s="912" t="s">
        <v>326</v>
      </c>
      <c r="F70" s="913" t="s">
        <v>763</v>
      </c>
      <c r="G70" s="912"/>
      <c r="H70" s="914" t="s">
        <v>847</v>
      </c>
      <c r="I70" s="912"/>
      <c r="J70" s="912"/>
      <c r="K70" s="915">
        <v>45440</v>
      </c>
      <c r="L70" s="915">
        <v>45624</v>
      </c>
      <c r="M70" s="912">
        <v>17</v>
      </c>
      <c r="N70" s="912">
        <v>10</v>
      </c>
      <c r="O70" s="912"/>
      <c r="P70" s="941">
        <f t="shared" si="5"/>
        <v>0.58823529411764708</v>
      </c>
      <c r="Q70" s="960">
        <f t="shared" si="6"/>
        <v>0</v>
      </c>
      <c r="R70" s="776"/>
      <c r="S70" s="776"/>
      <c r="T70" s="776"/>
    </row>
    <row r="71" spans="1:21">
      <c r="A71" s="959">
        <v>67</v>
      </c>
      <c r="B71" s="940" t="s">
        <v>1676</v>
      </c>
      <c r="C71" s="912" t="s">
        <v>3</v>
      </c>
      <c r="D71" s="912" t="s">
        <v>228</v>
      </c>
      <c r="E71" s="912" t="s">
        <v>478</v>
      </c>
      <c r="F71" s="913" t="s">
        <v>762</v>
      </c>
      <c r="G71" s="912"/>
      <c r="H71" s="914" t="s">
        <v>1677</v>
      </c>
      <c r="I71" s="912"/>
      <c r="J71" s="912"/>
      <c r="K71" s="915">
        <v>45440</v>
      </c>
      <c r="L71" s="915">
        <v>45642</v>
      </c>
      <c r="M71" s="912">
        <v>30</v>
      </c>
      <c r="N71" s="912">
        <v>19</v>
      </c>
      <c r="O71" s="912"/>
      <c r="P71" s="941">
        <f t="shared" si="5"/>
        <v>0.6333333333333333</v>
      </c>
      <c r="Q71" s="960">
        <f t="shared" si="6"/>
        <v>0</v>
      </c>
      <c r="R71" s="776"/>
      <c r="S71" s="776"/>
      <c r="T71" s="776"/>
    </row>
    <row r="72" spans="1:21">
      <c r="A72" s="959">
        <v>68</v>
      </c>
      <c r="B72" s="940" t="s">
        <v>1676</v>
      </c>
      <c r="C72" s="912" t="s">
        <v>3</v>
      </c>
      <c r="D72" s="912" t="s">
        <v>779</v>
      </c>
      <c r="E72" s="912" t="s">
        <v>478</v>
      </c>
      <c r="F72" s="913" t="s">
        <v>927</v>
      </c>
      <c r="G72" s="912"/>
      <c r="H72" s="914" t="s">
        <v>1231</v>
      </c>
      <c r="I72" s="912"/>
      <c r="J72" s="912"/>
      <c r="K72" s="915">
        <v>45441</v>
      </c>
      <c r="L72" s="915">
        <v>45611</v>
      </c>
      <c r="M72" s="912">
        <v>30</v>
      </c>
      <c r="N72" s="912">
        <v>26</v>
      </c>
      <c r="O72" s="912"/>
      <c r="P72" s="941">
        <f t="shared" si="5"/>
        <v>0.8666666666666667</v>
      </c>
      <c r="Q72" s="960">
        <f t="shared" si="6"/>
        <v>0</v>
      </c>
      <c r="R72" s="750">
        <f>SUM(M62:M72)</f>
        <v>235</v>
      </c>
      <c r="S72" s="750">
        <f>SUM(N62:N72)</f>
        <v>165</v>
      </c>
      <c r="T72" s="996">
        <f>S72/R72</f>
        <v>0.7021276595744681</v>
      </c>
      <c r="U72">
        <f>COUNTA(H62:H72)</f>
        <v>11</v>
      </c>
    </row>
    <row r="73" spans="1:21" ht="17.25" thickBot="1">
      <c r="A73" s="961">
        <v>69</v>
      </c>
      <c r="B73" s="962" t="s">
        <v>1716</v>
      </c>
      <c r="C73" s="963" t="s">
        <v>1702</v>
      </c>
      <c r="D73" s="963" t="s">
        <v>1704</v>
      </c>
      <c r="E73" s="963" t="s">
        <v>1705</v>
      </c>
      <c r="F73" s="964" t="s">
        <v>1711</v>
      </c>
      <c r="G73" s="963"/>
      <c r="H73" s="965" t="s">
        <v>1232</v>
      </c>
      <c r="I73" s="963"/>
      <c r="J73" s="963"/>
      <c r="K73" s="966">
        <v>45440</v>
      </c>
      <c r="L73" s="966">
        <v>45531</v>
      </c>
      <c r="M73" s="963">
        <v>20</v>
      </c>
      <c r="N73" s="963">
        <v>5</v>
      </c>
      <c r="O73" s="963"/>
      <c r="P73" s="967">
        <f>N73/M73</f>
        <v>0.25</v>
      </c>
      <c r="Q73" s="968">
        <f>O73/M73</f>
        <v>0</v>
      </c>
      <c r="R73" s="997">
        <f>SUM(M62:M73)</f>
        <v>255</v>
      </c>
      <c r="S73" s="997">
        <f>SUM(N62:N73)</f>
        <v>170</v>
      </c>
      <c r="T73" s="998">
        <f>S73/R73</f>
        <v>0.66666666666666663</v>
      </c>
      <c r="U73">
        <f>COUNTA(H62:H73)</f>
        <v>12</v>
      </c>
    </row>
    <row r="74" spans="1:21">
      <c r="A74" s="950">
        <v>70</v>
      </c>
      <c r="B74" s="951" t="s">
        <v>1678</v>
      </c>
      <c r="C74" s="952" t="s">
        <v>7</v>
      </c>
      <c r="D74" s="952" t="s">
        <v>1205</v>
      </c>
      <c r="E74" s="952" t="s">
        <v>326</v>
      </c>
      <c r="F74" s="953" t="s">
        <v>773</v>
      </c>
      <c r="G74" s="952"/>
      <c r="H74" s="954" t="s">
        <v>1603</v>
      </c>
      <c r="I74" s="952"/>
      <c r="J74" s="952"/>
      <c r="K74" s="955">
        <v>45447</v>
      </c>
      <c r="L74" s="955">
        <v>45546</v>
      </c>
      <c r="M74" s="952">
        <v>23</v>
      </c>
      <c r="N74" s="952">
        <v>10</v>
      </c>
      <c r="O74" s="952"/>
      <c r="P74" s="957">
        <f t="shared" si="5"/>
        <v>0.43478260869565216</v>
      </c>
      <c r="Q74" s="958">
        <f t="shared" si="6"/>
        <v>0</v>
      </c>
      <c r="R74" s="776"/>
      <c r="S74" s="776"/>
      <c r="T74" s="776"/>
    </row>
    <row r="75" spans="1:21">
      <c r="A75" s="959">
        <v>71</v>
      </c>
      <c r="B75" s="940" t="s">
        <v>1678</v>
      </c>
      <c r="C75" s="912" t="s">
        <v>47</v>
      </c>
      <c r="D75" s="912" t="s">
        <v>769</v>
      </c>
      <c r="E75" s="912" t="s">
        <v>326</v>
      </c>
      <c r="F75" s="913" t="s">
        <v>763</v>
      </c>
      <c r="G75" s="912"/>
      <c r="H75" s="914" t="s">
        <v>1604</v>
      </c>
      <c r="I75" s="912"/>
      <c r="J75" s="912"/>
      <c r="K75" s="915">
        <v>45447</v>
      </c>
      <c r="L75" s="915">
        <v>45632</v>
      </c>
      <c r="M75" s="912">
        <v>20</v>
      </c>
      <c r="N75" s="912">
        <v>6</v>
      </c>
      <c r="O75" s="912"/>
      <c r="P75" s="941">
        <f t="shared" si="5"/>
        <v>0.3</v>
      </c>
      <c r="Q75" s="960">
        <f t="shared" si="6"/>
        <v>0</v>
      </c>
      <c r="R75" s="776"/>
      <c r="S75" s="776"/>
      <c r="T75" s="776"/>
    </row>
    <row r="76" spans="1:21">
      <c r="A76" s="959">
        <v>72</v>
      </c>
      <c r="B76" s="940" t="s">
        <v>1678</v>
      </c>
      <c r="C76" s="912" t="s">
        <v>3</v>
      </c>
      <c r="D76" s="912" t="s">
        <v>194</v>
      </c>
      <c r="E76" s="912" t="s">
        <v>2</v>
      </c>
      <c r="F76" s="913" t="s">
        <v>762</v>
      </c>
      <c r="G76" s="912"/>
      <c r="H76" s="913" t="s">
        <v>1605</v>
      </c>
      <c r="I76" s="912"/>
      <c r="J76" s="912"/>
      <c r="K76" s="915">
        <v>45450</v>
      </c>
      <c r="L76" s="915">
        <v>45609</v>
      </c>
      <c r="M76" s="921">
        <v>21</v>
      </c>
      <c r="N76" s="912">
        <v>13</v>
      </c>
      <c r="O76" s="912"/>
      <c r="P76" s="941">
        <f t="shared" si="5"/>
        <v>0.61904761904761907</v>
      </c>
      <c r="Q76" s="960">
        <f t="shared" si="6"/>
        <v>0</v>
      </c>
      <c r="R76" s="776"/>
      <c r="S76" s="776"/>
      <c r="T76" s="776"/>
    </row>
    <row r="77" spans="1:21" s="750" customFormat="1">
      <c r="A77" s="959">
        <v>73</v>
      </c>
      <c r="B77" s="940" t="s">
        <v>1678</v>
      </c>
      <c r="C77" s="912" t="s">
        <v>7</v>
      </c>
      <c r="D77" s="912" t="s">
        <v>226</v>
      </c>
      <c r="E77" s="912" t="s">
        <v>2</v>
      </c>
      <c r="F77" s="913" t="s">
        <v>773</v>
      </c>
      <c r="G77" s="912"/>
      <c r="H77" s="914" t="s">
        <v>1607</v>
      </c>
      <c r="I77" s="912"/>
      <c r="J77" s="912"/>
      <c r="K77" s="915">
        <v>45453</v>
      </c>
      <c r="L77" s="915">
        <v>45642</v>
      </c>
      <c r="M77" s="912">
        <v>20</v>
      </c>
      <c r="N77" s="912">
        <v>8</v>
      </c>
      <c r="O77" s="912"/>
      <c r="P77" s="941">
        <f t="shared" si="5"/>
        <v>0.4</v>
      </c>
      <c r="Q77" s="960">
        <f t="shared" si="6"/>
        <v>0</v>
      </c>
      <c r="R77" s="776"/>
      <c r="S77" s="776"/>
      <c r="T77" s="776"/>
    </row>
    <row r="78" spans="1:21">
      <c r="A78" s="959">
        <v>74</v>
      </c>
      <c r="B78" s="940" t="s">
        <v>1678</v>
      </c>
      <c r="C78" s="912" t="s">
        <v>7</v>
      </c>
      <c r="D78" s="912" t="s">
        <v>230</v>
      </c>
      <c r="E78" s="912" t="s">
        <v>326</v>
      </c>
      <c r="F78" s="913" t="s">
        <v>768</v>
      </c>
      <c r="G78" s="912"/>
      <c r="H78" s="914" t="s">
        <v>1606</v>
      </c>
      <c r="I78" s="912"/>
      <c r="J78" s="912"/>
      <c r="K78" s="915">
        <v>45453</v>
      </c>
      <c r="L78" s="915">
        <v>45561</v>
      </c>
      <c r="M78" s="912">
        <v>14</v>
      </c>
      <c r="N78" s="912">
        <v>10</v>
      </c>
      <c r="O78" s="912"/>
      <c r="P78" s="941">
        <f t="shared" si="5"/>
        <v>0.7142857142857143</v>
      </c>
      <c r="Q78" s="960">
        <f t="shared" si="6"/>
        <v>0</v>
      </c>
      <c r="R78" s="776"/>
      <c r="S78" s="776"/>
      <c r="T78" s="776"/>
    </row>
    <row r="79" spans="1:21">
      <c r="A79" s="959">
        <v>75</v>
      </c>
      <c r="B79" s="940" t="s">
        <v>1678</v>
      </c>
      <c r="C79" s="912" t="s">
        <v>47</v>
      </c>
      <c r="D79" s="912" t="s">
        <v>194</v>
      </c>
      <c r="E79" s="912" t="s">
        <v>326</v>
      </c>
      <c r="F79" s="913" t="s">
        <v>763</v>
      </c>
      <c r="G79" s="912"/>
      <c r="H79" s="914" t="s">
        <v>659</v>
      </c>
      <c r="I79" s="912"/>
      <c r="J79" s="912"/>
      <c r="K79" s="915">
        <v>45453</v>
      </c>
      <c r="L79" s="915">
        <v>45594</v>
      </c>
      <c r="M79" s="912">
        <v>20</v>
      </c>
      <c r="N79" s="912">
        <v>11</v>
      </c>
      <c r="O79" s="912"/>
      <c r="P79" s="941">
        <f t="shared" si="5"/>
        <v>0.55000000000000004</v>
      </c>
      <c r="Q79" s="960">
        <f t="shared" si="6"/>
        <v>0</v>
      </c>
      <c r="R79" s="776"/>
      <c r="S79" s="776"/>
      <c r="T79" s="776"/>
    </row>
    <row r="80" spans="1:21">
      <c r="A80" s="959">
        <v>76</v>
      </c>
      <c r="B80" s="940" t="s">
        <v>1678</v>
      </c>
      <c r="C80" s="912" t="s">
        <v>7</v>
      </c>
      <c r="D80" s="912" t="s">
        <v>225</v>
      </c>
      <c r="E80" s="912" t="s">
        <v>326</v>
      </c>
      <c r="F80" s="913" t="s">
        <v>768</v>
      </c>
      <c r="G80" s="912"/>
      <c r="H80" s="914" t="s">
        <v>1608</v>
      </c>
      <c r="I80" s="912"/>
      <c r="J80" s="912"/>
      <c r="K80" s="915">
        <v>45460</v>
      </c>
      <c r="L80" s="915">
        <v>45567</v>
      </c>
      <c r="M80" s="912">
        <v>20</v>
      </c>
      <c r="N80" s="912">
        <v>11</v>
      </c>
      <c r="O80" s="912"/>
      <c r="P80" s="941">
        <f t="shared" si="5"/>
        <v>0.55000000000000004</v>
      </c>
      <c r="Q80" s="960">
        <f t="shared" si="6"/>
        <v>0</v>
      </c>
      <c r="R80" s="776"/>
      <c r="S80" s="776"/>
      <c r="T80" s="776"/>
    </row>
    <row r="81" spans="1:21">
      <c r="A81" s="959">
        <v>77</v>
      </c>
      <c r="B81" s="940" t="s">
        <v>1678</v>
      </c>
      <c r="C81" s="912" t="s">
        <v>3</v>
      </c>
      <c r="D81" s="912" t="s">
        <v>194</v>
      </c>
      <c r="E81" s="912" t="s">
        <v>2</v>
      </c>
      <c r="F81" s="913" t="s">
        <v>762</v>
      </c>
      <c r="G81" s="912"/>
      <c r="H81" s="913" t="s">
        <v>1609</v>
      </c>
      <c r="I81" s="912"/>
      <c r="J81" s="912"/>
      <c r="K81" s="915">
        <v>45468</v>
      </c>
      <c r="L81" s="915">
        <v>45630</v>
      </c>
      <c r="M81" s="912">
        <v>35</v>
      </c>
      <c r="N81" s="930">
        <v>20</v>
      </c>
      <c r="O81" s="912"/>
      <c r="P81" s="941">
        <f t="shared" si="5"/>
        <v>0.5714285714285714</v>
      </c>
      <c r="Q81" s="960">
        <f t="shared" si="6"/>
        <v>0</v>
      </c>
      <c r="R81" s="750">
        <f>SUM(M74:M81)</f>
        <v>173</v>
      </c>
      <c r="S81" s="750">
        <f>SUM(N74:N81)</f>
        <v>89</v>
      </c>
      <c r="T81" s="996">
        <f>S81/R81</f>
        <v>0.51445086705202314</v>
      </c>
      <c r="U81">
        <f>COUNTA(H74:H81)</f>
        <v>8</v>
      </c>
    </row>
    <row r="82" spans="1:21" ht="17.25" thickBot="1">
      <c r="A82" s="969">
        <v>78</v>
      </c>
      <c r="B82" s="970" t="s">
        <v>1717</v>
      </c>
      <c r="C82" s="971" t="s">
        <v>1702</v>
      </c>
      <c r="D82" s="971" t="s">
        <v>1704</v>
      </c>
      <c r="E82" s="971" t="s">
        <v>1705</v>
      </c>
      <c r="F82" s="972" t="s">
        <v>1709</v>
      </c>
      <c r="G82" s="971">
        <v>3</v>
      </c>
      <c r="H82" s="972" t="s">
        <v>1708</v>
      </c>
      <c r="I82" s="971"/>
      <c r="J82" s="971"/>
      <c r="K82" s="974">
        <v>45468</v>
      </c>
      <c r="L82" s="974">
        <v>45527</v>
      </c>
      <c r="M82" s="971">
        <v>20</v>
      </c>
      <c r="N82" s="971">
        <v>8</v>
      </c>
      <c r="O82" s="971"/>
      <c r="P82" s="975">
        <f t="shared" si="5"/>
        <v>0.4</v>
      </c>
      <c r="Q82" s="976">
        <f t="shared" si="6"/>
        <v>0</v>
      </c>
      <c r="R82" s="997">
        <f>SUM(M74:M82)</f>
        <v>193</v>
      </c>
      <c r="S82" s="997">
        <f>SUM(N74:N82)</f>
        <v>97</v>
      </c>
      <c r="T82" s="998">
        <f>S82/R82</f>
        <v>0.50259067357512954</v>
      </c>
      <c r="U82">
        <f>COUNTA(H74:H82)</f>
        <v>9</v>
      </c>
    </row>
    <row r="83" spans="1:21">
      <c r="A83" s="950">
        <v>79</v>
      </c>
      <c r="B83" s="951" t="s">
        <v>1679</v>
      </c>
      <c r="C83" s="952" t="s">
        <v>7</v>
      </c>
      <c r="D83" s="952" t="s">
        <v>226</v>
      </c>
      <c r="E83" s="952" t="s">
        <v>2</v>
      </c>
      <c r="F83" s="953" t="s">
        <v>762</v>
      </c>
      <c r="G83" s="952"/>
      <c r="H83" s="979" t="s">
        <v>1610</v>
      </c>
      <c r="I83" s="952"/>
      <c r="J83" s="952"/>
      <c r="K83" s="955">
        <v>45474</v>
      </c>
      <c r="L83" s="955">
        <v>45657</v>
      </c>
      <c r="M83" s="952">
        <v>20</v>
      </c>
      <c r="N83" s="952">
        <v>12</v>
      </c>
      <c r="O83" s="952"/>
      <c r="P83" s="957">
        <f t="shared" si="5"/>
        <v>0.6</v>
      </c>
      <c r="Q83" s="958">
        <f t="shared" si="6"/>
        <v>0</v>
      </c>
    </row>
    <row r="84" spans="1:21">
      <c r="A84" s="959">
        <v>80</v>
      </c>
      <c r="B84" s="940" t="s">
        <v>1679</v>
      </c>
      <c r="C84" s="912" t="s">
        <v>47</v>
      </c>
      <c r="D84" s="912" t="s">
        <v>230</v>
      </c>
      <c r="E84" s="912" t="s">
        <v>326</v>
      </c>
      <c r="F84" s="913" t="s">
        <v>763</v>
      </c>
      <c r="G84" s="912"/>
      <c r="H84" s="913" t="s">
        <v>1172</v>
      </c>
      <c r="I84" s="912"/>
      <c r="J84" s="912"/>
      <c r="K84" s="915">
        <v>45475</v>
      </c>
      <c r="L84" s="915">
        <v>45680</v>
      </c>
      <c r="M84" s="912">
        <v>21</v>
      </c>
      <c r="N84" s="916">
        <v>12</v>
      </c>
      <c r="O84" s="912"/>
      <c r="P84" s="941">
        <f t="shared" si="5"/>
        <v>0.5714285714285714</v>
      </c>
      <c r="Q84" s="960">
        <f t="shared" si="6"/>
        <v>0</v>
      </c>
    </row>
    <row r="85" spans="1:21">
      <c r="A85" s="959">
        <v>81</v>
      </c>
      <c r="B85" s="940" t="s">
        <v>1679</v>
      </c>
      <c r="C85" s="912" t="s">
        <v>7</v>
      </c>
      <c r="D85" s="912" t="s">
        <v>235</v>
      </c>
      <c r="E85" s="912" t="s">
        <v>2</v>
      </c>
      <c r="F85" s="913" t="s">
        <v>771</v>
      </c>
      <c r="G85" s="912"/>
      <c r="H85" s="917" t="s">
        <v>1611</v>
      </c>
      <c r="I85" s="912"/>
      <c r="J85" s="912"/>
      <c r="K85" s="915">
        <v>45476</v>
      </c>
      <c r="L85" s="915">
        <v>45628</v>
      </c>
      <c r="M85" s="912">
        <v>20</v>
      </c>
      <c r="N85" s="916">
        <v>15</v>
      </c>
      <c r="O85" s="912"/>
      <c r="P85" s="941">
        <f t="shared" si="5"/>
        <v>0.75</v>
      </c>
      <c r="Q85" s="960">
        <f t="shared" si="6"/>
        <v>0</v>
      </c>
    </row>
    <row r="86" spans="1:21">
      <c r="A86" s="959">
        <v>82</v>
      </c>
      <c r="B86" s="940" t="s">
        <v>1679</v>
      </c>
      <c r="C86" s="912" t="s">
        <v>3</v>
      </c>
      <c r="D86" s="912" t="s">
        <v>194</v>
      </c>
      <c r="E86" s="912" t="s">
        <v>2</v>
      </c>
      <c r="F86" s="913" t="s">
        <v>762</v>
      </c>
      <c r="G86" s="916"/>
      <c r="H86" s="917" t="s">
        <v>1612</v>
      </c>
      <c r="I86" s="916"/>
      <c r="J86" s="916"/>
      <c r="K86" s="915">
        <v>45481</v>
      </c>
      <c r="L86" s="915">
        <v>45637</v>
      </c>
      <c r="M86" s="912">
        <v>35</v>
      </c>
      <c r="N86" s="912">
        <v>16</v>
      </c>
      <c r="O86" s="916"/>
      <c r="P86" s="941">
        <f t="shared" si="5"/>
        <v>0.45714285714285713</v>
      </c>
      <c r="Q86" s="960">
        <f t="shared" si="6"/>
        <v>0</v>
      </c>
    </row>
    <row r="87" spans="1:21">
      <c r="A87" s="959">
        <v>83</v>
      </c>
      <c r="B87" s="940" t="s">
        <v>1679</v>
      </c>
      <c r="C87" s="916" t="s">
        <v>3</v>
      </c>
      <c r="D87" s="916" t="s">
        <v>226</v>
      </c>
      <c r="E87" s="916" t="s">
        <v>478</v>
      </c>
      <c r="F87" s="913" t="s">
        <v>762</v>
      </c>
      <c r="G87" s="912"/>
      <c r="H87" s="918" t="s">
        <v>1613</v>
      </c>
      <c r="I87" s="912"/>
      <c r="J87" s="912"/>
      <c r="K87" s="919">
        <v>45482</v>
      </c>
      <c r="L87" s="919">
        <v>45617</v>
      </c>
      <c r="M87" s="916">
        <v>30</v>
      </c>
      <c r="N87" s="916">
        <v>26</v>
      </c>
      <c r="O87" s="912"/>
      <c r="P87" s="941">
        <f t="shared" si="5"/>
        <v>0.8666666666666667</v>
      </c>
      <c r="Q87" s="960">
        <f t="shared" si="6"/>
        <v>0</v>
      </c>
    </row>
    <row r="88" spans="1:21">
      <c r="A88" s="959">
        <v>84</v>
      </c>
      <c r="B88" s="940" t="s">
        <v>1679</v>
      </c>
      <c r="C88" s="912" t="s">
        <v>47</v>
      </c>
      <c r="D88" s="912" t="s">
        <v>836</v>
      </c>
      <c r="E88" s="912" t="s">
        <v>326</v>
      </c>
      <c r="F88" s="913" t="s">
        <v>763</v>
      </c>
      <c r="G88" s="912"/>
      <c r="H88" s="913" t="s">
        <v>1139</v>
      </c>
      <c r="I88" s="912"/>
      <c r="J88" s="912"/>
      <c r="K88" s="915">
        <v>45484</v>
      </c>
      <c r="L88" s="915">
        <v>45595</v>
      </c>
      <c r="M88" s="912">
        <v>20</v>
      </c>
      <c r="N88" s="916">
        <v>10</v>
      </c>
      <c r="O88" s="912"/>
      <c r="P88" s="941">
        <f t="shared" si="5"/>
        <v>0.5</v>
      </c>
      <c r="Q88" s="960">
        <f t="shared" si="6"/>
        <v>0</v>
      </c>
    </row>
    <row r="89" spans="1:21">
      <c r="A89" s="959">
        <v>85</v>
      </c>
      <c r="B89" s="940" t="s">
        <v>1679</v>
      </c>
      <c r="C89" s="912" t="s">
        <v>3</v>
      </c>
      <c r="D89" s="912" t="s">
        <v>227</v>
      </c>
      <c r="E89" s="912" t="s">
        <v>478</v>
      </c>
      <c r="F89" s="913" t="s">
        <v>1614</v>
      </c>
      <c r="G89" s="912"/>
      <c r="H89" s="913" t="s">
        <v>1615</v>
      </c>
      <c r="I89" s="912"/>
      <c r="J89" s="912"/>
      <c r="K89" s="915">
        <v>45484</v>
      </c>
      <c r="L89" s="915">
        <v>45681</v>
      </c>
      <c r="M89" s="912">
        <v>30</v>
      </c>
      <c r="N89" s="912">
        <v>14</v>
      </c>
      <c r="O89" s="912"/>
      <c r="P89" s="941">
        <f t="shared" si="5"/>
        <v>0.46666666666666667</v>
      </c>
      <c r="Q89" s="960">
        <f t="shared" si="6"/>
        <v>0</v>
      </c>
    </row>
    <row r="90" spans="1:21">
      <c r="A90" s="959">
        <v>86</v>
      </c>
      <c r="B90" s="940" t="s">
        <v>1679</v>
      </c>
      <c r="C90" s="912" t="s">
        <v>7</v>
      </c>
      <c r="D90" s="912" t="s">
        <v>228</v>
      </c>
      <c r="E90" s="912" t="s">
        <v>2</v>
      </c>
      <c r="F90" s="913" t="s">
        <v>762</v>
      </c>
      <c r="G90" s="912"/>
      <c r="H90" s="914" t="s">
        <v>1616</v>
      </c>
      <c r="I90" s="912"/>
      <c r="J90" s="912"/>
      <c r="K90" s="915">
        <v>45489</v>
      </c>
      <c r="L90" s="915">
        <v>45679</v>
      </c>
      <c r="M90" s="912">
        <v>20</v>
      </c>
      <c r="N90" s="912">
        <v>17</v>
      </c>
      <c r="O90" s="912"/>
      <c r="P90" s="941">
        <f t="shared" si="5"/>
        <v>0.85</v>
      </c>
      <c r="Q90" s="960">
        <f t="shared" si="6"/>
        <v>0</v>
      </c>
    </row>
    <row r="91" spans="1:21">
      <c r="A91" s="959">
        <v>87</v>
      </c>
      <c r="B91" s="940" t="s">
        <v>1679</v>
      </c>
      <c r="C91" s="912" t="s">
        <v>47</v>
      </c>
      <c r="D91" s="912" t="s">
        <v>227</v>
      </c>
      <c r="E91" s="912" t="s">
        <v>326</v>
      </c>
      <c r="F91" s="913" t="s">
        <v>763</v>
      </c>
      <c r="G91" s="912"/>
      <c r="H91" s="914" t="s">
        <v>1617</v>
      </c>
      <c r="I91" s="912"/>
      <c r="J91" s="912"/>
      <c r="K91" s="915">
        <v>45490</v>
      </c>
      <c r="L91" s="915">
        <v>45758</v>
      </c>
      <c r="M91" s="912">
        <v>22</v>
      </c>
      <c r="N91" s="912">
        <v>10</v>
      </c>
      <c r="O91" s="912"/>
      <c r="P91" s="941">
        <f t="shared" si="5"/>
        <v>0.45454545454545453</v>
      </c>
      <c r="Q91" s="960">
        <f t="shared" si="6"/>
        <v>0</v>
      </c>
    </row>
    <row r="92" spans="1:21">
      <c r="A92" s="959">
        <v>88</v>
      </c>
      <c r="B92" s="940" t="s">
        <v>1679</v>
      </c>
      <c r="C92" s="912" t="s">
        <v>3</v>
      </c>
      <c r="D92" s="912" t="s">
        <v>194</v>
      </c>
      <c r="E92" s="912" t="s">
        <v>807</v>
      </c>
      <c r="F92" s="913" t="s">
        <v>927</v>
      </c>
      <c r="G92" s="912"/>
      <c r="H92" s="917" t="s">
        <v>928</v>
      </c>
      <c r="I92" s="912"/>
      <c r="J92" s="912"/>
      <c r="K92" s="915">
        <v>45495</v>
      </c>
      <c r="L92" s="915">
        <v>45642</v>
      </c>
      <c r="M92" s="912">
        <v>21</v>
      </c>
      <c r="N92" s="912">
        <v>21</v>
      </c>
      <c r="O92" s="912"/>
      <c r="P92" s="941">
        <f t="shared" si="5"/>
        <v>1</v>
      </c>
      <c r="Q92" s="960">
        <f t="shared" si="6"/>
        <v>0</v>
      </c>
    </row>
    <row r="93" spans="1:21">
      <c r="A93" s="959">
        <v>89</v>
      </c>
      <c r="B93" s="940" t="s">
        <v>1679</v>
      </c>
      <c r="C93" s="912" t="s">
        <v>3</v>
      </c>
      <c r="D93" s="912" t="s">
        <v>194</v>
      </c>
      <c r="E93" s="912" t="s">
        <v>2</v>
      </c>
      <c r="F93" s="913" t="s">
        <v>762</v>
      </c>
      <c r="G93" s="912"/>
      <c r="H93" s="917" t="s">
        <v>1618</v>
      </c>
      <c r="I93" s="912"/>
      <c r="J93" s="912"/>
      <c r="K93" s="915">
        <v>45496</v>
      </c>
      <c r="L93" s="915">
        <v>45649</v>
      </c>
      <c r="M93" s="912">
        <v>35</v>
      </c>
      <c r="N93" s="912">
        <v>9</v>
      </c>
      <c r="O93" s="912"/>
      <c r="P93" s="941">
        <f t="shared" si="5"/>
        <v>0.25714285714285712</v>
      </c>
      <c r="Q93" s="960">
        <f t="shared" si="6"/>
        <v>0</v>
      </c>
    </row>
    <row r="94" spans="1:21">
      <c r="A94" s="959">
        <v>90</v>
      </c>
      <c r="B94" s="940" t="s">
        <v>1679</v>
      </c>
      <c r="C94" s="912" t="s">
        <v>3</v>
      </c>
      <c r="D94" s="912" t="s">
        <v>226</v>
      </c>
      <c r="E94" s="912" t="s">
        <v>478</v>
      </c>
      <c r="F94" s="913" t="s">
        <v>762</v>
      </c>
      <c r="G94" s="912"/>
      <c r="H94" s="917" t="s">
        <v>1619</v>
      </c>
      <c r="I94" s="912"/>
      <c r="J94" s="912"/>
      <c r="K94" s="915">
        <v>45497</v>
      </c>
      <c r="L94" s="915">
        <v>45681</v>
      </c>
      <c r="M94" s="912">
        <v>20</v>
      </c>
      <c r="N94" s="912">
        <v>18</v>
      </c>
      <c r="O94" s="912"/>
      <c r="P94" s="941">
        <f t="shared" si="5"/>
        <v>0.9</v>
      </c>
      <c r="Q94" s="960">
        <f t="shared" si="6"/>
        <v>0</v>
      </c>
    </row>
    <row r="95" spans="1:21">
      <c r="A95" s="959">
        <v>91</v>
      </c>
      <c r="B95" s="940" t="s">
        <v>1679</v>
      </c>
      <c r="C95" s="912" t="s">
        <v>7</v>
      </c>
      <c r="D95" s="912" t="s">
        <v>228</v>
      </c>
      <c r="E95" s="912" t="s">
        <v>2</v>
      </c>
      <c r="F95" s="913" t="s">
        <v>762</v>
      </c>
      <c r="G95" s="912"/>
      <c r="H95" s="914" t="s">
        <v>1620</v>
      </c>
      <c r="I95" s="912"/>
      <c r="J95" s="912"/>
      <c r="K95" s="915">
        <v>45498</v>
      </c>
      <c r="L95" s="915">
        <v>45695</v>
      </c>
      <c r="M95" s="912">
        <v>20</v>
      </c>
      <c r="N95" s="912">
        <v>14</v>
      </c>
      <c r="O95" s="912"/>
      <c r="P95" s="941">
        <f t="shared" si="5"/>
        <v>0.7</v>
      </c>
      <c r="Q95" s="960">
        <f t="shared" si="6"/>
        <v>0</v>
      </c>
    </row>
    <row r="96" spans="1:21">
      <c r="A96" s="959">
        <v>92</v>
      </c>
      <c r="B96" s="940" t="s">
        <v>1679</v>
      </c>
      <c r="C96" s="912" t="s">
        <v>3</v>
      </c>
      <c r="D96" s="912" t="s">
        <v>194</v>
      </c>
      <c r="E96" s="912" t="s">
        <v>2</v>
      </c>
      <c r="F96" s="913" t="s">
        <v>762</v>
      </c>
      <c r="G96" s="912"/>
      <c r="H96" s="917" t="s">
        <v>1621</v>
      </c>
      <c r="I96" s="912"/>
      <c r="J96" s="912"/>
      <c r="K96" s="915">
        <v>45502</v>
      </c>
      <c r="L96" s="915">
        <v>45650</v>
      </c>
      <c r="M96" s="912">
        <v>35</v>
      </c>
      <c r="N96" s="912">
        <v>8</v>
      </c>
      <c r="O96" s="912"/>
      <c r="P96" s="941">
        <f t="shared" si="5"/>
        <v>0.22857142857142856</v>
      </c>
      <c r="Q96" s="960">
        <f t="shared" si="6"/>
        <v>0</v>
      </c>
    </row>
    <row r="97" spans="1:21">
      <c r="A97" s="959">
        <v>93</v>
      </c>
      <c r="B97" s="940" t="s">
        <v>1679</v>
      </c>
      <c r="C97" s="916" t="s">
        <v>3</v>
      </c>
      <c r="D97" s="912" t="s">
        <v>225</v>
      </c>
      <c r="E97" s="912" t="s">
        <v>2</v>
      </c>
      <c r="F97" s="913" t="s">
        <v>771</v>
      </c>
      <c r="G97" s="912"/>
      <c r="H97" s="917" t="s">
        <v>1624</v>
      </c>
      <c r="I97" s="912"/>
      <c r="J97" s="912"/>
      <c r="K97" s="915">
        <v>45503</v>
      </c>
      <c r="L97" s="915">
        <v>45643</v>
      </c>
      <c r="M97" s="912">
        <v>20</v>
      </c>
      <c r="N97" s="912">
        <v>12</v>
      </c>
      <c r="O97" s="912"/>
      <c r="P97" s="941">
        <f t="shared" si="5"/>
        <v>0.6</v>
      </c>
      <c r="Q97" s="960">
        <f t="shared" si="6"/>
        <v>0</v>
      </c>
    </row>
    <row r="98" spans="1:21">
      <c r="A98" s="959">
        <v>94</v>
      </c>
      <c r="B98" s="940" t="s">
        <v>1679</v>
      </c>
      <c r="C98" s="916" t="s">
        <v>3</v>
      </c>
      <c r="D98" s="912" t="s">
        <v>225</v>
      </c>
      <c r="E98" s="912" t="s">
        <v>807</v>
      </c>
      <c r="F98" s="913" t="s">
        <v>762</v>
      </c>
      <c r="G98" s="912"/>
      <c r="H98" s="917" t="s">
        <v>1680</v>
      </c>
      <c r="I98" s="912"/>
      <c r="J98" s="912"/>
      <c r="K98" s="915">
        <v>45503</v>
      </c>
      <c r="L98" s="915">
        <v>45667</v>
      </c>
      <c r="M98" s="912">
        <v>22</v>
      </c>
      <c r="N98" s="912">
        <v>17</v>
      </c>
      <c r="O98" s="912"/>
      <c r="P98" s="941">
        <f t="shared" si="5"/>
        <v>0.77272727272727271</v>
      </c>
      <c r="Q98" s="960">
        <f t="shared" si="6"/>
        <v>0</v>
      </c>
    </row>
    <row r="99" spans="1:21">
      <c r="A99" s="959">
        <v>95</v>
      </c>
      <c r="B99" s="940" t="s">
        <v>1679</v>
      </c>
      <c r="C99" s="912" t="s">
        <v>47</v>
      </c>
      <c r="D99" s="912" t="s">
        <v>769</v>
      </c>
      <c r="E99" s="912" t="s">
        <v>326</v>
      </c>
      <c r="F99" s="913" t="s">
        <v>763</v>
      </c>
      <c r="G99" s="912"/>
      <c r="H99" s="913" t="s">
        <v>1180</v>
      </c>
      <c r="I99" s="912"/>
      <c r="J99" s="912"/>
      <c r="K99" s="915">
        <v>45503</v>
      </c>
      <c r="L99" s="915">
        <v>45700</v>
      </c>
      <c r="M99" s="912">
        <v>20</v>
      </c>
      <c r="N99" s="916">
        <v>7</v>
      </c>
      <c r="O99" s="912"/>
      <c r="P99" s="941">
        <f t="shared" si="5"/>
        <v>0.35</v>
      </c>
      <c r="Q99" s="960">
        <f t="shared" si="6"/>
        <v>0</v>
      </c>
    </row>
    <row r="100" spans="1:21">
      <c r="A100" s="959">
        <v>96</v>
      </c>
      <c r="B100" s="940" t="s">
        <v>1679</v>
      </c>
      <c r="C100" s="916" t="s">
        <v>3</v>
      </c>
      <c r="D100" s="912" t="s">
        <v>779</v>
      </c>
      <c r="E100" s="912" t="s">
        <v>478</v>
      </c>
      <c r="F100" s="913" t="s">
        <v>762</v>
      </c>
      <c r="G100" s="912"/>
      <c r="H100" s="917" t="s">
        <v>1623</v>
      </c>
      <c r="I100" s="912"/>
      <c r="J100" s="912"/>
      <c r="K100" s="915">
        <v>45503</v>
      </c>
      <c r="L100" s="915">
        <v>45664</v>
      </c>
      <c r="M100" s="929">
        <v>25</v>
      </c>
      <c r="N100" s="931">
        <v>21</v>
      </c>
      <c r="O100" s="929"/>
      <c r="P100" s="944">
        <f t="shared" ref="P100:P132" si="7">N100/M100</f>
        <v>0.84</v>
      </c>
      <c r="Q100" s="980">
        <f t="shared" ref="Q100:Q132" si="8">O100/M100</f>
        <v>0</v>
      </c>
      <c r="R100" s="776"/>
      <c r="S100" s="776"/>
    </row>
    <row r="101" spans="1:21">
      <c r="A101" s="959">
        <v>97</v>
      </c>
      <c r="B101" s="940" t="s">
        <v>1679</v>
      </c>
      <c r="C101" s="912" t="s">
        <v>47</v>
      </c>
      <c r="D101" s="912" t="s">
        <v>194</v>
      </c>
      <c r="E101" s="912" t="s">
        <v>326</v>
      </c>
      <c r="F101" s="913" t="s">
        <v>763</v>
      </c>
      <c r="G101" s="912"/>
      <c r="H101" s="914" t="s">
        <v>1172</v>
      </c>
      <c r="I101" s="912"/>
      <c r="J101" s="912"/>
      <c r="K101" s="915">
        <v>45504</v>
      </c>
      <c r="L101" s="915">
        <v>45643</v>
      </c>
      <c r="M101" s="912">
        <v>20</v>
      </c>
      <c r="N101" s="912">
        <v>13</v>
      </c>
      <c r="O101" s="912"/>
      <c r="P101" s="941">
        <f t="shared" si="7"/>
        <v>0.65</v>
      </c>
      <c r="Q101" s="960">
        <f t="shared" si="8"/>
        <v>0</v>
      </c>
      <c r="R101" s="750">
        <f>SUM(M83:M101)</f>
        <v>456</v>
      </c>
      <c r="S101" s="750">
        <f>SUM(N83:N101)</f>
        <v>272</v>
      </c>
      <c r="T101" s="996">
        <f>S101/R101</f>
        <v>0.59649122807017541</v>
      </c>
      <c r="U101">
        <f>COUNTA(H83:H101)</f>
        <v>19</v>
      </c>
    </row>
    <row r="102" spans="1:21" ht="17.25" thickBot="1">
      <c r="A102" s="961">
        <v>98</v>
      </c>
      <c r="B102" s="962" t="s">
        <v>1712</v>
      </c>
      <c r="C102" s="963" t="s">
        <v>1702</v>
      </c>
      <c r="D102" s="963" t="s">
        <v>1704</v>
      </c>
      <c r="E102" s="963" t="s">
        <v>1705</v>
      </c>
      <c r="F102" s="964" t="s">
        <v>1707</v>
      </c>
      <c r="G102" s="963"/>
      <c r="H102" s="965" t="s">
        <v>1706</v>
      </c>
      <c r="I102" s="963"/>
      <c r="J102" s="963"/>
      <c r="K102" s="966">
        <v>45474</v>
      </c>
      <c r="L102" s="966">
        <v>45559</v>
      </c>
      <c r="M102" s="963">
        <v>20</v>
      </c>
      <c r="N102" s="963">
        <v>9</v>
      </c>
      <c r="O102" s="963"/>
      <c r="P102" s="967">
        <f>N102/M102</f>
        <v>0.45</v>
      </c>
      <c r="Q102" s="968">
        <f>O102/M102</f>
        <v>0</v>
      </c>
      <c r="R102" s="997">
        <f>SUM(M83:M102)</f>
        <v>476</v>
      </c>
      <c r="S102" s="997">
        <f>SUM(N83:N102)</f>
        <v>281</v>
      </c>
      <c r="T102" s="998">
        <f>S102/R102</f>
        <v>0.59033613445378152</v>
      </c>
      <c r="U102">
        <f>COUNTA(H83:H102)</f>
        <v>20</v>
      </c>
    </row>
    <row r="103" spans="1:21">
      <c r="A103" s="950">
        <v>99</v>
      </c>
      <c r="B103" s="951" t="s">
        <v>1681</v>
      </c>
      <c r="C103" s="952" t="s">
        <v>47</v>
      </c>
      <c r="D103" s="952" t="s">
        <v>1205</v>
      </c>
      <c r="E103" s="952" t="s">
        <v>326</v>
      </c>
      <c r="F103" s="953" t="s">
        <v>763</v>
      </c>
      <c r="G103" s="952"/>
      <c r="H103" s="979" t="s">
        <v>1177</v>
      </c>
      <c r="I103" s="952"/>
      <c r="J103" s="952"/>
      <c r="K103" s="955">
        <v>45509</v>
      </c>
      <c r="L103" s="955">
        <v>45643</v>
      </c>
      <c r="M103" s="952">
        <v>20</v>
      </c>
      <c r="N103" s="956">
        <v>14</v>
      </c>
      <c r="O103" s="952"/>
      <c r="P103" s="957">
        <f t="shared" si="7"/>
        <v>0.7</v>
      </c>
      <c r="Q103" s="958">
        <f t="shared" si="8"/>
        <v>0</v>
      </c>
    </row>
    <row r="104" spans="1:21">
      <c r="A104" s="959">
        <v>100</v>
      </c>
      <c r="B104" s="940" t="s">
        <v>1681</v>
      </c>
      <c r="C104" s="912" t="s">
        <v>7</v>
      </c>
      <c r="D104" s="912" t="s">
        <v>1228</v>
      </c>
      <c r="E104" s="912" t="s">
        <v>326</v>
      </c>
      <c r="F104" s="913" t="s">
        <v>773</v>
      </c>
      <c r="G104" s="912"/>
      <c r="H104" s="917" t="s">
        <v>1682</v>
      </c>
      <c r="I104" s="912"/>
      <c r="J104" s="912"/>
      <c r="K104" s="915">
        <v>45512</v>
      </c>
      <c r="L104" s="915">
        <v>45600</v>
      </c>
      <c r="M104" s="912">
        <v>20</v>
      </c>
      <c r="N104" s="912">
        <v>7</v>
      </c>
      <c r="O104" s="912"/>
      <c r="P104" s="941">
        <f t="shared" si="7"/>
        <v>0.35</v>
      </c>
      <c r="Q104" s="960">
        <f t="shared" si="8"/>
        <v>0</v>
      </c>
    </row>
    <row r="105" spans="1:21">
      <c r="A105" s="959">
        <v>101</v>
      </c>
      <c r="B105" s="940" t="s">
        <v>1681</v>
      </c>
      <c r="C105" s="912" t="s">
        <v>7</v>
      </c>
      <c r="D105" s="912" t="s">
        <v>228</v>
      </c>
      <c r="E105" s="912" t="s">
        <v>807</v>
      </c>
      <c r="F105" s="913" t="s">
        <v>1092</v>
      </c>
      <c r="G105" s="912"/>
      <c r="H105" s="914" t="s">
        <v>1622</v>
      </c>
      <c r="I105" s="912"/>
      <c r="J105" s="912"/>
      <c r="K105" s="915">
        <v>45512</v>
      </c>
      <c r="L105" s="915">
        <v>45680</v>
      </c>
      <c r="M105" s="912">
        <v>20</v>
      </c>
      <c r="N105" s="912">
        <v>16</v>
      </c>
      <c r="O105" s="912"/>
      <c r="P105" s="941">
        <f t="shared" si="7"/>
        <v>0.8</v>
      </c>
      <c r="Q105" s="960">
        <f t="shared" si="8"/>
        <v>0</v>
      </c>
    </row>
    <row r="106" spans="1:21">
      <c r="A106" s="959">
        <v>102</v>
      </c>
      <c r="B106" s="940" t="s">
        <v>1681</v>
      </c>
      <c r="C106" s="912" t="s">
        <v>3</v>
      </c>
      <c r="D106" s="912" t="s">
        <v>227</v>
      </c>
      <c r="E106" s="912" t="s">
        <v>478</v>
      </c>
      <c r="F106" s="913" t="s">
        <v>762</v>
      </c>
      <c r="G106" s="912"/>
      <c r="H106" s="914" t="s">
        <v>1625</v>
      </c>
      <c r="I106" s="912"/>
      <c r="J106" s="912"/>
      <c r="K106" s="915">
        <v>45516</v>
      </c>
      <c r="L106" s="915">
        <v>45700</v>
      </c>
      <c r="M106" s="912">
        <v>20</v>
      </c>
      <c r="N106" s="912">
        <v>16</v>
      </c>
      <c r="O106" s="912"/>
      <c r="P106" s="941">
        <f t="shared" si="7"/>
        <v>0.8</v>
      </c>
      <c r="Q106" s="960">
        <f t="shared" si="8"/>
        <v>0</v>
      </c>
    </row>
    <row r="107" spans="1:21">
      <c r="A107" s="959">
        <v>103</v>
      </c>
      <c r="B107" s="940" t="s">
        <v>1681</v>
      </c>
      <c r="C107" s="912" t="s">
        <v>3</v>
      </c>
      <c r="D107" s="912" t="s">
        <v>225</v>
      </c>
      <c r="E107" s="912" t="s">
        <v>478</v>
      </c>
      <c r="F107" s="913" t="s">
        <v>762</v>
      </c>
      <c r="G107" s="912"/>
      <c r="H107" s="914" t="s">
        <v>1627</v>
      </c>
      <c r="I107" s="912"/>
      <c r="J107" s="912"/>
      <c r="K107" s="915">
        <v>45523</v>
      </c>
      <c r="L107" s="915">
        <v>45709</v>
      </c>
      <c r="M107" s="912">
        <v>25</v>
      </c>
      <c r="N107" s="912">
        <v>16</v>
      </c>
      <c r="O107" s="912"/>
      <c r="P107" s="941">
        <f t="shared" si="7"/>
        <v>0.64</v>
      </c>
      <c r="Q107" s="960">
        <f t="shared" si="8"/>
        <v>0</v>
      </c>
    </row>
    <row r="108" spans="1:21">
      <c r="A108" s="959">
        <v>104</v>
      </c>
      <c r="B108" s="940" t="s">
        <v>1681</v>
      </c>
      <c r="C108" s="912" t="s">
        <v>7</v>
      </c>
      <c r="D108" s="912" t="s">
        <v>1149</v>
      </c>
      <c r="E108" s="912" t="s">
        <v>326</v>
      </c>
      <c r="F108" s="913" t="s">
        <v>813</v>
      </c>
      <c r="G108" s="912"/>
      <c r="H108" s="917" t="s">
        <v>1626</v>
      </c>
      <c r="I108" s="912"/>
      <c r="J108" s="912"/>
      <c r="K108" s="915">
        <v>45523</v>
      </c>
      <c r="L108" s="915">
        <v>45611</v>
      </c>
      <c r="M108" s="912">
        <v>20</v>
      </c>
      <c r="N108" s="912">
        <v>6</v>
      </c>
      <c r="O108" s="912"/>
      <c r="P108" s="941">
        <f t="shared" si="7"/>
        <v>0.3</v>
      </c>
      <c r="Q108" s="960">
        <f t="shared" si="8"/>
        <v>0</v>
      </c>
    </row>
    <row r="109" spans="1:21">
      <c r="A109" s="959">
        <v>105</v>
      </c>
      <c r="B109" s="940" t="s">
        <v>1681</v>
      </c>
      <c r="C109" s="912" t="s">
        <v>3</v>
      </c>
      <c r="D109" s="912" t="s">
        <v>227</v>
      </c>
      <c r="E109" s="912" t="s">
        <v>807</v>
      </c>
      <c r="F109" s="913" t="s">
        <v>927</v>
      </c>
      <c r="G109" s="912"/>
      <c r="H109" s="914" t="s">
        <v>618</v>
      </c>
      <c r="I109" s="912"/>
      <c r="J109" s="912"/>
      <c r="K109" s="915">
        <v>45523</v>
      </c>
      <c r="L109" s="915">
        <v>45700</v>
      </c>
      <c r="M109" s="912">
        <v>30</v>
      </c>
      <c r="N109" s="912">
        <v>14</v>
      </c>
      <c r="O109" s="912"/>
      <c r="P109" s="941">
        <f t="shared" si="7"/>
        <v>0.46666666666666667</v>
      </c>
      <c r="Q109" s="960">
        <f t="shared" si="8"/>
        <v>0</v>
      </c>
    </row>
    <row r="110" spans="1:21">
      <c r="A110" s="959">
        <v>106</v>
      </c>
      <c r="B110" s="940" t="s">
        <v>1681</v>
      </c>
      <c r="C110" s="916" t="s">
        <v>3</v>
      </c>
      <c r="D110" s="912" t="s">
        <v>228</v>
      </c>
      <c r="E110" s="912" t="s">
        <v>478</v>
      </c>
      <c r="F110" s="913" t="s">
        <v>762</v>
      </c>
      <c r="G110" s="912"/>
      <c r="H110" s="917" t="s">
        <v>1683</v>
      </c>
      <c r="I110" s="912"/>
      <c r="J110" s="912"/>
      <c r="K110" s="915">
        <v>45526</v>
      </c>
      <c r="L110" s="915">
        <v>45693</v>
      </c>
      <c r="M110" s="912">
        <v>20</v>
      </c>
      <c r="N110" s="912">
        <v>13</v>
      </c>
      <c r="O110" s="912"/>
      <c r="P110" s="941">
        <f t="shared" si="7"/>
        <v>0.65</v>
      </c>
      <c r="Q110" s="960">
        <f t="shared" si="8"/>
        <v>0</v>
      </c>
    </row>
    <row r="111" spans="1:21">
      <c r="A111" s="959">
        <v>107</v>
      </c>
      <c r="B111" s="940" t="s">
        <v>1681</v>
      </c>
      <c r="C111" s="912" t="s">
        <v>3</v>
      </c>
      <c r="D111" s="912" t="s">
        <v>769</v>
      </c>
      <c r="E111" s="912" t="s">
        <v>326</v>
      </c>
      <c r="F111" s="913" t="s">
        <v>762</v>
      </c>
      <c r="G111" s="912"/>
      <c r="H111" s="917" t="s">
        <v>1628</v>
      </c>
      <c r="I111" s="912"/>
      <c r="J111" s="912"/>
      <c r="K111" s="915">
        <v>45531</v>
      </c>
      <c r="L111" s="915">
        <v>45659</v>
      </c>
      <c r="M111" s="912">
        <v>28</v>
      </c>
      <c r="N111" s="912">
        <v>4</v>
      </c>
      <c r="O111" s="912"/>
      <c r="P111" s="941">
        <f t="shared" si="7"/>
        <v>0.14285714285714285</v>
      </c>
      <c r="Q111" s="960">
        <f t="shared" si="8"/>
        <v>0</v>
      </c>
    </row>
    <row r="112" spans="1:21">
      <c r="A112" s="959">
        <v>108</v>
      </c>
      <c r="B112" s="940" t="s">
        <v>1681</v>
      </c>
      <c r="C112" s="912" t="s">
        <v>47</v>
      </c>
      <c r="D112" s="912" t="s">
        <v>769</v>
      </c>
      <c r="E112" s="912" t="s">
        <v>326</v>
      </c>
      <c r="F112" s="913" t="s">
        <v>763</v>
      </c>
      <c r="G112" s="912"/>
      <c r="H112" s="917" t="s">
        <v>1172</v>
      </c>
      <c r="I112" s="912"/>
      <c r="J112" s="912"/>
      <c r="K112" s="915">
        <v>45531</v>
      </c>
      <c r="L112" s="915">
        <v>45726</v>
      </c>
      <c r="M112" s="912">
        <v>20</v>
      </c>
      <c r="N112" s="912">
        <v>7</v>
      </c>
      <c r="O112" s="912"/>
      <c r="P112" s="941">
        <f t="shared" si="7"/>
        <v>0.35</v>
      </c>
      <c r="Q112" s="960">
        <f t="shared" si="8"/>
        <v>0</v>
      </c>
    </row>
    <row r="113" spans="1:21">
      <c r="A113" s="959">
        <v>109</v>
      </c>
      <c r="B113" s="940" t="s">
        <v>1681</v>
      </c>
      <c r="C113" s="912" t="s">
        <v>3</v>
      </c>
      <c r="D113" s="912" t="s">
        <v>225</v>
      </c>
      <c r="E113" s="912" t="s">
        <v>807</v>
      </c>
      <c r="F113" s="913" t="s">
        <v>927</v>
      </c>
      <c r="G113" s="912"/>
      <c r="H113" s="917" t="s">
        <v>1629</v>
      </c>
      <c r="I113" s="912"/>
      <c r="J113" s="912"/>
      <c r="K113" s="915">
        <v>45533</v>
      </c>
      <c r="L113" s="915">
        <v>45695</v>
      </c>
      <c r="M113" s="912">
        <v>22</v>
      </c>
      <c r="N113" s="912">
        <v>15</v>
      </c>
      <c r="O113" s="912"/>
      <c r="P113" s="941">
        <f t="shared" si="7"/>
        <v>0.68181818181818177</v>
      </c>
      <c r="Q113" s="960">
        <f t="shared" si="8"/>
        <v>0</v>
      </c>
    </row>
    <row r="114" spans="1:21">
      <c r="A114" s="959">
        <v>110</v>
      </c>
      <c r="B114" s="940" t="s">
        <v>1681</v>
      </c>
      <c r="C114" s="912" t="s">
        <v>7</v>
      </c>
      <c r="D114" s="912" t="s">
        <v>231</v>
      </c>
      <c r="E114" s="912" t="s">
        <v>326</v>
      </c>
      <c r="F114" s="913" t="s">
        <v>773</v>
      </c>
      <c r="G114" s="912"/>
      <c r="H114" s="917" t="s">
        <v>611</v>
      </c>
      <c r="I114" s="912"/>
      <c r="J114" s="912"/>
      <c r="K114" s="915">
        <v>45533</v>
      </c>
      <c r="L114" s="915">
        <v>45639</v>
      </c>
      <c r="M114" s="912">
        <v>12</v>
      </c>
      <c r="N114" s="912">
        <v>5</v>
      </c>
      <c r="O114" s="912"/>
      <c r="P114" s="941">
        <f t="shared" si="7"/>
        <v>0.41666666666666669</v>
      </c>
      <c r="Q114" s="960">
        <f t="shared" si="8"/>
        <v>0</v>
      </c>
      <c r="R114" s="776"/>
      <c r="S114" s="776"/>
    </row>
    <row r="115" spans="1:21">
      <c r="A115" s="959">
        <v>111</v>
      </c>
      <c r="B115" s="940" t="s">
        <v>1681</v>
      </c>
      <c r="C115" s="912" t="s">
        <v>3</v>
      </c>
      <c r="D115" s="912" t="s">
        <v>225</v>
      </c>
      <c r="E115" s="912" t="s">
        <v>2</v>
      </c>
      <c r="F115" s="913" t="s">
        <v>762</v>
      </c>
      <c r="G115" s="912"/>
      <c r="H115" s="920" t="s">
        <v>1684</v>
      </c>
      <c r="I115" s="912"/>
      <c r="J115" s="912"/>
      <c r="K115" s="915">
        <v>45534</v>
      </c>
      <c r="L115" s="915">
        <v>45677</v>
      </c>
      <c r="M115" s="912">
        <v>33</v>
      </c>
      <c r="N115" s="912">
        <v>25</v>
      </c>
      <c r="O115" s="912"/>
      <c r="P115" s="941">
        <f t="shared" si="7"/>
        <v>0.75757575757575757</v>
      </c>
      <c r="Q115" s="960">
        <f t="shared" si="8"/>
        <v>0</v>
      </c>
      <c r="R115" s="750">
        <f>SUM(M103:M115)</f>
        <v>290</v>
      </c>
      <c r="S115" s="750">
        <f>SUM(N103:N115)</f>
        <v>158</v>
      </c>
      <c r="T115" s="996">
        <f>S115/R115</f>
        <v>0.54482758620689653</v>
      </c>
      <c r="U115">
        <f>COUNTA(H103:H115)</f>
        <v>13</v>
      </c>
    </row>
    <row r="116" spans="1:21">
      <c r="A116" s="959">
        <v>112</v>
      </c>
      <c r="B116" s="942" t="s">
        <v>1713</v>
      </c>
      <c r="C116" s="921" t="s">
        <v>1702</v>
      </c>
      <c r="D116" s="921" t="s">
        <v>1704</v>
      </c>
      <c r="E116" s="921" t="s">
        <v>1705</v>
      </c>
      <c r="F116" s="922" t="s">
        <v>1709</v>
      </c>
      <c r="G116" s="921"/>
      <c r="H116" s="924" t="s">
        <v>1714</v>
      </c>
      <c r="I116" s="921"/>
      <c r="J116" s="921"/>
      <c r="K116" s="923">
        <v>45530</v>
      </c>
      <c r="L116" s="923">
        <v>45593</v>
      </c>
      <c r="M116" s="921">
        <v>20</v>
      </c>
      <c r="N116" s="921">
        <v>6</v>
      </c>
      <c r="O116" s="921"/>
      <c r="P116" s="943">
        <f>N116/M116</f>
        <v>0.3</v>
      </c>
      <c r="Q116" s="977">
        <f>O116/M116</f>
        <v>0</v>
      </c>
    </row>
    <row r="117" spans="1:21" ht="17.25" thickBot="1">
      <c r="A117" s="961">
        <v>113</v>
      </c>
      <c r="B117" s="962" t="s">
        <v>1713</v>
      </c>
      <c r="C117" s="963" t="s">
        <v>1702</v>
      </c>
      <c r="D117" s="963" t="s">
        <v>1704</v>
      </c>
      <c r="E117" s="963" t="s">
        <v>1705</v>
      </c>
      <c r="F117" s="964" t="s">
        <v>804</v>
      </c>
      <c r="G117" s="963"/>
      <c r="H117" s="965" t="s">
        <v>1706</v>
      </c>
      <c r="I117" s="963"/>
      <c r="J117" s="963"/>
      <c r="K117" s="966">
        <v>45534</v>
      </c>
      <c r="L117" s="966">
        <v>45622</v>
      </c>
      <c r="M117" s="963">
        <v>20</v>
      </c>
      <c r="N117" s="963">
        <v>8</v>
      </c>
      <c r="O117" s="963"/>
      <c r="P117" s="967">
        <f t="shared" si="7"/>
        <v>0.4</v>
      </c>
      <c r="Q117" s="999">
        <f t="shared" si="8"/>
        <v>0</v>
      </c>
      <c r="R117" s="1000">
        <f>SUM(M103:M117)</f>
        <v>330</v>
      </c>
      <c r="S117" s="1000">
        <f>SUM(N103:N117)</f>
        <v>172</v>
      </c>
      <c r="T117" s="1001">
        <f>S117/R117</f>
        <v>0.52121212121212124</v>
      </c>
      <c r="U117">
        <f>COUNTA(H103:H117)</f>
        <v>15</v>
      </c>
    </row>
    <row r="118" spans="1:21">
      <c r="A118" s="950">
        <v>114</v>
      </c>
      <c r="B118" s="951" t="s">
        <v>1685</v>
      </c>
      <c r="C118" s="952" t="s">
        <v>7</v>
      </c>
      <c r="D118" s="952" t="s">
        <v>1205</v>
      </c>
      <c r="E118" s="952" t="s">
        <v>326</v>
      </c>
      <c r="F118" s="953" t="s">
        <v>768</v>
      </c>
      <c r="G118" s="952"/>
      <c r="H118" s="979" t="s">
        <v>968</v>
      </c>
      <c r="I118" s="952"/>
      <c r="J118" s="952"/>
      <c r="K118" s="955">
        <v>45538</v>
      </c>
      <c r="L118" s="955">
        <v>45643</v>
      </c>
      <c r="M118" s="952">
        <v>18</v>
      </c>
      <c r="N118" s="952">
        <v>8</v>
      </c>
      <c r="O118" s="952"/>
      <c r="P118" s="957">
        <f t="shared" si="7"/>
        <v>0.44444444444444442</v>
      </c>
      <c r="Q118" s="958">
        <f t="shared" si="8"/>
        <v>0</v>
      </c>
      <c r="R118" s="750"/>
      <c r="S118" s="750"/>
      <c r="T118" s="750"/>
    </row>
    <row r="119" spans="1:21">
      <c r="A119" s="959">
        <v>115</v>
      </c>
      <c r="B119" s="940" t="s">
        <v>1685</v>
      </c>
      <c r="C119" s="912" t="s">
        <v>7</v>
      </c>
      <c r="D119" s="912" t="s">
        <v>836</v>
      </c>
      <c r="E119" s="912" t="s">
        <v>326</v>
      </c>
      <c r="F119" s="913" t="s">
        <v>813</v>
      </c>
      <c r="G119" s="912"/>
      <c r="H119" s="917" t="s">
        <v>1686</v>
      </c>
      <c r="I119" s="912"/>
      <c r="J119" s="912"/>
      <c r="K119" s="915">
        <v>45541</v>
      </c>
      <c r="L119" s="915">
        <v>45631</v>
      </c>
      <c r="M119" s="912">
        <v>21</v>
      </c>
      <c r="N119" s="912">
        <v>6</v>
      </c>
      <c r="O119" s="912"/>
      <c r="P119" s="941">
        <f t="shared" si="7"/>
        <v>0.2857142857142857</v>
      </c>
      <c r="Q119" s="960">
        <f t="shared" si="8"/>
        <v>0</v>
      </c>
    </row>
    <row r="120" spans="1:21">
      <c r="A120" s="959">
        <v>116</v>
      </c>
      <c r="B120" s="940" t="s">
        <v>1685</v>
      </c>
      <c r="C120" s="912" t="s">
        <v>3</v>
      </c>
      <c r="D120" s="912" t="s">
        <v>194</v>
      </c>
      <c r="E120" s="912" t="s">
        <v>2</v>
      </c>
      <c r="F120" s="913" t="s">
        <v>1630</v>
      </c>
      <c r="G120" s="912"/>
      <c r="H120" s="917" t="s">
        <v>1631</v>
      </c>
      <c r="I120" s="912"/>
      <c r="J120" s="912"/>
      <c r="K120" s="915">
        <v>45545</v>
      </c>
      <c r="L120" s="915">
        <v>45709</v>
      </c>
      <c r="M120" s="912">
        <v>35</v>
      </c>
      <c r="N120" s="912">
        <v>16</v>
      </c>
      <c r="O120" s="912"/>
      <c r="P120" s="941">
        <f t="shared" si="7"/>
        <v>0.45714285714285713</v>
      </c>
      <c r="Q120" s="960">
        <f t="shared" si="8"/>
        <v>0</v>
      </c>
    </row>
    <row r="121" spans="1:21">
      <c r="A121" s="959">
        <v>117</v>
      </c>
      <c r="B121" s="940" t="s">
        <v>1685</v>
      </c>
      <c r="C121" s="912" t="s">
        <v>3</v>
      </c>
      <c r="D121" s="912" t="s">
        <v>779</v>
      </c>
      <c r="E121" s="912" t="s">
        <v>478</v>
      </c>
      <c r="F121" s="913" t="s">
        <v>768</v>
      </c>
      <c r="G121" s="912"/>
      <c r="H121" s="917" t="s">
        <v>1632</v>
      </c>
      <c r="I121" s="912"/>
      <c r="J121" s="912"/>
      <c r="K121" s="915">
        <v>45545</v>
      </c>
      <c r="L121" s="915">
        <v>45708</v>
      </c>
      <c r="M121" s="912">
        <v>25</v>
      </c>
      <c r="N121" s="916">
        <v>20</v>
      </c>
      <c r="O121" s="912"/>
      <c r="P121" s="941">
        <f t="shared" si="7"/>
        <v>0.8</v>
      </c>
      <c r="Q121" s="960">
        <f t="shared" si="8"/>
        <v>0</v>
      </c>
    </row>
    <row r="122" spans="1:21">
      <c r="A122" s="959">
        <v>118</v>
      </c>
      <c r="B122" s="940" t="s">
        <v>1685</v>
      </c>
      <c r="C122" s="912" t="s">
        <v>7</v>
      </c>
      <c r="D122" s="912" t="s">
        <v>230</v>
      </c>
      <c r="E122" s="912" t="s">
        <v>326</v>
      </c>
      <c r="F122" s="913" t="s">
        <v>813</v>
      </c>
      <c r="G122" s="912"/>
      <c r="H122" s="917" t="s">
        <v>1633</v>
      </c>
      <c r="I122" s="912"/>
      <c r="J122" s="912"/>
      <c r="K122" s="915">
        <v>45547</v>
      </c>
      <c r="L122" s="915">
        <v>45637</v>
      </c>
      <c r="M122" s="912">
        <v>14</v>
      </c>
      <c r="N122" s="912">
        <v>9</v>
      </c>
      <c r="O122" s="912"/>
      <c r="P122" s="941">
        <f t="shared" si="7"/>
        <v>0.6428571428571429</v>
      </c>
      <c r="Q122" s="960">
        <f t="shared" si="8"/>
        <v>0</v>
      </c>
    </row>
    <row r="123" spans="1:21">
      <c r="A123" s="959">
        <v>119</v>
      </c>
      <c r="B123" s="940" t="s">
        <v>1685</v>
      </c>
      <c r="C123" s="912" t="s">
        <v>3</v>
      </c>
      <c r="D123" s="912" t="s">
        <v>194</v>
      </c>
      <c r="E123" s="912" t="s">
        <v>476</v>
      </c>
      <c r="F123" s="913" t="s">
        <v>961</v>
      </c>
      <c r="G123" s="912"/>
      <c r="H123" s="914" t="s">
        <v>1155</v>
      </c>
      <c r="I123" s="912"/>
      <c r="J123" s="912"/>
      <c r="K123" s="915">
        <v>45554</v>
      </c>
      <c r="L123" s="915">
        <v>45740</v>
      </c>
      <c r="M123" s="912">
        <v>35</v>
      </c>
      <c r="N123" s="912">
        <v>18</v>
      </c>
      <c r="O123" s="912"/>
      <c r="P123" s="941">
        <f t="shared" si="7"/>
        <v>0.51428571428571423</v>
      </c>
      <c r="Q123" s="960">
        <f t="shared" si="8"/>
        <v>0</v>
      </c>
    </row>
    <row r="124" spans="1:21">
      <c r="A124" s="959">
        <v>120</v>
      </c>
      <c r="B124" s="940" t="s">
        <v>1685</v>
      </c>
      <c r="C124" s="912" t="s">
        <v>47</v>
      </c>
      <c r="D124" s="912" t="s">
        <v>228</v>
      </c>
      <c r="E124" s="912" t="s">
        <v>2</v>
      </c>
      <c r="F124" s="913" t="s">
        <v>763</v>
      </c>
      <c r="G124" s="912"/>
      <c r="H124" s="914" t="s">
        <v>1634</v>
      </c>
      <c r="I124" s="912"/>
      <c r="J124" s="912"/>
      <c r="K124" s="915">
        <v>45554</v>
      </c>
      <c r="L124" s="915">
        <v>45824</v>
      </c>
      <c r="M124" s="912">
        <v>20</v>
      </c>
      <c r="N124" s="916">
        <v>13</v>
      </c>
      <c r="O124" s="912"/>
      <c r="P124" s="941">
        <f t="shared" si="7"/>
        <v>0.65</v>
      </c>
      <c r="Q124" s="960">
        <f t="shared" si="8"/>
        <v>0</v>
      </c>
    </row>
    <row r="125" spans="1:21">
      <c r="A125" s="959">
        <v>121</v>
      </c>
      <c r="B125" s="940" t="s">
        <v>1685</v>
      </c>
      <c r="C125" s="912" t="s">
        <v>7</v>
      </c>
      <c r="D125" s="912" t="s">
        <v>226</v>
      </c>
      <c r="E125" s="912" t="s">
        <v>2</v>
      </c>
      <c r="F125" s="913" t="s">
        <v>786</v>
      </c>
      <c r="G125" s="912"/>
      <c r="H125" s="917" t="s">
        <v>1635</v>
      </c>
      <c r="I125" s="912"/>
      <c r="J125" s="912"/>
      <c r="K125" s="915">
        <v>45559</v>
      </c>
      <c r="L125" s="915">
        <v>45768</v>
      </c>
      <c r="M125" s="912">
        <v>20</v>
      </c>
      <c r="N125" s="912">
        <v>14</v>
      </c>
      <c r="O125" s="912"/>
      <c r="P125" s="941">
        <f t="shared" si="7"/>
        <v>0.7</v>
      </c>
      <c r="Q125" s="960">
        <f t="shared" si="8"/>
        <v>0</v>
      </c>
    </row>
    <row r="126" spans="1:21">
      <c r="A126" s="959">
        <v>122</v>
      </c>
      <c r="B126" s="940" t="s">
        <v>1685</v>
      </c>
      <c r="C126" s="912" t="s">
        <v>3</v>
      </c>
      <c r="D126" s="912" t="s">
        <v>226</v>
      </c>
      <c r="E126" s="912" t="s">
        <v>807</v>
      </c>
      <c r="F126" s="913" t="s">
        <v>762</v>
      </c>
      <c r="G126" s="912"/>
      <c r="H126" s="917" t="s">
        <v>1059</v>
      </c>
      <c r="I126" s="912"/>
      <c r="J126" s="912"/>
      <c r="K126" s="915">
        <v>45559</v>
      </c>
      <c r="L126" s="915">
        <v>45692</v>
      </c>
      <c r="M126" s="912">
        <v>20</v>
      </c>
      <c r="N126" s="912">
        <v>8</v>
      </c>
      <c r="O126" s="912"/>
      <c r="P126" s="941">
        <f t="shared" si="7"/>
        <v>0.4</v>
      </c>
      <c r="Q126" s="960">
        <f t="shared" si="8"/>
        <v>0</v>
      </c>
    </row>
    <row r="127" spans="1:21">
      <c r="A127" s="959">
        <v>123</v>
      </c>
      <c r="B127" s="940" t="s">
        <v>1685</v>
      </c>
      <c r="C127" s="912" t="s">
        <v>3</v>
      </c>
      <c r="D127" s="912" t="s">
        <v>228</v>
      </c>
      <c r="E127" s="912" t="s">
        <v>326</v>
      </c>
      <c r="F127" s="913" t="s">
        <v>762</v>
      </c>
      <c r="G127" s="912"/>
      <c r="H127" s="917" t="s">
        <v>1636</v>
      </c>
      <c r="I127" s="912"/>
      <c r="J127" s="912"/>
      <c r="K127" s="915">
        <v>45561</v>
      </c>
      <c r="L127" s="915">
        <v>45649</v>
      </c>
      <c r="M127" s="921">
        <v>30</v>
      </c>
      <c r="N127" s="912">
        <v>7</v>
      </c>
      <c r="O127" s="912"/>
      <c r="P127" s="941">
        <f t="shared" si="7"/>
        <v>0.23333333333333334</v>
      </c>
      <c r="Q127" s="960">
        <f t="shared" si="8"/>
        <v>0</v>
      </c>
    </row>
    <row r="128" spans="1:21" ht="17.25" thickBot="1">
      <c r="A128" s="969">
        <v>124</v>
      </c>
      <c r="B128" s="987" t="s">
        <v>1685</v>
      </c>
      <c r="C128" s="988" t="s">
        <v>3</v>
      </c>
      <c r="D128" s="988" t="s">
        <v>227</v>
      </c>
      <c r="E128" s="988" t="s">
        <v>2</v>
      </c>
      <c r="F128" s="989" t="s">
        <v>762</v>
      </c>
      <c r="G128" s="988"/>
      <c r="H128" s="990" t="s">
        <v>1654</v>
      </c>
      <c r="I128" s="988"/>
      <c r="J128" s="988"/>
      <c r="K128" s="991">
        <v>45565</v>
      </c>
      <c r="L128" s="991">
        <v>45716</v>
      </c>
      <c r="M128" s="988">
        <v>22</v>
      </c>
      <c r="N128" s="988">
        <v>10</v>
      </c>
      <c r="O128" s="988"/>
      <c r="P128" s="992">
        <f t="shared" si="7"/>
        <v>0.45454545454545453</v>
      </c>
      <c r="Q128" s="993">
        <f t="shared" si="8"/>
        <v>0</v>
      </c>
      <c r="R128" s="750">
        <f>SUM(M118:M128)</f>
        <v>260</v>
      </c>
      <c r="S128" s="750">
        <f>SUM(N118:N128)</f>
        <v>129</v>
      </c>
      <c r="T128" s="996">
        <f>S128/R128</f>
        <v>0.49615384615384617</v>
      </c>
      <c r="U128">
        <f>COUNTA(H118:H128)</f>
        <v>11</v>
      </c>
    </row>
    <row r="129" spans="1:21">
      <c r="A129" s="950">
        <v>125</v>
      </c>
      <c r="B129" s="951" t="s">
        <v>1687</v>
      </c>
      <c r="C129" s="952" t="s">
        <v>7</v>
      </c>
      <c r="D129" s="952" t="s">
        <v>194</v>
      </c>
      <c r="E129" s="952" t="s">
        <v>326</v>
      </c>
      <c r="F129" s="953" t="s">
        <v>813</v>
      </c>
      <c r="G129" s="952"/>
      <c r="H129" s="979" t="s">
        <v>667</v>
      </c>
      <c r="I129" s="952"/>
      <c r="J129" s="952"/>
      <c r="K129" s="955">
        <v>45567</v>
      </c>
      <c r="L129" s="955">
        <v>45652</v>
      </c>
      <c r="M129" s="952">
        <v>20</v>
      </c>
      <c r="N129" s="952">
        <v>13</v>
      </c>
      <c r="O129" s="952"/>
      <c r="P129" s="957">
        <f t="shared" si="7"/>
        <v>0.65</v>
      </c>
      <c r="Q129" s="958">
        <f t="shared" si="8"/>
        <v>0</v>
      </c>
    </row>
    <row r="130" spans="1:21">
      <c r="A130" s="959">
        <v>126</v>
      </c>
      <c r="B130" s="940" t="s">
        <v>1687</v>
      </c>
      <c r="C130" s="912" t="s">
        <v>1638</v>
      </c>
      <c r="D130" s="912" t="s">
        <v>1639</v>
      </c>
      <c r="E130" s="912" t="s">
        <v>326</v>
      </c>
      <c r="F130" s="913" t="s">
        <v>1640</v>
      </c>
      <c r="G130" s="912"/>
      <c r="H130" s="914" t="s">
        <v>1688</v>
      </c>
      <c r="I130" s="912"/>
      <c r="J130" s="912"/>
      <c r="K130" s="915">
        <v>45567</v>
      </c>
      <c r="L130" s="915">
        <v>45650</v>
      </c>
      <c r="M130" s="912">
        <v>20</v>
      </c>
      <c r="N130" s="912">
        <v>12</v>
      </c>
      <c r="O130" s="912"/>
      <c r="P130" s="941">
        <f t="shared" si="7"/>
        <v>0.6</v>
      </c>
      <c r="Q130" s="960">
        <f t="shared" si="8"/>
        <v>0</v>
      </c>
    </row>
    <row r="131" spans="1:21">
      <c r="A131" s="959">
        <v>127</v>
      </c>
      <c r="B131" s="940" t="s">
        <v>1687</v>
      </c>
      <c r="C131" s="912" t="s">
        <v>47</v>
      </c>
      <c r="D131" s="912" t="s">
        <v>194</v>
      </c>
      <c r="E131" s="912" t="s">
        <v>326</v>
      </c>
      <c r="F131" s="913" t="s">
        <v>763</v>
      </c>
      <c r="G131" s="912"/>
      <c r="H131" s="914" t="s">
        <v>1642</v>
      </c>
      <c r="I131" s="912"/>
      <c r="J131" s="912"/>
      <c r="K131" s="915">
        <v>45572</v>
      </c>
      <c r="L131" s="915">
        <v>45715</v>
      </c>
      <c r="M131" s="912">
        <v>20</v>
      </c>
      <c r="N131" s="912">
        <v>7</v>
      </c>
      <c r="O131" s="912"/>
      <c r="P131" s="941">
        <f t="shared" si="7"/>
        <v>0.35</v>
      </c>
      <c r="Q131" s="960">
        <f t="shared" si="8"/>
        <v>0</v>
      </c>
    </row>
    <row r="132" spans="1:21">
      <c r="A132" s="959">
        <v>128</v>
      </c>
      <c r="B132" s="940" t="s">
        <v>1687</v>
      </c>
      <c r="C132" s="912" t="s">
        <v>3</v>
      </c>
      <c r="D132" s="912" t="s">
        <v>769</v>
      </c>
      <c r="E132" s="912" t="s">
        <v>326</v>
      </c>
      <c r="F132" s="913" t="s">
        <v>762</v>
      </c>
      <c r="G132" s="912"/>
      <c r="H132" s="914" t="s">
        <v>793</v>
      </c>
      <c r="I132" s="912"/>
      <c r="J132" s="912"/>
      <c r="K132" s="915">
        <v>45573</v>
      </c>
      <c r="L132" s="915">
        <v>45674</v>
      </c>
      <c r="M132" s="912">
        <v>28</v>
      </c>
      <c r="N132" s="930">
        <v>7</v>
      </c>
      <c r="O132" s="912"/>
      <c r="P132" s="941">
        <f t="shared" si="7"/>
        <v>0.25</v>
      </c>
      <c r="Q132" s="960">
        <f t="shared" si="8"/>
        <v>0</v>
      </c>
    </row>
    <row r="133" spans="1:21">
      <c r="A133" s="959">
        <v>129</v>
      </c>
      <c r="B133" s="940" t="s">
        <v>1687</v>
      </c>
      <c r="C133" s="912" t="s">
        <v>1412</v>
      </c>
      <c r="D133" s="912" t="s">
        <v>450</v>
      </c>
      <c r="E133" s="912" t="s">
        <v>326</v>
      </c>
      <c r="F133" s="913" t="s">
        <v>1643</v>
      </c>
      <c r="G133" s="912"/>
      <c r="H133" s="917" t="s">
        <v>1644</v>
      </c>
      <c r="I133" s="912"/>
      <c r="J133" s="912"/>
      <c r="K133" s="915">
        <v>45575</v>
      </c>
      <c r="L133" s="915">
        <v>45712</v>
      </c>
      <c r="M133" s="912">
        <v>15</v>
      </c>
      <c r="N133" s="912">
        <v>9</v>
      </c>
      <c r="O133" s="912"/>
      <c r="P133" s="941">
        <f t="shared" ref="P133:P166" si="9">N133/M133</f>
        <v>0.6</v>
      </c>
      <c r="Q133" s="960">
        <f t="shared" ref="Q133:Q166" si="10">O133/M133</f>
        <v>0</v>
      </c>
    </row>
    <row r="134" spans="1:21">
      <c r="A134" s="959">
        <v>130</v>
      </c>
      <c r="B134" s="940" t="s">
        <v>1687</v>
      </c>
      <c r="C134" s="912" t="s">
        <v>3</v>
      </c>
      <c r="D134" s="912" t="s">
        <v>228</v>
      </c>
      <c r="E134" s="912" t="s">
        <v>478</v>
      </c>
      <c r="F134" s="913" t="s">
        <v>762</v>
      </c>
      <c r="G134" s="912"/>
      <c r="H134" s="917" t="s">
        <v>1042</v>
      </c>
      <c r="I134" s="912"/>
      <c r="J134" s="912"/>
      <c r="K134" s="915">
        <v>45576</v>
      </c>
      <c r="L134" s="915">
        <v>45775</v>
      </c>
      <c r="M134" s="912">
        <v>25</v>
      </c>
      <c r="N134" s="930">
        <v>10</v>
      </c>
      <c r="O134" s="912"/>
      <c r="P134" s="941">
        <f t="shared" si="9"/>
        <v>0.4</v>
      </c>
      <c r="Q134" s="960">
        <f t="shared" si="10"/>
        <v>0</v>
      </c>
    </row>
    <row r="135" spans="1:21">
      <c r="A135" s="959">
        <v>131</v>
      </c>
      <c r="B135" s="940" t="s">
        <v>1687</v>
      </c>
      <c r="C135" s="912" t="s">
        <v>7</v>
      </c>
      <c r="D135" s="912" t="s">
        <v>225</v>
      </c>
      <c r="E135" s="912" t="s">
        <v>478</v>
      </c>
      <c r="F135" s="913" t="s">
        <v>768</v>
      </c>
      <c r="G135" s="912"/>
      <c r="H135" s="917" t="s">
        <v>1637</v>
      </c>
      <c r="I135" s="912"/>
      <c r="J135" s="912"/>
      <c r="K135" s="915">
        <v>45579</v>
      </c>
      <c r="L135" s="915">
        <v>45747</v>
      </c>
      <c r="M135" s="912">
        <v>15</v>
      </c>
      <c r="N135" s="912">
        <v>12</v>
      </c>
      <c r="O135" s="912"/>
      <c r="P135" s="941">
        <f t="shared" si="9"/>
        <v>0.8</v>
      </c>
      <c r="Q135" s="960">
        <f t="shared" si="10"/>
        <v>0</v>
      </c>
    </row>
    <row r="136" spans="1:21">
      <c r="A136" s="959">
        <v>132</v>
      </c>
      <c r="B136" s="940" t="s">
        <v>1687</v>
      </c>
      <c r="C136" s="912" t="s">
        <v>7</v>
      </c>
      <c r="D136" s="912" t="s">
        <v>228</v>
      </c>
      <c r="E136" s="912" t="s">
        <v>326</v>
      </c>
      <c r="F136" s="913" t="s">
        <v>813</v>
      </c>
      <c r="G136" s="912"/>
      <c r="H136" s="914" t="s">
        <v>1082</v>
      </c>
      <c r="I136" s="912"/>
      <c r="J136" s="912"/>
      <c r="K136" s="915">
        <v>45580</v>
      </c>
      <c r="L136" s="915">
        <v>45684</v>
      </c>
      <c r="M136" s="912">
        <v>20</v>
      </c>
      <c r="N136" s="912">
        <v>18</v>
      </c>
      <c r="O136" s="912"/>
      <c r="P136" s="941">
        <f t="shared" si="9"/>
        <v>0.9</v>
      </c>
      <c r="Q136" s="960">
        <f t="shared" si="10"/>
        <v>0</v>
      </c>
    </row>
    <row r="137" spans="1:21">
      <c r="A137" s="959">
        <v>133</v>
      </c>
      <c r="B137" s="940" t="s">
        <v>1687</v>
      </c>
      <c r="C137" s="912" t="s">
        <v>7</v>
      </c>
      <c r="D137" s="912" t="s">
        <v>233</v>
      </c>
      <c r="E137" s="912" t="s">
        <v>326</v>
      </c>
      <c r="F137" s="913" t="s">
        <v>813</v>
      </c>
      <c r="G137" s="912"/>
      <c r="H137" s="917" t="s">
        <v>667</v>
      </c>
      <c r="I137" s="912"/>
      <c r="J137" s="912"/>
      <c r="K137" s="915">
        <v>45580</v>
      </c>
      <c r="L137" s="915">
        <v>45665</v>
      </c>
      <c r="M137" s="912">
        <v>17</v>
      </c>
      <c r="N137" s="912">
        <v>11</v>
      </c>
      <c r="O137" s="912"/>
      <c r="P137" s="941">
        <f t="shared" si="9"/>
        <v>0.6470588235294118</v>
      </c>
      <c r="Q137" s="960">
        <f t="shared" si="10"/>
        <v>0</v>
      </c>
    </row>
    <row r="138" spans="1:21">
      <c r="A138" s="959">
        <v>134</v>
      </c>
      <c r="B138" s="940" t="s">
        <v>1687</v>
      </c>
      <c r="C138" s="912" t="s">
        <v>1638</v>
      </c>
      <c r="D138" s="912" t="s">
        <v>248</v>
      </c>
      <c r="E138" s="912" t="s">
        <v>2</v>
      </c>
      <c r="F138" s="917" t="s">
        <v>1641</v>
      </c>
      <c r="G138" s="912"/>
      <c r="H138" s="914" t="s">
        <v>1689</v>
      </c>
      <c r="I138" s="912"/>
      <c r="J138" s="912"/>
      <c r="K138" s="915">
        <v>45580</v>
      </c>
      <c r="L138" s="915">
        <v>45777</v>
      </c>
      <c r="M138" s="912">
        <v>20</v>
      </c>
      <c r="N138" s="912">
        <v>11</v>
      </c>
      <c r="O138" s="912"/>
      <c r="P138" s="941">
        <f t="shared" si="9"/>
        <v>0.55000000000000004</v>
      </c>
      <c r="Q138" s="960">
        <f t="shared" si="10"/>
        <v>0</v>
      </c>
    </row>
    <row r="139" spans="1:21">
      <c r="A139" s="959">
        <v>135</v>
      </c>
      <c r="B139" s="940" t="s">
        <v>1687</v>
      </c>
      <c r="C139" s="912" t="s">
        <v>825</v>
      </c>
      <c r="D139" s="912" t="s">
        <v>1646</v>
      </c>
      <c r="E139" s="912" t="s">
        <v>326</v>
      </c>
      <c r="F139" s="913" t="s">
        <v>1647</v>
      </c>
      <c r="G139" s="912"/>
      <c r="H139" s="914" t="s">
        <v>988</v>
      </c>
      <c r="I139" s="912"/>
      <c r="J139" s="912"/>
      <c r="K139" s="915">
        <v>45587</v>
      </c>
      <c r="L139" s="915">
        <v>45646</v>
      </c>
      <c r="M139" s="912">
        <v>30</v>
      </c>
      <c r="N139" s="912">
        <v>5</v>
      </c>
      <c r="O139" s="912"/>
      <c r="P139" s="941">
        <f t="shared" si="9"/>
        <v>0.16666666666666666</v>
      </c>
      <c r="Q139" s="960">
        <f t="shared" si="10"/>
        <v>0</v>
      </c>
    </row>
    <row r="140" spans="1:21">
      <c r="A140" s="959">
        <v>136</v>
      </c>
      <c r="B140" s="940" t="s">
        <v>1687</v>
      </c>
      <c r="C140" s="912" t="s">
        <v>825</v>
      </c>
      <c r="D140" s="912" t="s">
        <v>445</v>
      </c>
      <c r="E140" s="912" t="s">
        <v>1214</v>
      </c>
      <c r="F140" s="913" t="s">
        <v>1630</v>
      </c>
      <c r="G140" s="912"/>
      <c r="H140" s="917" t="s">
        <v>1645</v>
      </c>
      <c r="I140" s="912"/>
      <c r="J140" s="912"/>
      <c r="K140" s="915">
        <v>45589</v>
      </c>
      <c r="L140" s="915">
        <v>45757</v>
      </c>
      <c r="M140" s="921">
        <v>21</v>
      </c>
      <c r="N140" s="930">
        <v>7</v>
      </c>
      <c r="O140" s="912"/>
      <c r="P140" s="941">
        <f t="shared" si="9"/>
        <v>0.33333333333333331</v>
      </c>
      <c r="Q140" s="960">
        <f t="shared" si="10"/>
        <v>0</v>
      </c>
    </row>
    <row r="141" spans="1:21" ht="17.25" thickBot="1">
      <c r="A141" s="961">
        <v>137</v>
      </c>
      <c r="B141" s="981" t="s">
        <v>1687</v>
      </c>
      <c r="C141" s="982" t="s">
        <v>50</v>
      </c>
      <c r="D141" s="982" t="s">
        <v>230</v>
      </c>
      <c r="E141" s="982" t="s">
        <v>326</v>
      </c>
      <c r="F141" s="983" t="s">
        <v>1105</v>
      </c>
      <c r="G141" s="982"/>
      <c r="H141" s="994" t="s">
        <v>40</v>
      </c>
      <c r="I141" s="982"/>
      <c r="J141" s="982"/>
      <c r="K141" s="984">
        <v>45593</v>
      </c>
      <c r="L141" s="984">
        <v>45742</v>
      </c>
      <c r="M141" s="982">
        <v>12</v>
      </c>
      <c r="N141" s="982">
        <v>11</v>
      </c>
      <c r="O141" s="982"/>
      <c r="P141" s="985">
        <f t="shared" si="9"/>
        <v>0.91666666666666663</v>
      </c>
      <c r="Q141" s="986">
        <f t="shared" si="10"/>
        <v>0</v>
      </c>
      <c r="R141" s="750">
        <f>SUM(M129:M141)</f>
        <v>263</v>
      </c>
      <c r="S141" s="750">
        <f>SUM(N129:N141)</f>
        <v>133</v>
      </c>
      <c r="T141" s="996">
        <f>S141/R141</f>
        <v>0.50570342205323193</v>
      </c>
      <c r="U141">
        <f>COUNTA(H129:H141)</f>
        <v>13</v>
      </c>
    </row>
    <row r="142" spans="1:21">
      <c r="A142" s="950">
        <v>138</v>
      </c>
      <c r="B142" s="951" t="s">
        <v>1726</v>
      </c>
      <c r="C142" s="952" t="s">
        <v>1727</v>
      </c>
      <c r="D142" s="952" t="s">
        <v>1728</v>
      </c>
      <c r="E142" s="952" t="s">
        <v>1729</v>
      </c>
      <c r="F142" s="953" t="s">
        <v>773</v>
      </c>
      <c r="G142" s="952"/>
      <c r="H142" s="979" t="s">
        <v>1730</v>
      </c>
      <c r="I142" s="952"/>
      <c r="J142" s="952"/>
      <c r="K142" s="955">
        <v>45607</v>
      </c>
      <c r="L142" s="955">
        <v>45715</v>
      </c>
      <c r="M142" s="952">
        <v>20</v>
      </c>
      <c r="N142" s="952">
        <v>10</v>
      </c>
      <c r="O142" s="952"/>
      <c r="P142" s="957">
        <f t="shared" si="9"/>
        <v>0.5</v>
      </c>
      <c r="Q142" s="958">
        <f t="shared" si="10"/>
        <v>0</v>
      </c>
      <c r="R142" s="750"/>
      <c r="S142" s="750"/>
      <c r="T142" s="996"/>
    </row>
    <row r="143" spans="1:21">
      <c r="A143" s="1002">
        <v>139</v>
      </c>
      <c r="B143" s="1003" t="s">
        <v>1690</v>
      </c>
      <c r="C143" s="1004" t="s">
        <v>7</v>
      </c>
      <c r="D143" s="1004" t="s">
        <v>228</v>
      </c>
      <c r="E143" s="1004" t="s">
        <v>2</v>
      </c>
      <c r="F143" s="1005" t="s">
        <v>1640</v>
      </c>
      <c r="G143" s="1004"/>
      <c r="H143" s="1006" t="s">
        <v>1648</v>
      </c>
      <c r="I143" s="1004"/>
      <c r="J143" s="1004"/>
      <c r="K143" s="1007">
        <v>45608</v>
      </c>
      <c r="L143" s="1007">
        <v>45798</v>
      </c>
      <c r="M143" s="1004">
        <v>20</v>
      </c>
      <c r="N143" s="1004">
        <v>15</v>
      </c>
      <c r="O143" s="1004"/>
      <c r="P143" s="1008">
        <f t="shared" si="9"/>
        <v>0.75</v>
      </c>
      <c r="Q143" s="1009">
        <f t="shared" si="10"/>
        <v>0</v>
      </c>
    </row>
    <row r="144" spans="1:21">
      <c r="A144" s="1002">
        <v>140</v>
      </c>
      <c r="B144" s="940" t="s">
        <v>1690</v>
      </c>
      <c r="C144" s="912" t="s">
        <v>3</v>
      </c>
      <c r="D144" s="912" t="s">
        <v>227</v>
      </c>
      <c r="E144" s="912" t="s">
        <v>2</v>
      </c>
      <c r="F144" s="913" t="s">
        <v>1650</v>
      </c>
      <c r="G144" s="912"/>
      <c r="H144" s="917" t="s">
        <v>1651</v>
      </c>
      <c r="I144" s="912"/>
      <c r="J144" s="912"/>
      <c r="K144" s="915">
        <v>45608</v>
      </c>
      <c r="L144" s="915">
        <v>45776</v>
      </c>
      <c r="M144" s="912">
        <v>20</v>
      </c>
      <c r="N144" s="912">
        <v>7</v>
      </c>
      <c r="O144" s="912"/>
      <c r="P144" s="941">
        <f t="shared" si="9"/>
        <v>0.35</v>
      </c>
      <c r="Q144" s="960">
        <f t="shared" si="10"/>
        <v>0</v>
      </c>
    </row>
    <row r="145" spans="1:21">
      <c r="A145" s="1002">
        <v>141</v>
      </c>
      <c r="B145" s="940" t="s">
        <v>1690</v>
      </c>
      <c r="C145" s="912" t="s">
        <v>47</v>
      </c>
      <c r="D145" s="912" t="s">
        <v>226</v>
      </c>
      <c r="E145" s="912" t="s">
        <v>326</v>
      </c>
      <c r="F145" s="913" t="s">
        <v>763</v>
      </c>
      <c r="G145" s="912"/>
      <c r="H145" s="917" t="s">
        <v>1139</v>
      </c>
      <c r="I145" s="912"/>
      <c r="J145" s="912"/>
      <c r="K145" s="915">
        <v>45610</v>
      </c>
      <c r="L145" s="915">
        <v>45796</v>
      </c>
      <c r="M145" s="912">
        <v>10</v>
      </c>
      <c r="N145" s="912">
        <v>7</v>
      </c>
      <c r="O145" s="912"/>
      <c r="P145" s="941">
        <f t="shared" si="9"/>
        <v>0.7</v>
      </c>
      <c r="Q145" s="960">
        <f t="shared" si="10"/>
        <v>0</v>
      </c>
    </row>
    <row r="146" spans="1:21">
      <c r="A146" s="1002">
        <v>142</v>
      </c>
      <c r="B146" s="940" t="s">
        <v>1690</v>
      </c>
      <c r="C146" s="912" t="s">
        <v>7</v>
      </c>
      <c r="D146" s="912" t="s">
        <v>228</v>
      </c>
      <c r="E146" s="912" t="s">
        <v>2</v>
      </c>
      <c r="F146" s="913" t="s">
        <v>773</v>
      </c>
      <c r="G146" s="912"/>
      <c r="H146" s="917" t="s">
        <v>1649</v>
      </c>
      <c r="I146" s="912"/>
      <c r="J146" s="912"/>
      <c r="K146" s="915">
        <v>45610</v>
      </c>
      <c r="L146" s="915">
        <v>45813</v>
      </c>
      <c r="M146" s="912">
        <v>20</v>
      </c>
      <c r="N146" s="912">
        <v>14</v>
      </c>
      <c r="O146" s="912"/>
      <c r="P146" s="941">
        <f t="shared" si="9"/>
        <v>0.7</v>
      </c>
      <c r="Q146" s="960">
        <f t="shared" si="10"/>
        <v>0</v>
      </c>
    </row>
    <row r="147" spans="1:21">
      <c r="A147" s="1002">
        <v>143</v>
      </c>
      <c r="B147" s="940" t="s">
        <v>1690</v>
      </c>
      <c r="C147" s="912" t="s">
        <v>3</v>
      </c>
      <c r="D147" s="912" t="s">
        <v>194</v>
      </c>
      <c r="E147" s="912" t="s">
        <v>2</v>
      </c>
      <c r="F147" s="913" t="s">
        <v>1630</v>
      </c>
      <c r="G147" s="912"/>
      <c r="H147" s="917" t="s">
        <v>1652</v>
      </c>
      <c r="I147" s="912"/>
      <c r="J147" s="912"/>
      <c r="K147" s="915">
        <v>45615</v>
      </c>
      <c r="L147" s="915">
        <v>45789</v>
      </c>
      <c r="M147" s="912">
        <v>21</v>
      </c>
      <c r="N147" s="912">
        <v>5</v>
      </c>
      <c r="O147" s="912"/>
      <c r="P147" s="941">
        <f t="shared" si="9"/>
        <v>0.23809523809523808</v>
      </c>
      <c r="Q147" s="960">
        <f t="shared" si="10"/>
        <v>0</v>
      </c>
    </row>
    <row r="148" spans="1:21">
      <c r="A148" s="1002">
        <v>144</v>
      </c>
      <c r="B148" s="940" t="s">
        <v>1690</v>
      </c>
      <c r="C148" s="912" t="s">
        <v>825</v>
      </c>
      <c r="D148" s="912" t="s">
        <v>445</v>
      </c>
      <c r="E148" s="912" t="s">
        <v>476</v>
      </c>
      <c r="F148" s="913" t="s">
        <v>930</v>
      </c>
      <c r="G148" s="912"/>
      <c r="H148" s="917" t="s">
        <v>1691</v>
      </c>
      <c r="I148" s="912"/>
      <c r="J148" s="912"/>
      <c r="K148" s="915">
        <v>45617</v>
      </c>
      <c r="L148" s="915">
        <v>45817</v>
      </c>
      <c r="M148" s="912">
        <v>25</v>
      </c>
      <c r="N148" s="912">
        <v>22</v>
      </c>
      <c r="O148" s="912"/>
      <c r="P148" s="941">
        <f t="shared" si="9"/>
        <v>0.88</v>
      </c>
      <c r="Q148" s="960">
        <f t="shared" si="10"/>
        <v>0</v>
      </c>
    </row>
    <row r="149" spans="1:21">
      <c r="A149" s="1002">
        <v>145</v>
      </c>
      <c r="B149" s="940" t="s">
        <v>1690</v>
      </c>
      <c r="C149" s="912" t="s">
        <v>47</v>
      </c>
      <c r="D149" s="912" t="s">
        <v>228</v>
      </c>
      <c r="E149" s="912" t="s">
        <v>326</v>
      </c>
      <c r="F149" s="913" t="s">
        <v>763</v>
      </c>
      <c r="G149" s="912"/>
      <c r="H149" s="917" t="s">
        <v>1692</v>
      </c>
      <c r="I149" s="912"/>
      <c r="J149" s="912"/>
      <c r="K149" s="915">
        <v>45621</v>
      </c>
      <c r="L149" s="915">
        <v>45811</v>
      </c>
      <c r="M149" s="912">
        <v>13</v>
      </c>
      <c r="N149" s="912">
        <v>10</v>
      </c>
      <c r="O149" s="912"/>
      <c r="P149" s="941">
        <f t="shared" si="9"/>
        <v>0.76923076923076927</v>
      </c>
      <c r="Q149" s="960">
        <f t="shared" si="10"/>
        <v>0</v>
      </c>
    </row>
    <row r="150" spans="1:21">
      <c r="A150" s="1002">
        <v>146</v>
      </c>
      <c r="B150" s="940" t="s">
        <v>1690</v>
      </c>
      <c r="C150" s="912" t="s">
        <v>3</v>
      </c>
      <c r="D150" s="912" t="s">
        <v>226</v>
      </c>
      <c r="E150" s="912" t="s">
        <v>478</v>
      </c>
      <c r="F150" s="913" t="s">
        <v>762</v>
      </c>
      <c r="G150" s="912"/>
      <c r="H150" s="917" t="s">
        <v>1653</v>
      </c>
      <c r="I150" s="912"/>
      <c r="J150" s="912"/>
      <c r="K150" s="915">
        <v>45623</v>
      </c>
      <c r="L150" s="915">
        <v>45763</v>
      </c>
      <c r="M150" s="912">
        <v>30</v>
      </c>
      <c r="N150" s="912">
        <v>24</v>
      </c>
      <c r="O150" s="912"/>
      <c r="P150" s="941">
        <f t="shared" si="9"/>
        <v>0.8</v>
      </c>
      <c r="Q150" s="960">
        <f t="shared" si="10"/>
        <v>0</v>
      </c>
      <c r="R150" s="776"/>
      <c r="S150" s="776"/>
    </row>
    <row r="151" spans="1:21">
      <c r="A151" s="1002">
        <v>147</v>
      </c>
      <c r="B151" s="940" t="s">
        <v>1690</v>
      </c>
      <c r="C151" s="912" t="s">
        <v>825</v>
      </c>
      <c r="D151" s="912" t="s">
        <v>779</v>
      </c>
      <c r="E151" s="912" t="s">
        <v>478</v>
      </c>
      <c r="F151" s="913" t="s">
        <v>927</v>
      </c>
      <c r="G151" s="912"/>
      <c r="H151" s="917" t="s">
        <v>1693</v>
      </c>
      <c r="I151" s="912"/>
      <c r="J151" s="912"/>
      <c r="K151" s="915">
        <v>45624</v>
      </c>
      <c r="L151" s="915">
        <v>45791</v>
      </c>
      <c r="M151" s="912">
        <v>30</v>
      </c>
      <c r="N151" s="912">
        <v>17</v>
      </c>
      <c r="O151" s="912"/>
      <c r="P151" s="941">
        <f t="shared" si="9"/>
        <v>0.56666666666666665</v>
      </c>
      <c r="Q151" s="960">
        <f t="shared" si="10"/>
        <v>0</v>
      </c>
      <c r="R151" s="750">
        <f>SUM(M143:M151)</f>
        <v>189</v>
      </c>
      <c r="S151" s="750">
        <f>SUM(N143:N151)</f>
        <v>121</v>
      </c>
      <c r="T151" s="996">
        <f>S151/R151</f>
        <v>0.64021164021164023</v>
      </c>
      <c r="U151">
        <f>COUNTA(H143:H151)</f>
        <v>9</v>
      </c>
    </row>
    <row r="152" spans="1:21" ht="17.25" thickBot="1">
      <c r="A152" s="1002">
        <v>148</v>
      </c>
      <c r="B152" s="962" t="s">
        <v>1715</v>
      </c>
      <c r="C152" s="963" t="s">
        <v>1702</v>
      </c>
      <c r="D152" s="963" t="s">
        <v>1704</v>
      </c>
      <c r="E152" s="963" t="s">
        <v>1705</v>
      </c>
      <c r="F152" s="964" t="s">
        <v>1709</v>
      </c>
      <c r="G152" s="963"/>
      <c r="H152" s="995" t="s">
        <v>1714</v>
      </c>
      <c r="I152" s="963"/>
      <c r="J152" s="963"/>
      <c r="K152" s="966">
        <v>45604</v>
      </c>
      <c r="L152" s="966">
        <v>45663</v>
      </c>
      <c r="M152" s="963">
        <v>20</v>
      </c>
      <c r="N152" s="963">
        <v>11</v>
      </c>
      <c r="O152" s="963"/>
      <c r="P152" s="967">
        <f>N152/M152</f>
        <v>0.55000000000000004</v>
      </c>
      <c r="Q152" s="968">
        <f>O152/M152</f>
        <v>0</v>
      </c>
      <c r="R152" s="997">
        <f>SUM(M143:M152)</f>
        <v>209</v>
      </c>
      <c r="S152" s="997">
        <f>SUM(N143:N152)</f>
        <v>132</v>
      </c>
      <c r="T152" s="998">
        <f>S152/R152</f>
        <v>0.63157894736842102</v>
      </c>
      <c r="U152">
        <f>COUNTA(H143:H152)</f>
        <v>10</v>
      </c>
    </row>
    <row r="153" spans="1:21">
      <c r="A153" s="1002">
        <v>149</v>
      </c>
      <c r="B153" s="951" t="s">
        <v>1694</v>
      </c>
      <c r="C153" s="952" t="s">
        <v>7</v>
      </c>
      <c r="D153" s="952" t="s">
        <v>368</v>
      </c>
      <c r="E153" s="952" t="s">
        <v>2</v>
      </c>
      <c r="F153" s="953"/>
      <c r="G153" s="952"/>
      <c r="H153" s="979" t="s">
        <v>1695</v>
      </c>
      <c r="I153" s="952"/>
      <c r="J153" s="952"/>
      <c r="K153" s="955">
        <v>45629</v>
      </c>
      <c r="L153" s="955">
        <v>45883</v>
      </c>
      <c r="M153" s="952">
        <v>21</v>
      </c>
      <c r="N153" s="952">
        <v>15</v>
      </c>
      <c r="O153" s="952"/>
      <c r="P153" s="957">
        <f t="shared" si="9"/>
        <v>0.7142857142857143</v>
      </c>
      <c r="Q153" s="958">
        <f t="shared" si="10"/>
        <v>0</v>
      </c>
    </row>
    <row r="154" spans="1:21">
      <c r="A154" s="1002">
        <v>150</v>
      </c>
      <c r="B154" s="940" t="s">
        <v>1694</v>
      </c>
      <c r="C154" s="912" t="s">
        <v>7</v>
      </c>
      <c r="D154" s="912" t="s">
        <v>233</v>
      </c>
      <c r="E154" s="912" t="s">
        <v>2</v>
      </c>
      <c r="F154" s="913" t="s">
        <v>773</v>
      </c>
      <c r="G154" s="912"/>
      <c r="H154" s="917" t="s">
        <v>1655</v>
      </c>
      <c r="I154" s="912"/>
      <c r="J154" s="912"/>
      <c r="K154" s="915">
        <v>45636</v>
      </c>
      <c r="L154" s="915">
        <v>45805</v>
      </c>
      <c r="M154" s="912">
        <v>20</v>
      </c>
      <c r="N154" s="930">
        <v>9</v>
      </c>
      <c r="O154" s="912"/>
      <c r="P154" s="941">
        <f t="shared" si="9"/>
        <v>0.45</v>
      </c>
      <c r="Q154" s="960">
        <f t="shared" si="10"/>
        <v>0</v>
      </c>
    </row>
    <row r="155" spans="1:21">
      <c r="A155" s="1002">
        <v>151</v>
      </c>
      <c r="B155" s="940" t="s">
        <v>1694</v>
      </c>
      <c r="C155" s="912" t="s">
        <v>7</v>
      </c>
      <c r="D155" s="912" t="s">
        <v>235</v>
      </c>
      <c r="E155" s="912" t="s">
        <v>326</v>
      </c>
      <c r="F155" s="913" t="s">
        <v>771</v>
      </c>
      <c r="G155" s="912"/>
      <c r="H155" s="917" t="s">
        <v>964</v>
      </c>
      <c r="I155" s="912"/>
      <c r="J155" s="912"/>
      <c r="K155" s="915">
        <v>45637</v>
      </c>
      <c r="L155" s="915">
        <v>45744</v>
      </c>
      <c r="M155" s="912">
        <v>10</v>
      </c>
      <c r="N155" s="930">
        <v>7</v>
      </c>
      <c r="O155" s="912"/>
      <c r="P155" s="941">
        <f t="shared" si="9"/>
        <v>0.7</v>
      </c>
      <c r="Q155" s="960">
        <f t="shared" si="10"/>
        <v>0</v>
      </c>
    </row>
    <row r="156" spans="1:21">
      <c r="A156" s="1002">
        <v>152</v>
      </c>
      <c r="B156" s="940" t="s">
        <v>1694</v>
      </c>
      <c r="C156" s="912" t="s">
        <v>7</v>
      </c>
      <c r="D156" s="912" t="s">
        <v>226</v>
      </c>
      <c r="E156" s="912" t="s">
        <v>2</v>
      </c>
      <c r="F156" s="913"/>
      <c r="G156" s="912"/>
      <c r="H156" s="917" t="s">
        <v>1696</v>
      </c>
      <c r="I156" s="912"/>
      <c r="J156" s="912"/>
      <c r="K156" s="915">
        <v>45638</v>
      </c>
      <c r="L156" s="915">
        <v>45890</v>
      </c>
      <c r="M156" s="912">
        <v>20</v>
      </c>
      <c r="N156" s="912">
        <v>8</v>
      </c>
      <c r="O156" s="912"/>
      <c r="P156" s="941">
        <f t="shared" si="9"/>
        <v>0.4</v>
      </c>
      <c r="Q156" s="960">
        <f t="shared" si="10"/>
        <v>0</v>
      </c>
    </row>
    <row r="157" spans="1:21">
      <c r="A157" s="1002">
        <v>153</v>
      </c>
      <c r="B157" s="940" t="s">
        <v>1694</v>
      </c>
      <c r="C157" s="912" t="s">
        <v>47</v>
      </c>
      <c r="D157" s="912" t="s">
        <v>227</v>
      </c>
      <c r="E157" s="912" t="s">
        <v>2</v>
      </c>
      <c r="F157" s="913" t="s">
        <v>763</v>
      </c>
      <c r="G157" s="912"/>
      <c r="H157" s="917" t="s">
        <v>1656</v>
      </c>
      <c r="I157" s="912"/>
      <c r="J157" s="912"/>
      <c r="K157" s="915">
        <v>45642</v>
      </c>
      <c r="L157" s="915">
        <v>45779</v>
      </c>
      <c r="M157" s="912">
        <v>22</v>
      </c>
      <c r="N157" s="912">
        <v>9</v>
      </c>
      <c r="O157" s="912"/>
      <c r="P157" s="941">
        <f t="shared" si="9"/>
        <v>0.40909090909090912</v>
      </c>
      <c r="Q157" s="960">
        <f t="shared" si="10"/>
        <v>0</v>
      </c>
    </row>
    <row r="158" spans="1:21">
      <c r="A158" s="1002">
        <v>154</v>
      </c>
      <c r="B158" s="940" t="s">
        <v>1694</v>
      </c>
      <c r="C158" s="912" t="s">
        <v>7</v>
      </c>
      <c r="D158" s="912" t="s">
        <v>1149</v>
      </c>
      <c r="E158" s="912" t="s">
        <v>478</v>
      </c>
      <c r="F158" s="913"/>
      <c r="G158" s="912"/>
      <c r="H158" s="946" t="s">
        <v>1697</v>
      </c>
      <c r="I158" s="912"/>
      <c r="J158" s="912"/>
      <c r="K158" s="947">
        <v>45642</v>
      </c>
      <c r="L158" s="947">
        <v>45720</v>
      </c>
      <c r="M158" s="912">
        <v>20</v>
      </c>
      <c r="N158" s="912">
        <v>20</v>
      </c>
      <c r="O158" s="912"/>
      <c r="P158" s="941">
        <f t="shared" si="9"/>
        <v>1</v>
      </c>
      <c r="Q158" s="960">
        <f t="shared" si="10"/>
        <v>0</v>
      </c>
    </row>
    <row r="159" spans="1:21">
      <c r="A159" s="1002">
        <v>155</v>
      </c>
      <c r="B159" s="940" t="s">
        <v>1694</v>
      </c>
      <c r="C159" s="912" t="s">
        <v>7</v>
      </c>
      <c r="D159" s="912" t="s">
        <v>1149</v>
      </c>
      <c r="E159" s="912" t="s">
        <v>478</v>
      </c>
      <c r="F159" s="913"/>
      <c r="G159" s="912"/>
      <c r="H159" s="948" t="s">
        <v>1698</v>
      </c>
      <c r="I159" s="912"/>
      <c r="J159" s="912"/>
      <c r="K159" s="947">
        <v>45642</v>
      </c>
      <c r="L159" s="947">
        <v>45754</v>
      </c>
      <c r="M159" s="912">
        <v>20</v>
      </c>
      <c r="N159" s="912">
        <v>4</v>
      </c>
      <c r="O159" s="912"/>
      <c r="P159" s="941">
        <f t="shared" si="9"/>
        <v>0.2</v>
      </c>
      <c r="Q159" s="960">
        <f t="shared" si="10"/>
        <v>0</v>
      </c>
    </row>
    <row r="160" spans="1:21">
      <c r="A160" s="1002">
        <v>156</v>
      </c>
      <c r="B160" s="940" t="s">
        <v>1694</v>
      </c>
      <c r="C160" s="912" t="s">
        <v>3</v>
      </c>
      <c r="D160" s="912" t="s">
        <v>194</v>
      </c>
      <c r="E160" s="912" t="s">
        <v>807</v>
      </c>
      <c r="F160" s="913" t="s">
        <v>927</v>
      </c>
      <c r="G160" s="912"/>
      <c r="H160" s="913" t="s">
        <v>1175</v>
      </c>
      <c r="I160" s="912"/>
      <c r="J160" s="912"/>
      <c r="K160" s="915">
        <v>45643</v>
      </c>
      <c r="L160" s="915">
        <v>45793</v>
      </c>
      <c r="M160" s="912">
        <v>21</v>
      </c>
      <c r="N160" s="916">
        <v>20</v>
      </c>
      <c r="O160" s="912"/>
      <c r="P160" s="941">
        <f t="shared" si="9"/>
        <v>0.95238095238095233</v>
      </c>
      <c r="Q160" s="960">
        <f t="shared" si="10"/>
        <v>0</v>
      </c>
    </row>
    <row r="161" spans="1:18">
      <c r="A161" s="1002">
        <v>157</v>
      </c>
      <c r="B161" s="940" t="s">
        <v>1694</v>
      </c>
      <c r="C161" s="912" t="s">
        <v>47</v>
      </c>
      <c r="D161" s="912" t="s">
        <v>233</v>
      </c>
      <c r="E161" s="912" t="s">
        <v>2</v>
      </c>
      <c r="F161" s="913" t="s">
        <v>763</v>
      </c>
      <c r="G161" s="912"/>
      <c r="H161" s="917" t="s">
        <v>1233</v>
      </c>
      <c r="I161" s="912"/>
      <c r="J161" s="912"/>
      <c r="K161" s="915">
        <v>45645</v>
      </c>
      <c r="L161" s="915">
        <v>45866</v>
      </c>
      <c r="M161" s="912">
        <v>20</v>
      </c>
      <c r="N161" s="912">
        <v>15</v>
      </c>
      <c r="O161" s="912"/>
      <c r="P161" s="941">
        <f t="shared" si="9"/>
        <v>0.75</v>
      </c>
      <c r="Q161" s="960">
        <f t="shared" si="10"/>
        <v>0</v>
      </c>
    </row>
    <row r="162" spans="1:18">
      <c r="A162" s="1002">
        <v>158</v>
      </c>
      <c r="B162" s="940" t="s">
        <v>1694</v>
      </c>
      <c r="C162" s="912" t="s">
        <v>7</v>
      </c>
      <c r="D162" s="912" t="s">
        <v>226</v>
      </c>
      <c r="E162" s="912" t="s">
        <v>1719</v>
      </c>
      <c r="F162" s="913"/>
      <c r="G162" s="912"/>
      <c r="H162" s="917" t="s">
        <v>1699</v>
      </c>
      <c r="I162" s="912"/>
      <c r="J162" s="912"/>
      <c r="K162" s="949">
        <v>45645</v>
      </c>
      <c r="L162" s="949">
        <v>45833</v>
      </c>
      <c r="M162" s="912">
        <v>20</v>
      </c>
      <c r="N162" s="912">
        <v>10</v>
      </c>
      <c r="O162" s="912"/>
      <c r="P162" s="941">
        <f t="shared" si="9"/>
        <v>0.5</v>
      </c>
      <c r="Q162" s="960">
        <f t="shared" si="10"/>
        <v>0</v>
      </c>
    </row>
    <row r="163" spans="1:18">
      <c r="A163" s="1002">
        <v>159</v>
      </c>
      <c r="B163" s="940" t="s">
        <v>1694</v>
      </c>
      <c r="C163" s="912" t="s">
        <v>3</v>
      </c>
      <c r="D163" s="912" t="s">
        <v>228</v>
      </c>
      <c r="E163" s="912" t="s">
        <v>478</v>
      </c>
      <c r="F163" s="913" t="s">
        <v>762</v>
      </c>
      <c r="G163" s="912"/>
      <c r="H163" s="917" t="s">
        <v>1240</v>
      </c>
      <c r="I163" s="912"/>
      <c r="J163" s="912"/>
      <c r="K163" s="915">
        <v>45646</v>
      </c>
      <c r="L163" s="915">
        <v>45812</v>
      </c>
      <c r="M163" s="912">
        <v>20</v>
      </c>
      <c r="N163" s="912">
        <v>13</v>
      </c>
      <c r="O163" s="912"/>
      <c r="P163" s="941">
        <f t="shared" si="9"/>
        <v>0.65</v>
      </c>
      <c r="Q163" s="960">
        <f t="shared" si="10"/>
        <v>0</v>
      </c>
    </row>
    <row r="164" spans="1:18">
      <c r="A164" s="1002">
        <v>160</v>
      </c>
      <c r="B164" s="940" t="s">
        <v>1721</v>
      </c>
      <c r="C164" s="912" t="s">
        <v>1722</v>
      </c>
      <c r="D164" s="912" t="s">
        <v>1723</v>
      </c>
      <c r="E164" s="912" t="s">
        <v>1725</v>
      </c>
      <c r="F164" s="913" t="s">
        <v>763</v>
      </c>
      <c r="G164" s="912"/>
      <c r="H164" s="917" t="s">
        <v>1724</v>
      </c>
      <c r="I164" s="912"/>
      <c r="J164" s="912"/>
      <c r="K164" s="915">
        <v>45649</v>
      </c>
      <c r="L164" s="915">
        <v>45846</v>
      </c>
      <c r="M164" s="912">
        <v>21</v>
      </c>
      <c r="N164" s="912">
        <v>7</v>
      </c>
      <c r="O164" s="912"/>
      <c r="P164" s="941">
        <f t="shared" si="9"/>
        <v>0.33333333333333331</v>
      </c>
      <c r="Q164" s="960">
        <f t="shared" si="10"/>
        <v>0</v>
      </c>
    </row>
    <row r="165" spans="1:18">
      <c r="A165" s="1002">
        <v>161</v>
      </c>
      <c r="B165" s="940" t="s">
        <v>1694</v>
      </c>
      <c r="C165" s="912" t="s">
        <v>3</v>
      </c>
      <c r="D165" s="912" t="s">
        <v>194</v>
      </c>
      <c r="E165" s="912" t="s">
        <v>2</v>
      </c>
      <c r="F165" s="913" t="s">
        <v>762</v>
      </c>
      <c r="G165" s="912"/>
      <c r="H165" s="917" t="s">
        <v>1657</v>
      </c>
      <c r="I165" s="912"/>
      <c r="J165" s="912"/>
      <c r="K165" s="915">
        <v>45649</v>
      </c>
      <c r="L165" s="915">
        <v>45807</v>
      </c>
      <c r="M165" s="912">
        <v>35</v>
      </c>
      <c r="N165" s="921">
        <v>7</v>
      </c>
      <c r="O165" s="912"/>
      <c r="P165" s="941">
        <f t="shared" si="9"/>
        <v>0.2</v>
      </c>
      <c r="Q165" s="960">
        <f t="shared" si="10"/>
        <v>0</v>
      </c>
    </row>
    <row r="166" spans="1:18">
      <c r="A166" s="1002">
        <v>162</v>
      </c>
      <c r="B166" s="940" t="s">
        <v>1694</v>
      </c>
      <c r="C166" s="912" t="s">
        <v>3</v>
      </c>
      <c r="D166" s="912" t="s">
        <v>194</v>
      </c>
      <c r="E166" s="912" t="s">
        <v>2</v>
      </c>
      <c r="F166" s="913" t="s">
        <v>762</v>
      </c>
      <c r="G166" s="912"/>
      <c r="H166" s="913" t="s">
        <v>1660</v>
      </c>
      <c r="I166" s="912"/>
      <c r="J166" s="912"/>
      <c r="K166" s="915">
        <v>45652</v>
      </c>
      <c r="L166" s="915">
        <v>45819</v>
      </c>
      <c r="M166" s="912">
        <v>35</v>
      </c>
      <c r="N166" s="916">
        <v>11</v>
      </c>
      <c r="O166" s="912"/>
      <c r="P166" s="941">
        <f t="shared" si="9"/>
        <v>0.31428571428571428</v>
      </c>
      <c r="Q166" s="960">
        <f t="shared" si="10"/>
        <v>0</v>
      </c>
    </row>
    <row r="167" spans="1:18">
      <c r="A167" s="1002">
        <v>163</v>
      </c>
      <c r="B167" s="940" t="s">
        <v>1694</v>
      </c>
      <c r="C167" s="912" t="s">
        <v>3</v>
      </c>
      <c r="D167" s="912" t="s">
        <v>225</v>
      </c>
      <c r="E167" s="912" t="s">
        <v>807</v>
      </c>
      <c r="F167" s="913" t="s">
        <v>762</v>
      </c>
      <c r="G167" s="912"/>
      <c r="H167" s="917" t="s">
        <v>1259</v>
      </c>
      <c r="I167" s="912"/>
      <c r="J167" s="912"/>
      <c r="K167" s="915">
        <v>45652</v>
      </c>
      <c r="L167" s="915">
        <v>45820</v>
      </c>
      <c r="M167" s="912">
        <v>20</v>
      </c>
      <c r="N167" s="912">
        <v>16</v>
      </c>
      <c r="O167" s="912"/>
      <c r="P167" s="941">
        <f t="shared" ref="P167:P177" si="11">N167/M167</f>
        <v>0.8</v>
      </c>
      <c r="Q167" s="960">
        <f t="shared" ref="Q167:Q177" si="12">O167/M167</f>
        <v>0</v>
      </c>
    </row>
    <row r="168" spans="1:18">
      <c r="A168" s="1002">
        <v>164</v>
      </c>
      <c r="B168" s="940" t="s">
        <v>1694</v>
      </c>
      <c r="C168" s="912" t="s">
        <v>3</v>
      </c>
      <c r="D168" s="912" t="s">
        <v>225</v>
      </c>
      <c r="E168" s="912" t="s">
        <v>2</v>
      </c>
      <c r="F168" s="913" t="s">
        <v>930</v>
      </c>
      <c r="G168" s="912"/>
      <c r="H168" s="917" t="s">
        <v>1659</v>
      </c>
      <c r="I168" s="912"/>
      <c r="J168" s="912"/>
      <c r="K168" s="915">
        <v>45652</v>
      </c>
      <c r="L168" s="915">
        <v>45834</v>
      </c>
      <c r="M168" s="912">
        <v>22</v>
      </c>
      <c r="N168" s="912">
        <v>13</v>
      </c>
      <c r="O168" s="912"/>
      <c r="P168" s="941">
        <f t="shared" si="11"/>
        <v>0.59090909090909094</v>
      </c>
      <c r="Q168" s="960">
        <f t="shared" si="12"/>
        <v>0</v>
      </c>
      <c r="R168" s="14"/>
    </row>
    <row r="169" spans="1:18">
      <c r="A169" s="1002">
        <v>165</v>
      </c>
      <c r="B169" s="940" t="s">
        <v>1694</v>
      </c>
      <c r="C169" s="912" t="s">
        <v>3</v>
      </c>
      <c r="D169" s="912" t="s">
        <v>226</v>
      </c>
      <c r="E169" s="912" t="s">
        <v>478</v>
      </c>
      <c r="F169" s="913" t="s">
        <v>762</v>
      </c>
      <c r="G169" s="912"/>
      <c r="H169" s="917" t="s">
        <v>1661</v>
      </c>
      <c r="I169" s="912"/>
      <c r="J169" s="912"/>
      <c r="K169" s="915">
        <v>45652</v>
      </c>
      <c r="L169" s="915">
        <v>45792</v>
      </c>
      <c r="M169" s="912">
        <v>30</v>
      </c>
      <c r="N169" s="912">
        <v>18</v>
      </c>
      <c r="O169" s="912"/>
      <c r="P169" s="941">
        <f t="shared" si="11"/>
        <v>0.6</v>
      </c>
      <c r="Q169" s="960">
        <f t="shared" si="12"/>
        <v>0</v>
      </c>
    </row>
    <row r="170" spans="1:18">
      <c r="A170" s="1002">
        <v>166</v>
      </c>
      <c r="B170" s="940" t="s">
        <v>1694</v>
      </c>
      <c r="C170" s="912" t="s">
        <v>7</v>
      </c>
      <c r="D170" s="912" t="s">
        <v>942</v>
      </c>
      <c r="E170" s="912" t="s">
        <v>326</v>
      </c>
      <c r="F170" s="913" t="s">
        <v>809</v>
      </c>
      <c r="G170" s="945"/>
      <c r="H170" s="917" t="s">
        <v>1658</v>
      </c>
      <c r="I170" s="945"/>
      <c r="J170" s="945"/>
      <c r="K170" s="915">
        <v>45652</v>
      </c>
      <c r="L170" s="915">
        <v>45744</v>
      </c>
      <c r="M170" s="912">
        <v>20</v>
      </c>
      <c r="N170" s="930">
        <v>9</v>
      </c>
      <c r="O170" s="945"/>
      <c r="P170" s="941">
        <f t="shared" si="11"/>
        <v>0.45</v>
      </c>
      <c r="Q170" s="960">
        <f t="shared" si="12"/>
        <v>0</v>
      </c>
    </row>
    <row r="171" spans="1:18">
      <c r="A171" s="1002">
        <v>167</v>
      </c>
      <c r="B171" s="940" t="s">
        <v>1694</v>
      </c>
      <c r="C171" s="912" t="s">
        <v>7</v>
      </c>
      <c r="D171" s="912" t="s">
        <v>942</v>
      </c>
      <c r="E171" s="912" t="s">
        <v>326</v>
      </c>
      <c r="F171" s="913" t="s">
        <v>768</v>
      </c>
      <c r="G171" s="945"/>
      <c r="H171" s="917" t="s">
        <v>968</v>
      </c>
      <c r="I171" s="945"/>
      <c r="J171" s="945"/>
      <c r="K171" s="915">
        <v>45652</v>
      </c>
      <c r="L171" s="915">
        <v>45784</v>
      </c>
      <c r="M171" s="912">
        <v>20</v>
      </c>
      <c r="N171" s="912">
        <v>8</v>
      </c>
      <c r="O171" s="945"/>
      <c r="P171" s="941">
        <f t="shared" si="11"/>
        <v>0.4</v>
      </c>
      <c r="Q171" s="960">
        <f t="shared" si="12"/>
        <v>0</v>
      </c>
    </row>
    <row r="172" spans="1:18">
      <c r="A172" s="1002">
        <v>168</v>
      </c>
      <c r="B172" s="940" t="s">
        <v>1694</v>
      </c>
      <c r="C172" s="912" t="s">
        <v>47</v>
      </c>
      <c r="D172" s="912" t="s">
        <v>231</v>
      </c>
      <c r="E172" s="912" t="s">
        <v>326</v>
      </c>
      <c r="F172" s="913" t="s">
        <v>1643</v>
      </c>
      <c r="G172" s="945"/>
      <c r="H172" s="917" t="s">
        <v>689</v>
      </c>
      <c r="I172" s="945"/>
      <c r="J172" s="945"/>
      <c r="K172" s="915">
        <v>45652</v>
      </c>
      <c r="L172" s="915">
        <v>45839</v>
      </c>
      <c r="M172" s="912">
        <v>17</v>
      </c>
      <c r="N172" s="930">
        <v>8</v>
      </c>
      <c r="O172" s="945"/>
      <c r="P172" s="941">
        <f t="shared" si="11"/>
        <v>0.47058823529411764</v>
      </c>
      <c r="Q172" s="960">
        <f t="shared" si="12"/>
        <v>0</v>
      </c>
    </row>
    <row r="173" spans="1:18">
      <c r="A173" s="1002">
        <v>169</v>
      </c>
      <c r="B173" s="940" t="s">
        <v>1694</v>
      </c>
      <c r="C173" s="912" t="s">
        <v>3</v>
      </c>
      <c r="D173" s="912" t="s">
        <v>194</v>
      </c>
      <c r="E173" s="912" t="s">
        <v>2</v>
      </c>
      <c r="F173" s="913" t="s">
        <v>762</v>
      </c>
      <c r="G173" s="945"/>
      <c r="H173" s="913" t="s">
        <v>1662</v>
      </c>
      <c r="I173" s="945"/>
      <c r="J173" s="945"/>
      <c r="K173" s="915">
        <v>45656</v>
      </c>
      <c r="L173" s="915">
        <v>45819</v>
      </c>
      <c r="M173" s="912">
        <v>35</v>
      </c>
      <c r="N173" s="916">
        <v>11</v>
      </c>
      <c r="O173" s="945"/>
      <c r="P173" s="941">
        <f t="shared" si="11"/>
        <v>0.31428571428571428</v>
      </c>
      <c r="Q173" s="960">
        <f t="shared" si="12"/>
        <v>0</v>
      </c>
    </row>
    <row r="174" spans="1:18">
      <c r="A174" s="1002">
        <v>170</v>
      </c>
      <c r="B174" s="940" t="s">
        <v>1694</v>
      </c>
      <c r="C174" s="912" t="s">
        <v>3</v>
      </c>
      <c r="D174" s="912" t="s">
        <v>227</v>
      </c>
      <c r="E174" s="912" t="s">
        <v>2</v>
      </c>
      <c r="F174" s="913" t="s">
        <v>1663</v>
      </c>
      <c r="G174" s="945"/>
      <c r="H174" s="913" t="s">
        <v>1664</v>
      </c>
      <c r="I174" s="945"/>
      <c r="J174" s="945"/>
      <c r="K174" s="915">
        <v>45656</v>
      </c>
      <c r="L174" s="915">
        <v>45828</v>
      </c>
      <c r="M174" s="912">
        <v>30</v>
      </c>
      <c r="N174" s="916">
        <v>11</v>
      </c>
      <c r="O174" s="945"/>
      <c r="P174" s="941">
        <f t="shared" si="11"/>
        <v>0.36666666666666664</v>
      </c>
      <c r="Q174" s="960">
        <f t="shared" si="12"/>
        <v>0</v>
      </c>
    </row>
    <row r="175" spans="1:18">
      <c r="A175" s="1002">
        <v>171</v>
      </c>
      <c r="B175" s="940" t="s">
        <v>1694</v>
      </c>
      <c r="C175" s="912" t="s">
        <v>825</v>
      </c>
      <c r="D175" s="912" t="s">
        <v>1646</v>
      </c>
      <c r="E175" s="912" t="s">
        <v>478</v>
      </c>
      <c r="F175" s="913" t="s">
        <v>1630</v>
      </c>
      <c r="G175" s="945"/>
      <c r="H175" s="914" t="s">
        <v>1665</v>
      </c>
      <c r="I175" s="945"/>
      <c r="J175" s="945"/>
      <c r="K175" s="915">
        <v>45656</v>
      </c>
      <c r="L175" s="915">
        <v>45805</v>
      </c>
      <c r="M175" s="912">
        <v>20</v>
      </c>
      <c r="N175" s="930">
        <v>19</v>
      </c>
      <c r="O175" s="945"/>
      <c r="P175" s="941">
        <f t="shared" si="11"/>
        <v>0.95</v>
      </c>
      <c r="Q175" s="960">
        <f t="shared" si="12"/>
        <v>0</v>
      </c>
    </row>
    <row r="176" spans="1:18">
      <c r="A176" s="1002">
        <v>172</v>
      </c>
      <c r="B176" s="940" t="s">
        <v>1694</v>
      </c>
      <c r="C176" s="912" t="s">
        <v>47</v>
      </c>
      <c r="D176" s="912" t="s">
        <v>225</v>
      </c>
      <c r="E176" s="912" t="s">
        <v>326</v>
      </c>
      <c r="F176" s="913"/>
      <c r="G176" s="945"/>
      <c r="H176" s="914" t="s">
        <v>1700</v>
      </c>
      <c r="I176" s="945"/>
      <c r="J176" s="945"/>
      <c r="K176" s="915">
        <v>45656</v>
      </c>
      <c r="L176" s="915">
        <v>45751</v>
      </c>
      <c r="M176" s="912">
        <v>20</v>
      </c>
      <c r="N176" s="912">
        <v>5</v>
      </c>
      <c r="O176" s="945"/>
      <c r="P176" s="941">
        <f t="shared" si="11"/>
        <v>0.25</v>
      </c>
      <c r="Q176" s="960">
        <f t="shared" si="12"/>
        <v>0</v>
      </c>
    </row>
    <row r="177" spans="1:21" ht="17.25" thickBot="1">
      <c r="A177" s="1010">
        <v>173</v>
      </c>
      <c r="B177" s="981" t="s">
        <v>1694</v>
      </c>
      <c r="C177" s="982" t="s">
        <v>7</v>
      </c>
      <c r="D177" s="982" t="s">
        <v>194</v>
      </c>
      <c r="E177" s="982" t="s">
        <v>2</v>
      </c>
      <c r="F177" s="983" t="s">
        <v>813</v>
      </c>
      <c r="G177" s="1011"/>
      <c r="H177" s="1012" t="s">
        <v>1666</v>
      </c>
      <c r="I177" s="1011"/>
      <c r="J177" s="1011"/>
      <c r="K177" s="984">
        <v>45656</v>
      </c>
      <c r="L177" s="984">
        <v>45861</v>
      </c>
      <c r="M177" s="982">
        <v>20</v>
      </c>
      <c r="N177" s="982">
        <v>20</v>
      </c>
      <c r="O177" s="1011"/>
      <c r="P177" s="985">
        <f t="shared" si="11"/>
        <v>1</v>
      </c>
      <c r="Q177" s="986">
        <f t="shared" si="12"/>
        <v>0</v>
      </c>
      <c r="R177" s="750">
        <f>SUM(M153:M177)</f>
        <v>559</v>
      </c>
      <c r="S177" s="750">
        <f>SUM(N153:N177)</f>
        <v>293</v>
      </c>
      <c r="T177" s="996">
        <f>S177/R177</f>
        <v>0.52415026833631484</v>
      </c>
      <c r="U177">
        <f>COUNTA(H153:H177)</f>
        <v>25</v>
      </c>
    </row>
    <row r="178" spans="1:21">
      <c r="M178" s="80"/>
      <c r="N178" s="80"/>
    </row>
    <row r="179" spans="1:21">
      <c r="M179" s="80"/>
      <c r="N179" s="80"/>
    </row>
    <row r="180" spans="1:21">
      <c r="M180" s="80"/>
      <c r="N180" s="80"/>
    </row>
    <row r="181" spans="1:21">
      <c r="M181" s="80"/>
      <c r="N181" s="80"/>
    </row>
    <row r="182" spans="1:21">
      <c r="M182" s="80"/>
      <c r="N182" s="80"/>
    </row>
    <row r="183" spans="1:21">
      <c r="M183" s="80"/>
      <c r="N183" s="80"/>
    </row>
    <row r="184" spans="1:21">
      <c r="M184" s="80"/>
      <c r="N184" s="80"/>
    </row>
    <row r="185" spans="1:21">
      <c r="M185" s="80"/>
      <c r="N185" s="80"/>
    </row>
    <row r="186" spans="1:21">
      <c r="M186" s="80"/>
      <c r="N186" s="80"/>
    </row>
    <row r="187" spans="1:21">
      <c r="M187" s="80"/>
      <c r="N187" s="80"/>
    </row>
    <row r="188" spans="1:21">
      <c r="M188" s="80"/>
      <c r="N188" s="80"/>
    </row>
    <row r="189" spans="1:21">
      <c r="M189" s="80"/>
      <c r="N189" s="80"/>
    </row>
    <row r="190" spans="1:21">
      <c r="M190" s="80"/>
      <c r="N190" s="80"/>
    </row>
    <row r="191" spans="1:21">
      <c r="M191" s="80"/>
      <c r="N191" s="80"/>
    </row>
    <row r="192" spans="1:21">
      <c r="M192" s="80"/>
      <c r="N192" s="80"/>
    </row>
    <row r="193" spans="13:14">
      <c r="M193" s="80"/>
      <c r="N193" s="80"/>
    </row>
    <row r="194" spans="13:14">
      <c r="M194" s="80"/>
      <c r="N194" s="80"/>
    </row>
    <row r="195" spans="13:14">
      <c r="M195" s="80"/>
      <c r="N195" s="80"/>
    </row>
    <row r="196" spans="13:14">
      <c r="M196" s="80"/>
      <c r="N196" s="80"/>
    </row>
    <row r="197" spans="13:14">
      <c r="M197" s="80"/>
      <c r="N197" s="80"/>
    </row>
    <row r="198" spans="13:14">
      <c r="M198" s="80"/>
      <c r="N198" s="80"/>
    </row>
    <row r="199" spans="13:14">
      <c r="M199" s="80"/>
      <c r="N199" s="80"/>
    </row>
    <row r="200" spans="13:14">
      <c r="M200" s="80"/>
      <c r="N200" s="80"/>
    </row>
    <row r="201" spans="13:14">
      <c r="M201" s="80"/>
      <c r="N201" s="80"/>
    </row>
    <row r="202" spans="13:14">
      <c r="M202" s="80"/>
      <c r="N202" s="80"/>
    </row>
    <row r="203" spans="13:14">
      <c r="M203" s="80"/>
      <c r="N203" s="80"/>
    </row>
    <row r="204" spans="13:14">
      <c r="M204" s="80"/>
      <c r="N204" s="80"/>
    </row>
    <row r="205" spans="13:14">
      <c r="M205" s="80"/>
      <c r="N205" s="80"/>
    </row>
    <row r="206" spans="13:14">
      <c r="M206" s="80"/>
      <c r="N206" s="80"/>
    </row>
    <row r="207" spans="13:14">
      <c r="M207" s="80"/>
      <c r="N207" s="80"/>
    </row>
    <row r="208" spans="13:14">
      <c r="M208" s="80"/>
      <c r="N208" s="80"/>
    </row>
    <row r="209" spans="13:14">
      <c r="M209" s="80"/>
      <c r="N209" s="80"/>
    </row>
    <row r="210" spans="13:14">
      <c r="M210" s="80"/>
      <c r="N210" s="80"/>
    </row>
    <row r="211" spans="13:14">
      <c r="M211" s="80"/>
      <c r="N211" s="80"/>
    </row>
    <row r="212" spans="13:14">
      <c r="M212" s="80"/>
      <c r="N212" s="80"/>
    </row>
    <row r="213" spans="13:14">
      <c r="M213" s="80"/>
      <c r="N213" s="80"/>
    </row>
    <row r="214" spans="13:14">
      <c r="M214" s="80"/>
      <c r="N214" s="80"/>
    </row>
    <row r="215" spans="13:14">
      <c r="M215" s="80"/>
      <c r="N215" s="80"/>
    </row>
    <row r="216" spans="13:14">
      <c r="M216" s="80"/>
      <c r="N216" s="80"/>
    </row>
    <row r="217" spans="13:14">
      <c r="M217" s="80"/>
      <c r="N217" s="80"/>
    </row>
    <row r="218" spans="13:14">
      <c r="M218" s="80"/>
      <c r="N218" s="80"/>
    </row>
    <row r="219" spans="13:14">
      <c r="M219" s="80"/>
      <c r="N219" s="80"/>
    </row>
    <row r="220" spans="13:14">
      <c r="M220" s="80"/>
      <c r="N220" s="80"/>
    </row>
    <row r="221" spans="13:14">
      <c r="M221" s="80"/>
      <c r="N221" s="80"/>
    </row>
    <row r="222" spans="13:14">
      <c r="M222" s="80"/>
      <c r="N222" s="80"/>
    </row>
    <row r="223" spans="13:14">
      <c r="M223" s="80"/>
      <c r="N223" s="80"/>
    </row>
    <row r="224" spans="13:14">
      <c r="M224" s="80"/>
      <c r="N224" s="80"/>
    </row>
    <row r="225" spans="13:14">
      <c r="M225" s="80"/>
      <c r="N225" s="80"/>
    </row>
    <row r="226" spans="13:14">
      <c r="M226" s="80"/>
      <c r="N226" s="80"/>
    </row>
    <row r="227" spans="13:14">
      <c r="M227" s="80"/>
      <c r="N227" s="80"/>
    </row>
    <row r="228" spans="13:14">
      <c r="M228" s="80"/>
      <c r="N228" s="80"/>
    </row>
    <row r="229" spans="13:14">
      <c r="M229" s="80"/>
      <c r="N229" s="80"/>
    </row>
    <row r="230" spans="13:14">
      <c r="M230" s="80"/>
      <c r="N230" s="80"/>
    </row>
    <row r="231" spans="13:14">
      <c r="M231" s="80"/>
      <c r="N231" s="80"/>
    </row>
    <row r="232" spans="13:14">
      <c r="M232" s="80"/>
      <c r="N232" s="80"/>
    </row>
    <row r="233" spans="13:14">
      <c r="M233" s="80"/>
      <c r="N233" s="80"/>
    </row>
    <row r="234" spans="13:14">
      <c r="M234" s="80"/>
      <c r="N234" s="80"/>
    </row>
    <row r="235" spans="13:14">
      <c r="M235" s="80"/>
      <c r="N235" s="80"/>
    </row>
    <row r="236" spans="13:14">
      <c r="M236" s="80"/>
      <c r="N236" s="80"/>
    </row>
    <row r="237" spans="13:14">
      <c r="M237" s="80"/>
      <c r="N237" s="80"/>
    </row>
    <row r="238" spans="13:14">
      <c r="M238" s="80"/>
      <c r="N238" s="80"/>
    </row>
    <row r="239" spans="13:14">
      <c r="M239" s="80"/>
      <c r="N239" s="80"/>
    </row>
    <row r="240" spans="13:14">
      <c r="M240" s="80"/>
      <c r="N240" s="80"/>
    </row>
    <row r="241" spans="13:14">
      <c r="M241" s="80"/>
      <c r="N241" s="80"/>
    </row>
    <row r="242" spans="13:14">
      <c r="M242" s="80"/>
      <c r="N242" s="80"/>
    </row>
    <row r="243" spans="13:14">
      <c r="M243" s="80"/>
      <c r="N243" s="80"/>
    </row>
    <row r="244" spans="13:14">
      <c r="M244" s="80"/>
      <c r="N244" s="80"/>
    </row>
    <row r="245" spans="13:14">
      <c r="M245" s="80"/>
      <c r="N245" s="80"/>
    </row>
    <row r="246" spans="13:14">
      <c r="M246" s="80"/>
      <c r="N246" s="80"/>
    </row>
    <row r="247" spans="13:14">
      <c r="M247" s="80"/>
      <c r="N247" s="80"/>
    </row>
    <row r="248" spans="13:14">
      <c r="M248" s="80"/>
      <c r="N248" s="80"/>
    </row>
    <row r="249" spans="13:14">
      <c r="M249" s="80"/>
      <c r="N249" s="80"/>
    </row>
    <row r="250" spans="13:14">
      <c r="M250" s="80"/>
      <c r="N250" s="80"/>
    </row>
    <row r="251" spans="13:14">
      <c r="M251" s="80"/>
      <c r="N251" s="80"/>
    </row>
    <row r="252" spans="13:14">
      <c r="M252" s="80"/>
      <c r="N252" s="80"/>
    </row>
    <row r="253" spans="13:14">
      <c r="M253" s="80"/>
      <c r="N253" s="80"/>
    </row>
    <row r="254" spans="13:14">
      <c r="M254" s="80"/>
      <c r="N254" s="80"/>
    </row>
    <row r="255" spans="13:14">
      <c r="M255" s="80"/>
      <c r="N255" s="80"/>
    </row>
    <row r="256" spans="13:14">
      <c r="M256" s="80"/>
      <c r="N256" s="80"/>
    </row>
    <row r="257" spans="13:14">
      <c r="M257" s="80"/>
      <c r="N257" s="80"/>
    </row>
    <row r="258" spans="13:14">
      <c r="M258" s="80"/>
      <c r="N258" s="80"/>
    </row>
    <row r="259" spans="13:14">
      <c r="M259" s="80"/>
      <c r="N259" s="80"/>
    </row>
    <row r="260" spans="13:14">
      <c r="M260" s="80"/>
      <c r="N260" s="80"/>
    </row>
    <row r="261" spans="13:14">
      <c r="M261" s="80"/>
      <c r="N261" s="80"/>
    </row>
    <row r="262" spans="13:14">
      <c r="M262" s="80"/>
      <c r="N262" s="80"/>
    </row>
    <row r="263" spans="13:14">
      <c r="M263" s="80"/>
      <c r="N263" s="80"/>
    </row>
    <row r="264" spans="13:14">
      <c r="M264" s="80"/>
      <c r="N264" s="80"/>
    </row>
    <row r="265" spans="13:14">
      <c r="M265" s="80"/>
      <c r="N265" s="80"/>
    </row>
    <row r="266" spans="13:14">
      <c r="M266" s="80"/>
      <c r="N266" s="80"/>
    </row>
    <row r="267" spans="13:14">
      <c r="M267" s="80"/>
      <c r="N267" s="80"/>
    </row>
    <row r="268" spans="13:14">
      <c r="M268" s="80"/>
      <c r="N268" s="80"/>
    </row>
    <row r="269" spans="13:14">
      <c r="M269" s="80"/>
      <c r="N269" s="80"/>
    </row>
    <row r="270" spans="13:14">
      <c r="M270" s="80"/>
      <c r="N270" s="80"/>
    </row>
    <row r="271" spans="13:14">
      <c r="M271" s="80"/>
      <c r="N271" s="80"/>
    </row>
    <row r="272" spans="13:14">
      <c r="M272" s="80"/>
      <c r="N272" s="80"/>
    </row>
    <row r="273" spans="13:14">
      <c r="M273" s="80"/>
      <c r="N273" s="80"/>
    </row>
    <row r="274" spans="13:14">
      <c r="M274" s="80"/>
      <c r="N274" s="80"/>
    </row>
    <row r="275" spans="13:14">
      <c r="M275" s="80"/>
      <c r="N275" s="80"/>
    </row>
    <row r="276" spans="13:14">
      <c r="M276" s="80"/>
      <c r="N276" s="80"/>
    </row>
    <row r="277" spans="13:14">
      <c r="M277" s="80"/>
      <c r="N277" s="80"/>
    </row>
    <row r="278" spans="13:14">
      <c r="M278" s="80"/>
      <c r="N278" s="80"/>
    </row>
    <row r="279" spans="13:14">
      <c r="M279" s="80"/>
      <c r="N279" s="80"/>
    </row>
    <row r="280" spans="13:14">
      <c r="M280" s="80"/>
      <c r="N280" s="80"/>
    </row>
    <row r="281" spans="13:14">
      <c r="M281" s="80"/>
      <c r="N281" s="80"/>
    </row>
    <row r="282" spans="13:14">
      <c r="M282" s="80"/>
      <c r="N282" s="80"/>
    </row>
    <row r="283" spans="13:14">
      <c r="M283" s="80"/>
      <c r="N283" s="80"/>
    </row>
    <row r="284" spans="13:14">
      <c r="M284" s="80"/>
      <c r="N284" s="80"/>
    </row>
    <row r="285" spans="13:14">
      <c r="M285" s="80"/>
      <c r="N285" s="80"/>
    </row>
    <row r="286" spans="13:14">
      <c r="M286" s="80"/>
      <c r="N286" s="80"/>
    </row>
    <row r="287" spans="13:14">
      <c r="M287" s="80"/>
      <c r="N287" s="80"/>
    </row>
    <row r="288" spans="13:14">
      <c r="M288" s="80"/>
      <c r="N288" s="80"/>
    </row>
    <row r="289" spans="13:14">
      <c r="M289" s="80"/>
      <c r="N289" s="80"/>
    </row>
    <row r="290" spans="13:14">
      <c r="M290" s="80"/>
      <c r="N290" s="80"/>
    </row>
    <row r="291" spans="13:14">
      <c r="M291" s="80"/>
      <c r="N291" s="80"/>
    </row>
    <row r="292" spans="13:14">
      <c r="M292" s="80"/>
      <c r="N292" s="80"/>
    </row>
    <row r="293" spans="13:14">
      <c r="M293" s="80"/>
      <c r="N293" s="80"/>
    </row>
    <row r="294" spans="13:14">
      <c r="M294" s="80"/>
      <c r="N294" s="80"/>
    </row>
    <row r="295" spans="13:14">
      <c r="M295" s="80"/>
      <c r="N295" s="80"/>
    </row>
    <row r="296" spans="13:14">
      <c r="M296" s="80"/>
      <c r="N296" s="80"/>
    </row>
    <row r="297" spans="13:14">
      <c r="M297" s="80"/>
      <c r="N297" s="80"/>
    </row>
    <row r="298" spans="13:14">
      <c r="M298" s="80"/>
      <c r="N298" s="80"/>
    </row>
    <row r="299" spans="13:14">
      <c r="M299" s="80"/>
      <c r="N299" s="80"/>
    </row>
    <row r="300" spans="13:14">
      <c r="M300" s="80"/>
      <c r="N300" s="80"/>
    </row>
    <row r="301" spans="13:14">
      <c r="M301" s="80"/>
      <c r="N301" s="80"/>
    </row>
    <row r="302" spans="13:14">
      <c r="M302" s="80"/>
      <c r="N302" s="80"/>
    </row>
    <row r="303" spans="13:14">
      <c r="M303" s="80"/>
      <c r="N303" s="80"/>
    </row>
    <row r="304" spans="13:14">
      <c r="M304" s="80"/>
      <c r="N304" s="80"/>
    </row>
    <row r="305" spans="13:14">
      <c r="M305" s="80"/>
      <c r="N305" s="80"/>
    </row>
    <row r="306" spans="13:14">
      <c r="M306" s="80"/>
      <c r="N306" s="80"/>
    </row>
    <row r="307" spans="13:14">
      <c r="M307" s="80"/>
      <c r="N307" s="80"/>
    </row>
    <row r="308" spans="13:14">
      <c r="M308" s="80"/>
      <c r="N308" s="80"/>
    </row>
    <row r="309" spans="13:14">
      <c r="M309" s="80"/>
      <c r="N309" s="80"/>
    </row>
    <row r="310" spans="13:14">
      <c r="M310" s="80"/>
      <c r="N310" s="80"/>
    </row>
    <row r="311" spans="13:14">
      <c r="M311" s="80"/>
      <c r="N311" s="80"/>
    </row>
    <row r="312" spans="13:14">
      <c r="M312" s="80"/>
      <c r="N312" s="80"/>
    </row>
    <row r="313" spans="13:14">
      <c r="M313" s="80"/>
      <c r="N313" s="80"/>
    </row>
    <row r="314" spans="13:14">
      <c r="M314" s="80"/>
      <c r="N314" s="80"/>
    </row>
    <row r="315" spans="13:14">
      <c r="M315" s="80"/>
      <c r="N315" s="80"/>
    </row>
    <row r="316" spans="13:14">
      <c r="M316" s="80"/>
      <c r="N316" s="80"/>
    </row>
    <row r="317" spans="13:14">
      <c r="M317" s="80"/>
      <c r="N317" s="80"/>
    </row>
    <row r="318" spans="13:14">
      <c r="M318" s="80"/>
      <c r="N318" s="80"/>
    </row>
    <row r="319" spans="13:14">
      <c r="M319" s="80"/>
      <c r="N319" s="80"/>
    </row>
    <row r="320" spans="13:14">
      <c r="M320" s="80"/>
      <c r="N320" s="80"/>
    </row>
    <row r="321" spans="13:14">
      <c r="M321" s="80"/>
      <c r="N321" s="80"/>
    </row>
    <row r="322" spans="13:14">
      <c r="M322" s="80"/>
      <c r="N322" s="80"/>
    </row>
    <row r="323" spans="13:14">
      <c r="M323" s="80"/>
      <c r="N323" s="80"/>
    </row>
    <row r="324" spans="13:14">
      <c r="M324" s="80"/>
      <c r="N324" s="80"/>
    </row>
    <row r="325" spans="13:14">
      <c r="M325" s="80"/>
      <c r="N325" s="80"/>
    </row>
    <row r="326" spans="13:14">
      <c r="M326" s="80"/>
      <c r="N326" s="80"/>
    </row>
    <row r="327" spans="13:14">
      <c r="M327" s="80"/>
      <c r="N327" s="80"/>
    </row>
    <row r="328" spans="13:14">
      <c r="M328" s="80"/>
      <c r="N328" s="80"/>
    </row>
    <row r="329" spans="13:14">
      <c r="M329" s="80"/>
      <c r="N329" s="80"/>
    </row>
    <row r="330" spans="13:14">
      <c r="M330" s="80"/>
      <c r="N330" s="80"/>
    </row>
    <row r="331" spans="13:14">
      <c r="M331" s="80"/>
      <c r="N331" s="80"/>
    </row>
    <row r="332" spans="13:14">
      <c r="M332" s="80"/>
      <c r="N332" s="80"/>
    </row>
    <row r="333" spans="13:14">
      <c r="M333" s="80"/>
      <c r="N333" s="80"/>
    </row>
    <row r="334" spans="13:14">
      <c r="M334" s="80"/>
      <c r="N334" s="80"/>
    </row>
    <row r="335" spans="13:14">
      <c r="M335" s="80"/>
      <c r="N335" s="80"/>
    </row>
    <row r="336" spans="13:14">
      <c r="M336" s="80"/>
      <c r="N336" s="80"/>
    </row>
    <row r="337" spans="13:14">
      <c r="M337" s="80"/>
      <c r="N337" s="80"/>
    </row>
    <row r="338" spans="13:14">
      <c r="M338" s="80"/>
      <c r="N338" s="80"/>
    </row>
    <row r="339" spans="13:14">
      <c r="M339" s="80"/>
      <c r="N339" s="80"/>
    </row>
    <row r="340" spans="13:14">
      <c r="M340" s="80"/>
      <c r="N340" s="80"/>
    </row>
    <row r="341" spans="13:14">
      <c r="M341" s="80"/>
      <c r="N341" s="80"/>
    </row>
    <row r="342" spans="13:14">
      <c r="M342" s="80"/>
      <c r="N342" s="80"/>
    </row>
    <row r="343" spans="13:14">
      <c r="M343" s="80"/>
      <c r="N343" s="80"/>
    </row>
    <row r="344" spans="13:14">
      <c r="M344" s="80"/>
      <c r="N344" s="80"/>
    </row>
    <row r="345" spans="13:14">
      <c r="M345" s="80"/>
      <c r="N345" s="80"/>
    </row>
    <row r="346" spans="13:14">
      <c r="M346" s="80"/>
      <c r="N346" s="80"/>
    </row>
    <row r="347" spans="13:14">
      <c r="M347" s="80"/>
      <c r="N347" s="80"/>
    </row>
    <row r="348" spans="13:14">
      <c r="M348" s="80"/>
      <c r="N348" s="80"/>
    </row>
    <row r="349" spans="13:14">
      <c r="M349" s="80"/>
      <c r="N349" s="80"/>
    </row>
    <row r="350" spans="13:14">
      <c r="M350" s="80"/>
      <c r="N350" s="80"/>
    </row>
    <row r="351" spans="13:14">
      <c r="M351" s="80"/>
      <c r="N351" s="80"/>
    </row>
    <row r="352" spans="13:14">
      <c r="M352" s="80"/>
      <c r="N352" s="80"/>
    </row>
    <row r="353" spans="13:14">
      <c r="M353" s="80"/>
      <c r="N353" s="80"/>
    </row>
    <row r="354" spans="13:14">
      <c r="M354" s="80"/>
      <c r="N354" s="80"/>
    </row>
    <row r="355" spans="13:14">
      <c r="M355" s="80"/>
      <c r="N355" s="80"/>
    </row>
    <row r="356" spans="13:14">
      <c r="M356" s="80"/>
      <c r="N356" s="80"/>
    </row>
    <row r="357" spans="13:14">
      <c r="M357" s="80"/>
      <c r="N357" s="80"/>
    </row>
    <row r="358" spans="13:14">
      <c r="M358" s="80"/>
      <c r="N358" s="80"/>
    </row>
    <row r="359" spans="13:14">
      <c r="M359" s="80"/>
      <c r="N359" s="80"/>
    </row>
    <row r="360" spans="13:14">
      <c r="M360" s="80"/>
      <c r="N360" s="80"/>
    </row>
    <row r="361" spans="13:14">
      <c r="M361" s="80"/>
      <c r="N361" s="80"/>
    </row>
    <row r="362" spans="13:14">
      <c r="M362" s="80"/>
      <c r="N362" s="80"/>
    </row>
  </sheetData>
  <autoFilter ref="A4:Q177" xr:uid="{00000000-0009-0000-0000-000001000000}">
    <sortState xmlns:xlrd2="http://schemas.microsoft.com/office/spreadsheetml/2017/richdata2" ref="A5:Q175">
      <sortCondition ref="D4:D177"/>
    </sortState>
  </autoFilter>
  <sortState xmlns:xlrd2="http://schemas.microsoft.com/office/spreadsheetml/2017/richdata2" ref="A5:Q177">
    <sortCondition ref="K5:K177"/>
  </sortState>
  <mergeCells count="3">
    <mergeCell ref="A2:K2"/>
    <mergeCell ref="A3:K3"/>
    <mergeCell ref="A1:F1"/>
  </mergeCells>
  <phoneticPr fontId="6" type="noConversion"/>
  <pageMargins left="0.7" right="0.7" top="0.75" bottom="0.75" header="0.3" footer="0.3"/>
  <pageSetup paperSize="9" scale="53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"/>
  <sheetViews>
    <sheetView workbookViewId="0">
      <selection activeCell="G16" sqref="G16"/>
    </sheetView>
  </sheetViews>
  <sheetFormatPr defaultRowHeight="16.5"/>
  <cols>
    <col min="1" max="1" width="11.875" customWidth="1"/>
    <col min="2" max="2" width="17.375" customWidth="1"/>
    <col min="3" max="3" width="11.125" bestFit="1" customWidth="1"/>
    <col min="4" max="5" width="15.25" bestFit="1" customWidth="1"/>
    <col min="6" max="6" width="13.125" bestFit="1" customWidth="1"/>
  </cols>
  <sheetData>
    <row r="1" spans="1:6">
      <c r="A1" s="18" t="s">
        <v>191</v>
      </c>
      <c r="B1" t="s">
        <v>327</v>
      </c>
    </row>
    <row r="2" spans="1:6">
      <c r="A2" s="18" t="s">
        <v>1213</v>
      </c>
      <c r="B2" t="s">
        <v>327</v>
      </c>
    </row>
    <row r="4" spans="1:6">
      <c r="A4" s="18" t="s">
        <v>446</v>
      </c>
      <c r="B4" t="s">
        <v>826</v>
      </c>
      <c r="C4" t="s">
        <v>193</v>
      </c>
      <c r="D4" t="s">
        <v>192</v>
      </c>
      <c r="E4" t="s">
        <v>1225</v>
      </c>
      <c r="F4" t="s">
        <v>1212</v>
      </c>
    </row>
    <row r="5" spans="1:6">
      <c r="A5" s="555" t="s">
        <v>1211</v>
      </c>
      <c r="B5">
        <v>77</v>
      </c>
      <c r="C5">
        <v>1480</v>
      </c>
      <c r="D5">
        <v>716</v>
      </c>
      <c r="F5" s="734">
        <v>0.51525998405295581</v>
      </c>
    </row>
    <row r="6" spans="1:6">
      <c r="A6" s="555" t="s">
        <v>1216</v>
      </c>
      <c r="B6">
        <v>5</v>
      </c>
      <c r="C6">
        <v>148</v>
      </c>
      <c r="D6">
        <v>108</v>
      </c>
      <c r="F6" s="734">
        <v>0.74970758273984073</v>
      </c>
    </row>
    <row r="7" spans="1:6">
      <c r="A7" s="555" t="s">
        <v>1217</v>
      </c>
      <c r="B7">
        <v>11</v>
      </c>
      <c r="C7">
        <v>248</v>
      </c>
      <c r="D7">
        <v>187</v>
      </c>
      <c r="F7" s="734">
        <v>0.76164895710350256</v>
      </c>
    </row>
    <row r="8" spans="1:6">
      <c r="A8" s="555" t="s">
        <v>1214</v>
      </c>
      <c r="B8">
        <v>55</v>
      </c>
      <c r="C8">
        <v>1329</v>
      </c>
      <c r="D8">
        <v>773</v>
      </c>
      <c r="F8" s="734">
        <v>0.60967971422516853</v>
      </c>
    </row>
    <row r="9" spans="1:6">
      <c r="A9" s="555" t="s">
        <v>1224</v>
      </c>
      <c r="B9">
        <v>24</v>
      </c>
      <c r="C9">
        <v>577</v>
      </c>
      <c r="D9">
        <v>414</v>
      </c>
      <c r="F9" s="734">
        <v>0.72694444444444473</v>
      </c>
    </row>
    <row r="10" spans="1:6">
      <c r="A10" s="555" t="s">
        <v>1215</v>
      </c>
      <c r="B10">
        <v>1</v>
      </c>
      <c r="C10">
        <v>14</v>
      </c>
      <c r="D10">
        <v>7</v>
      </c>
      <c r="F10" s="734">
        <v>0.5</v>
      </c>
    </row>
    <row r="11" spans="1:6">
      <c r="A11" s="555" t="s">
        <v>1572</v>
      </c>
      <c r="F11" s="734"/>
    </row>
    <row r="12" spans="1:6">
      <c r="A12" s="555" t="s">
        <v>448</v>
      </c>
      <c r="B12">
        <v>173</v>
      </c>
      <c r="C12">
        <v>3796</v>
      </c>
      <c r="D12">
        <v>2205</v>
      </c>
      <c r="F12" s="734">
        <v>0.59699853273390902</v>
      </c>
    </row>
  </sheetData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 filterMode="1">
    <tabColor theme="4" tint="0.79998168889431442"/>
    <pageSetUpPr fitToPage="1"/>
  </sheetPr>
  <dimension ref="A1:W168"/>
  <sheetViews>
    <sheetView zoomScale="85" zoomScaleNormal="85" workbookViewId="0">
      <pane ySplit="3" topLeftCell="A96" activePane="bottomLeft" state="frozen"/>
      <selection activeCell="H161" sqref="H161"/>
      <selection pane="bottomLeft" activeCell="J128" sqref="J128"/>
    </sheetView>
  </sheetViews>
  <sheetFormatPr defaultRowHeight="16.5"/>
  <cols>
    <col min="1" max="1" width="5.75" style="2" customWidth="1"/>
    <col min="2" max="2" width="6.75" style="2" customWidth="1"/>
    <col min="5" max="5" width="8" bestFit="1" customWidth="1"/>
    <col min="6" max="6" width="24.75" customWidth="1"/>
    <col min="7" max="7" width="7.25" customWidth="1"/>
    <col min="8" max="8" width="62.625" customWidth="1"/>
    <col min="9" max="9" width="9.625" style="2" customWidth="1"/>
    <col min="10" max="10" width="10.25" style="2" customWidth="1"/>
    <col min="11" max="12" width="11.625" style="2" bestFit="1" customWidth="1"/>
    <col min="13" max="15" width="8.75" style="2" bestFit="1" customWidth="1"/>
    <col min="16" max="16" width="8.375" customWidth="1"/>
    <col min="17" max="17" width="8.375" style="2" customWidth="1"/>
  </cols>
  <sheetData>
    <row r="1" spans="1:23" ht="17.25" thickBot="1">
      <c r="A1" s="294" t="s">
        <v>1220</v>
      </c>
      <c r="B1"/>
      <c r="I1" s="554" t="s">
        <v>469</v>
      </c>
      <c r="J1">
        <f>COUNTIF(E4:E301,"국")+COUNTIF(E4:E301,"국(혼)")</f>
        <v>32</v>
      </c>
      <c r="K1" s="554" t="s">
        <v>823</v>
      </c>
      <c r="L1" s="2">
        <f>COUNTIF(E4:E301,"계")+COUNTIF(E4:E301,"계(혼)")</f>
        <v>96</v>
      </c>
      <c r="M1" s="554" t="s">
        <v>824</v>
      </c>
      <c r="N1" s="2">
        <f>COUNTIF(E4:E301,"과평(국)")+COUNTIF(E4:E301,"과평(계)")</f>
        <v>12</v>
      </c>
      <c r="O1" s="554" t="s">
        <v>1207</v>
      </c>
      <c r="P1">
        <f>COUNTIF(E4:E301,"KDT")</f>
        <v>12</v>
      </c>
      <c r="Q1" s="554" t="s">
        <v>1208</v>
      </c>
      <c r="R1">
        <f>COUNTIF(E4:E301,"산대특")</f>
        <v>8</v>
      </c>
      <c r="S1" s="263"/>
      <c r="T1" s="263"/>
      <c r="U1" s="263"/>
    </row>
    <row r="2" spans="1:23" s="1" customFormat="1" ht="18" customHeight="1" thickBot="1">
      <c r="A2" s="1238" t="s">
        <v>326</v>
      </c>
      <c r="B2" s="1239"/>
      <c r="C2" s="1239"/>
      <c r="D2" s="1239"/>
      <c r="E2" s="1239"/>
      <c r="F2" s="1239"/>
      <c r="G2" s="1239"/>
      <c r="H2" s="1239"/>
      <c r="I2" s="1239"/>
      <c r="J2" s="1239"/>
      <c r="K2" s="1239"/>
      <c r="L2" s="747">
        <f>COUNTA(H4:H163)</f>
        <v>160</v>
      </c>
      <c r="M2" s="498">
        <f>SUM(M4:M731)</f>
        <v>3508</v>
      </c>
      <c r="N2" s="499">
        <f>SUM(N4:N731)</f>
        <v>2030</v>
      </c>
      <c r="O2" s="624">
        <f>SUM(O4:O731)</f>
        <v>2317</v>
      </c>
      <c r="P2" s="314">
        <f>N2/M2</f>
        <v>0.57867730900798175</v>
      </c>
      <c r="Q2" s="310">
        <f>O2/M2</f>
        <v>0.66049030786773089</v>
      </c>
    </row>
    <row r="3" spans="1:23" s="263" customFormat="1" ht="18" customHeight="1">
      <c r="A3" s="260" t="s">
        <v>17</v>
      </c>
      <c r="B3" s="260" t="s">
        <v>15</v>
      </c>
      <c r="C3" s="260" t="s">
        <v>18</v>
      </c>
      <c r="D3" s="260" t="s">
        <v>13</v>
      </c>
      <c r="E3" s="260" t="s">
        <v>12</v>
      </c>
      <c r="F3" s="260" t="s">
        <v>797</v>
      </c>
      <c r="G3" s="260" t="s">
        <v>796</v>
      </c>
      <c r="H3" s="261" t="s">
        <v>11</v>
      </c>
      <c r="I3" s="260" t="s">
        <v>19</v>
      </c>
      <c r="J3" s="260" t="s">
        <v>20</v>
      </c>
      <c r="K3" s="260" t="s">
        <v>189</v>
      </c>
      <c r="L3" s="260" t="s">
        <v>190</v>
      </c>
      <c r="M3" s="262" t="s">
        <v>10</v>
      </c>
      <c r="N3" s="262" t="s">
        <v>9</v>
      </c>
      <c r="O3" s="308" t="s">
        <v>25</v>
      </c>
      <c r="P3" s="313" t="s">
        <v>26</v>
      </c>
      <c r="Q3" s="309" t="s">
        <v>8</v>
      </c>
    </row>
    <row r="4" spans="1:23" s="326" customFormat="1" ht="17.25" hidden="1" customHeight="1">
      <c r="A4" s="347">
        <v>1</v>
      </c>
      <c r="B4" s="257" t="s">
        <v>365</v>
      </c>
      <c r="C4" s="113" t="s">
        <v>3</v>
      </c>
      <c r="D4" s="113" t="s">
        <v>200</v>
      </c>
      <c r="E4" s="113" t="s">
        <v>2</v>
      </c>
      <c r="F4" s="484" t="s">
        <v>762</v>
      </c>
      <c r="G4" s="369">
        <v>1</v>
      </c>
      <c r="H4" s="269" t="s">
        <v>238</v>
      </c>
      <c r="I4" s="113">
        <v>162</v>
      </c>
      <c r="J4" s="113">
        <v>810</v>
      </c>
      <c r="K4" s="264">
        <v>44944</v>
      </c>
      <c r="L4" s="485">
        <v>45191</v>
      </c>
      <c r="M4" s="488">
        <v>35</v>
      </c>
      <c r="N4" s="489">
        <v>27</v>
      </c>
      <c r="O4" s="487">
        <v>27</v>
      </c>
      <c r="P4" s="319">
        <f>N4/M4</f>
        <v>0.77142857142857146</v>
      </c>
      <c r="Q4" s="332">
        <f t="shared" ref="Q4" si="0">O4/M4</f>
        <v>0.77142857142857146</v>
      </c>
    </row>
    <row r="5" spans="1:23" s="326" customFormat="1" ht="17.25" hidden="1" customHeight="1">
      <c r="A5" s="418">
        <v>2</v>
      </c>
      <c r="B5" s="81" t="s">
        <v>365</v>
      </c>
      <c r="C5" s="82" t="s">
        <v>3</v>
      </c>
      <c r="D5" s="82" t="s">
        <v>200</v>
      </c>
      <c r="E5" s="82" t="s">
        <v>2</v>
      </c>
      <c r="F5" s="482" t="s">
        <v>762</v>
      </c>
      <c r="G5" s="250">
        <v>1</v>
      </c>
      <c r="H5" s="256" t="s">
        <v>241</v>
      </c>
      <c r="I5" s="82">
        <v>162</v>
      </c>
      <c r="J5" s="82">
        <v>810</v>
      </c>
      <c r="K5" s="84">
        <v>44944</v>
      </c>
      <c r="L5" s="492">
        <v>45099</v>
      </c>
      <c r="M5" s="493">
        <v>35</v>
      </c>
      <c r="N5" s="494">
        <v>11</v>
      </c>
      <c r="O5" s="268">
        <v>13</v>
      </c>
      <c r="P5" s="318">
        <f>N5/M5</f>
        <v>0.31428571428571428</v>
      </c>
      <c r="Q5" s="324">
        <f>O5/M5</f>
        <v>0.37142857142857144</v>
      </c>
    </row>
    <row r="6" spans="1:23" s="326" customFormat="1" ht="17.25" customHeight="1">
      <c r="A6" s="418">
        <v>3</v>
      </c>
      <c r="B6" s="81" t="s">
        <v>365</v>
      </c>
      <c r="C6" s="83" t="s">
        <v>209</v>
      </c>
      <c r="D6" s="83" t="s">
        <v>250</v>
      </c>
      <c r="E6" s="83" t="s">
        <v>760</v>
      </c>
      <c r="F6" s="483" t="s">
        <v>763</v>
      </c>
      <c r="G6" s="250">
        <v>1</v>
      </c>
      <c r="H6" s="88" t="s">
        <v>767</v>
      </c>
      <c r="I6" s="83">
        <v>110</v>
      </c>
      <c r="J6" s="83">
        <v>370</v>
      </c>
      <c r="K6" s="85">
        <v>44956</v>
      </c>
      <c r="L6" s="486">
        <v>45112</v>
      </c>
      <c r="M6" s="490">
        <v>20</v>
      </c>
      <c r="N6" s="491">
        <v>17</v>
      </c>
      <c r="O6" s="267">
        <v>17</v>
      </c>
      <c r="P6" s="318">
        <f t="shared" ref="P6:P69" si="1">N6/M6</f>
        <v>0.85</v>
      </c>
      <c r="Q6" s="324">
        <f>O6/M6</f>
        <v>0.85</v>
      </c>
    </row>
    <row r="7" spans="1:23" ht="17.25" thickBot="1">
      <c r="A7" s="418">
        <v>4</v>
      </c>
      <c r="B7" s="437" t="s">
        <v>365</v>
      </c>
      <c r="C7" s="191" t="s">
        <v>232</v>
      </c>
      <c r="D7" s="191" t="s">
        <v>226</v>
      </c>
      <c r="E7" s="191" t="s">
        <v>468</v>
      </c>
      <c r="F7" s="557" t="s">
        <v>768</v>
      </c>
      <c r="G7" s="373">
        <v>1</v>
      </c>
      <c r="H7" s="356" t="s">
        <v>475</v>
      </c>
      <c r="I7" s="191">
        <v>88</v>
      </c>
      <c r="J7" s="191">
        <v>350</v>
      </c>
      <c r="K7" s="357">
        <v>44957</v>
      </c>
      <c r="L7" s="495">
        <v>45071</v>
      </c>
      <c r="M7" s="496">
        <v>20</v>
      </c>
      <c r="N7" s="497">
        <v>10</v>
      </c>
      <c r="O7" s="358">
        <v>10</v>
      </c>
      <c r="P7" s="737">
        <f t="shared" si="1"/>
        <v>0.5</v>
      </c>
      <c r="Q7" s="359">
        <f t="shared" ref="Q7:Q70" si="2">O7/M7</f>
        <v>0.5</v>
      </c>
      <c r="R7">
        <f>SUM(M4:M7)</f>
        <v>110</v>
      </c>
      <c r="S7" s="762">
        <f>SUM(N4:N7)</f>
        <v>65</v>
      </c>
      <c r="T7">
        <f>SUM(O4:O7)</f>
        <v>67</v>
      </c>
      <c r="U7" s="735">
        <f>SUM(M4:M7)</f>
        <v>110</v>
      </c>
      <c r="V7" s="735">
        <f>SUM(N4:N7)</f>
        <v>65</v>
      </c>
      <c r="W7" s="735">
        <f>SUM(O4:O7)</f>
        <v>67</v>
      </c>
    </row>
    <row r="8" spans="1:23">
      <c r="A8" s="418">
        <v>5</v>
      </c>
      <c r="B8" s="257" t="s">
        <v>788</v>
      </c>
      <c r="C8" s="113" t="s">
        <v>3</v>
      </c>
      <c r="D8" s="113" t="s">
        <v>779</v>
      </c>
      <c r="E8" s="113" t="s">
        <v>780</v>
      </c>
      <c r="F8" s="484" t="s">
        <v>775</v>
      </c>
      <c r="G8" s="224">
        <v>1</v>
      </c>
      <c r="H8" s="269" t="s">
        <v>790</v>
      </c>
      <c r="I8" s="113">
        <v>70</v>
      </c>
      <c r="J8" s="113">
        <v>280</v>
      </c>
      <c r="K8" s="264">
        <v>44958</v>
      </c>
      <c r="L8" s="485">
        <v>45057</v>
      </c>
      <c r="M8" s="488">
        <v>30</v>
      </c>
      <c r="N8" s="489">
        <v>12</v>
      </c>
      <c r="O8" s="487">
        <v>13</v>
      </c>
      <c r="P8" s="319">
        <f t="shared" si="1"/>
        <v>0.4</v>
      </c>
      <c r="Q8" s="332">
        <f t="shared" si="2"/>
        <v>0.43333333333333335</v>
      </c>
    </row>
    <row r="9" spans="1:23" hidden="1">
      <c r="A9" s="418">
        <v>6</v>
      </c>
      <c r="B9" s="81" t="s">
        <v>788</v>
      </c>
      <c r="C9" s="83" t="s">
        <v>209</v>
      </c>
      <c r="D9" s="83" t="s">
        <v>239</v>
      </c>
      <c r="E9" s="83" t="s">
        <v>781</v>
      </c>
      <c r="F9" s="483" t="s">
        <v>782</v>
      </c>
      <c r="G9" s="83">
        <v>1</v>
      </c>
      <c r="H9" s="88" t="s">
        <v>791</v>
      </c>
      <c r="I9" s="83">
        <v>170</v>
      </c>
      <c r="J9" s="83">
        <v>870</v>
      </c>
      <c r="K9" s="85">
        <v>44963</v>
      </c>
      <c r="L9" s="486">
        <v>45205</v>
      </c>
      <c r="M9" s="490">
        <v>20</v>
      </c>
      <c r="N9" s="491">
        <v>20</v>
      </c>
      <c r="O9" s="267">
        <v>20</v>
      </c>
      <c r="P9" s="318">
        <f t="shared" si="1"/>
        <v>1</v>
      </c>
      <c r="Q9" s="324">
        <f t="shared" si="2"/>
        <v>1</v>
      </c>
    </row>
    <row r="10" spans="1:23">
      <c r="A10" s="418">
        <v>7</v>
      </c>
      <c r="B10" s="81" t="s">
        <v>788</v>
      </c>
      <c r="C10" s="82" t="s">
        <v>3</v>
      </c>
      <c r="D10" s="82" t="s">
        <v>226</v>
      </c>
      <c r="E10" s="82" t="s">
        <v>468</v>
      </c>
      <c r="F10" s="482" t="s">
        <v>777</v>
      </c>
      <c r="G10" s="83">
        <v>1</v>
      </c>
      <c r="H10" s="256" t="s">
        <v>792</v>
      </c>
      <c r="I10" s="82">
        <v>70</v>
      </c>
      <c r="J10" s="82">
        <v>280</v>
      </c>
      <c r="K10" s="84">
        <v>44979</v>
      </c>
      <c r="L10" s="492">
        <v>45079</v>
      </c>
      <c r="M10" s="493">
        <v>30</v>
      </c>
      <c r="N10" s="494">
        <v>18</v>
      </c>
      <c r="O10" s="268">
        <v>18</v>
      </c>
      <c r="P10" s="318">
        <f t="shared" si="1"/>
        <v>0.6</v>
      </c>
      <c r="Q10" s="324">
        <f t="shared" si="2"/>
        <v>0.6</v>
      </c>
    </row>
    <row r="11" spans="1:23">
      <c r="A11" s="418">
        <v>8</v>
      </c>
      <c r="B11" s="81" t="s">
        <v>787</v>
      </c>
      <c r="C11" s="82" t="s">
        <v>774</v>
      </c>
      <c r="D11" s="82" t="s">
        <v>769</v>
      </c>
      <c r="E11" s="82" t="s">
        <v>468</v>
      </c>
      <c r="F11" s="482" t="s">
        <v>775</v>
      </c>
      <c r="G11" s="83">
        <v>1</v>
      </c>
      <c r="H11" s="256" t="s">
        <v>793</v>
      </c>
      <c r="I11" s="82">
        <v>56</v>
      </c>
      <c r="J11" s="82">
        <v>280</v>
      </c>
      <c r="K11" s="84">
        <v>44980</v>
      </c>
      <c r="L11" s="492">
        <v>45029</v>
      </c>
      <c r="M11" s="493">
        <v>28</v>
      </c>
      <c r="N11" s="494">
        <v>10</v>
      </c>
      <c r="O11" s="268">
        <v>10</v>
      </c>
      <c r="P11" s="318">
        <f t="shared" si="1"/>
        <v>0.35714285714285715</v>
      </c>
      <c r="Q11" s="324">
        <f t="shared" si="2"/>
        <v>0.35714285714285715</v>
      </c>
    </row>
    <row r="12" spans="1:23" hidden="1">
      <c r="A12" s="418">
        <v>9</v>
      </c>
      <c r="B12" s="81" t="s">
        <v>788</v>
      </c>
      <c r="C12" s="82" t="s">
        <v>3</v>
      </c>
      <c r="D12" s="82" t="s">
        <v>239</v>
      </c>
      <c r="E12" s="82" t="s">
        <v>776</v>
      </c>
      <c r="F12" s="482" t="s">
        <v>775</v>
      </c>
      <c r="G12" s="83">
        <v>1</v>
      </c>
      <c r="H12" s="256" t="s">
        <v>789</v>
      </c>
      <c r="I12" s="82">
        <v>109</v>
      </c>
      <c r="J12" s="82">
        <v>808</v>
      </c>
      <c r="K12" s="84">
        <v>44984</v>
      </c>
      <c r="L12" s="492">
        <v>45139</v>
      </c>
      <c r="M12" s="493">
        <v>22</v>
      </c>
      <c r="N12" s="494">
        <v>22</v>
      </c>
      <c r="O12" s="268">
        <v>22</v>
      </c>
      <c r="P12" s="318">
        <f t="shared" si="1"/>
        <v>1</v>
      </c>
      <c r="Q12" s="324">
        <f t="shared" si="2"/>
        <v>1</v>
      </c>
    </row>
    <row r="13" spans="1:23" hidden="1">
      <c r="A13" s="418">
        <v>10</v>
      </c>
      <c r="B13" s="81" t="s">
        <v>788</v>
      </c>
      <c r="C13" s="82" t="s">
        <v>774</v>
      </c>
      <c r="D13" s="82" t="s">
        <v>251</v>
      </c>
      <c r="E13" s="82" t="s">
        <v>778</v>
      </c>
      <c r="F13" s="482" t="s">
        <v>873</v>
      </c>
      <c r="G13" s="83">
        <v>1</v>
      </c>
      <c r="H13" s="256" t="s">
        <v>874</v>
      </c>
      <c r="I13" s="82">
        <v>118</v>
      </c>
      <c r="J13" s="82">
        <v>820</v>
      </c>
      <c r="K13" s="84">
        <v>44984</v>
      </c>
      <c r="L13" s="492">
        <v>45152</v>
      </c>
      <c r="M13" s="493">
        <v>30</v>
      </c>
      <c r="N13" s="541">
        <v>26</v>
      </c>
      <c r="O13" s="268">
        <v>28</v>
      </c>
      <c r="P13" s="318">
        <f t="shared" si="1"/>
        <v>0.8666666666666667</v>
      </c>
      <c r="Q13" s="324">
        <f t="shared" si="2"/>
        <v>0.93333333333333335</v>
      </c>
    </row>
    <row r="14" spans="1:23" hidden="1">
      <c r="A14" s="418">
        <v>11</v>
      </c>
      <c r="B14" s="81" t="s">
        <v>788</v>
      </c>
      <c r="C14" s="83" t="s">
        <v>7</v>
      </c>
      <c r="D14" s="83" t="s">
        <v>239</v>
      </c>
      <c r="E14" s="83" t="s">
        <v>783</v>
      </c>
      <c r="F14" s="483" t="s">
        <v>771</v>
      </c>
      <c r="G14" s="83">
        <v>1</v>
      </c>
      <c r="H14" s="88" t="s">
        <v>875</v>
      </c>
      <c r="I14" s="83">
        <v>131</v>
      </c>
      <c r="J14" s="83">
        <v>692</v>
      </c>
      <c r="K14" s="85">
        <v>44984</v>
      </c>
      <c r="L14" s="486">
        <v>45170</v>
      </c>
      <c r="M14" s="490">
        <v>25</v>
      </c>
      <c r="N14" s="520">
        <v>18</v>
      </c>
      <c r="O14" s="267">
        <v>36</v>
      </c>
      <c r="P14" s="318">
        <f t="shared" si="1"/>
        <v>0.72</v>
      </c>
      <c r="Q14" s="324">
        <f t="shared" si="2"/>
        <v>1.44</v>
      </c>
    </row>
    <row r="15" spans="1:23">
      <c r="A15" s="418">
        <v>12</v>
      </c>
      <c r="B15" s="81" t="s">
        <v>788</v>
      </c>
      <c r="C15" s="83" t="s">
        <v>7</v>
      </c>
      <c r="D15" s="83" t="s">
        <v>785</v>
      </c>
      <c r="E15" s="83" t="s">
        <v>468</v>
      </c>
      <c r="F15" s="483" t="s">
        <v>877</v>
      </c>
      <c r="G15" s="83">
        <v>1</v>
      </c>
      <c r="H15" s="88" t="s">
        <v>876</v>
      </c>
      <c r="I15" s="83">
        <v>64</v>
      </c>
      <c r="J15" s="83">
        <v>320</v>
      </c>
      <c r="K15" s="85">
        <v>44984</v>
      </c>
      <c r="L15" s="486">
        <v>45076</v>
      </c>
      <c r="M15" s="490">
        <v>20</v>
      </c>
      <c r="N15" s="491">
        <v>12</v>
      </c>
      <c r="O15" s="267">
        <v>12</v>
      </c>
      <c r="P15" s="318">
        <f t="shared" si="1"/>
        <v>0.6</v>
      </c>
      <c r="Q15" s="324">
        <f t="shared" si="2"/>
        <v>0.6</v>
      </c>
    </row>
    <row r="16" spans="1:23" s="1" customFormat="1" ht="17.25" customHeight="1">
      <c r="A16" s="418">
        <v>13</v>
      </c>
      <c r="B16" s="81" t="s">
        <v>788</v>
      </c>
      <c r="C16" s="83" t="s">
        <v>7</v>
      </c>
      <c r="D16" s="83" t="s">
        <v>772</v>
      </c>
      <c r="E16" s="83" t="s">
        <v>760</v>
      </c>
      <c r="F16" s="483" t="s">
        <v>773</v>
      </c>
      <c r="G16" s="83">
        <v>1</v>
      </c>
      <c r="H16" s="88" t="s">
        <v>794</v>
      </c>
      <c r="I16" s="83">
        <v>51</v>
      </c>
      <c r="J16" s="83">
        <v>280</v>
      </c>
      <c r="K16" s="85">
        <v>44984</v>
      </c>
      <c r="L16" s="486">
        <v>45064</v>
      </c>
      <c r="M16" s="490">
        <v>20</v>
      </c>
      <c r="N16" s="520">
        <v>7</v>
      </c>
      <c r="O16" s="267">
        <v>10</v>
      </c>
      <c r="P16" s="318">
        <f t="shared" si="1"/>
        <v>0.35</v>
      </c>
      <c r="Q16" s="324">
        <f t="shared" si="2"/>
        <v>0.5</v>
      </c>
    </row>
    <row r="17" spans="1:23">
      <c r="A17" s="418">
        <v>14</v>
      </c>
      <c r="B17" s="81" t="s">
        <v>788</v>
      </c>
      <c r="C17" s="82" t="s">
        <v>774</v>
      </c>
      <c r="D17" s="82" t="s">
        <v>333</v>
      </c>
      <c r="E17" s="82" t="s">
        <v>468</v>
      </c>
      <c r="F17" s="482" t="s">
        <v>898</v>
      </c>
      <c r="G17" s="83">
        <v>1</v>
      </c>
      <c r="H17" s="256" t="s">
        <v>795</v>
      </c>
      <c r="I17" s="82">
        <v>56</v>
      </c>
      <c r="J17" s="82">
        <v>280</v>
      </c>
      <c r="K17" s="84">
        <v>44985</v>
      </c>
      <c r="L17" s="492">
        <v>45064</v>
      </c>
      <c r="M17" s="493">
        <v>30</v>
      </c>
      <c r="N17" s="494">
        <v>12</v>
      </c>
      <c r="O17" s="268">
        <v>14</v>
      </c>
      <c r="P17" s="318">
        <f t="shared" si="1"/>
        <v>0.4</v>
      </c>
      <c r="Q17" s="324">
        <f t="shared" si="2"/>
        <v>0.46666666666666667</v>
      </c>
    </row>
    <row r="18" spans="1:23" hidden="1">
      <c r="A18" s="418">
        <v>15</v>
      </c>
      <c r="B18" s="81" t="s">
        <v>788</v>
      </c>
      <c r="C18" s="83" t="s">
        <v>7</v>
      </c>
      <c r="D18" s="83" t="s">
        <v>784</v>
      </c>
      <c r="E18" s="83" t="s">
        <v>776</v>
      </c>
      <c r="F18" s="483" t="s">
        <v>770</v>
      </c>
      <c r="G18" s="83">
        <v>1</v>
      </c>
      <c r="H18" s="88" t="s">
        <v>878</v>
      </c>
      <c r="I18" s="83">
        <v>123</v>
      </c>
      <c r="J18" s="83">
        <v>670</v>
      </c>
      <c r="K18" s="85">
        <v>44985</v>
      </c>
      <c r="L18" s="486">
        <v>45162</v>
      </c>
      <c r="M18" s="490">
        <v>20</v>
      </c>
      <c r="N18" s="491">
        <v>20</v>
      </c>
      <c r="O18" s="267">
        <v>24</v>
      </c>
      <c r="P18" s="318">
        <f t="shared" si="1"/>
        <v>1</v>
      </c>
      <c r="Q18" s="324">
        <f t="shared" si="2"/>
        <v>1.2</v>
      </c>
    </row>
    <row r="19" spans="1:23">
      <c r="A19" s="418">
        <v>16</v>
      </c>
      <c r="B19" s="528" t="s">
        <v>788</v>
      </c>
      <c r="C19" s="521" t="s">
        <v>858</v>
      </c>
      <c r="D19" s="521" t="s">
        <v>799</v>
      </c>
      <c r="E19" s="521" t="s">
        <v>800</v>
      </c>
      <c r="F19" s="522" t="s">
        <v>798</v>
      </c>
      <c r="G19" s="527">
        <v>1</v>
      </c>
      <c r="H19" s="523" t="s">
        <v>879</v>
      </c>
      <c r="I19" s="521">
        <v>38</v>
      </c>
      <c r="J19" s="521">
        <v>150</v>
      </c>
      <c r="K19" s="524">
        <v>44961</v>
      </c>
      <c r="L19" s="525">
        <v>45094</v>
      </c>
      <c r="M19" s="529">
        <v>20</v>
      </c>
      <c r="N19" s="530">
        <v>9</v>
      </c>
      <c r="O19" s="526">
        <v>9</v>
      </c>
      <c r="P19" s="318">
        <f t="shared" si="1"/>
        <v>0.45</v>
      </c>
      <c r="Q19" s="324">
        <f t="shared" si="2"/>
        <v>0.45</v>
      </c>
    </row>
    <row r="20" spans="1:23" ht="17.25" thickBot="1">
      <c r="A20" s="418">
        <v>17</v>
      </c>
      <c r="B20" s="533" t="s">
        <v>788</v>
      </c>
      <c r="C20" s="534" t="s">
        <v>859</v>
      </c>
      <c r="D20" s="534" t="s">
        <v>801</v>
      </c>
      <c r="E20" s="534" t="s">
        <v>802</v>
      </c>
      <c r="F20" s="535" t="s">
        <v>804</v>
      </c>
      <c r="G20" s="536">
        <v>1</v>
      </c>
      <c r="H20" s="537" t="s">
        <v>803</v>
      </c>
      <c r="I20" s="534">
        <v>47</v>
      </c>
      <c r="J20" s="534">
        <v>139</v>
      </c>
      <c r="K20" s="538">
        <v>44970</v>
      </c>
      <c r="L20" s="539">
        <v>45050</v>
      </c>
      <c r="M20" s="531">
        <v>20</v>
      </c>
      <c r="N20" s="532">
        <v>12</v>
      </c>
      <c r="O20" s="540">
        <v>12</v>
      </c>
      <c r="P20" s="737">
        <f t="shared" si="1"/>
        <v>0.6</v>
      </c>
      <c r="Q20" s="359">
        <f t="shared" si="2"/>
        <v>0.6</v>
      </c>
      <c r="R20">
        <f>SUM(M8:M18)</f>
        <v>275</v>
      </c>
      <c r="S20" s="762">
        <f>SUM(N8:N18)</f>
        <v>177</v>
      </c>
      <c r="T20">
        <f>SUM(O8:O18)</f>
        <v>207</v>
      </c>
      <c r="U20" s="735">
        <f>SUM(M8:M20)</f>
        <v>315</v>
      </c>
      <c r="V20" s="735">
        <f>SUM(N8:N20)</f>
        <v>198</v>
      </c>
      <c r="W20" s="735">
        <f>SUM(O8:O20)</f>
        <v>228</v>
      </c>
    </row>
    <row r="21" spans="1:23" hidden="1">
      <c r="A21" s="418">
        <v>18</v>
      </c>
      <c r="B21" s="257" t="s">
        <v>95</v>
      </c>
      <c r="C21" s="282" t="s">
        <v>3</v>
      </c>
      <c r="D21" s="224" t="s">
        <v>194</v>
      </c>
      <c r="E21" s="224" t="s">
        <v>476</v>
      </c>
      <c r="F21" s="556" t="s">
        <v>806</v>
      </c>
      <c r="G21" s="282">
        <v>3</v>
      </c>
      <c r="H21" s="245" t="s">
        <v>817</v>
      </c>
      <c r="I21" s="282">
        <v>118</v>
      </c>
      <c r="J21" s="224">
        <v>944</v>
      </c>
      <c r="K21" s="225">
        <v>44987</v>
      </c>
      <c r="L21" s="225">
        <v>45167</v>
      </c>
      <c r="M21" s="511">
        <v>35</v>
      </c>
      <c r="N21" s="626">
        <v>18</v>
      </c>
      <c r="O21" s="567">
        <v>19</v>
      </c>
      <c r="P21" s="319">
        <f t="shared" si="1"/>
        <v>0.51428571428571423</v>
      </c>
      <c r="Q21" s="332">
        <f t="shared" si="2"/>
        <v>0.54285714285714282</v>
      </c>
    </row>
    <row r="22" spans="1:23">
      <c r="A22" s="418">
        <v>19</v>
      </c>
      <c r="B22" s="81" t="s">
        <v>95</v>
      </c>
      <c r="C22" s="272" t="s">
        <v>3</v>
      </c>
      <c r="D22" s="82" t="s">
        <v>779</v>
      </c>
      <c r="E22" s="82" t="s">
        <v>326</v>
      </c>
      <c r="F22" s="482" t="s">
        <v>762</v>
      </c>
      <c r="G22" s="270">
        <v>2</v>
      </c>
      <c r="H22" s="256" t="s">
        <v>790</v>
      </c>
      <c r="I22" s="272">
        <v>70</v>
      </c>
      <c r="J22" s="82">
        <v>280</v>
      </c>
      <c r="K22" s="84">
        <v>44992</v>
      </c>
      <c r="L22" s="84">
        <v>45091</v>
      </c>
      <c r="M22" s="493">
        <v>30</v>
      </c>
      <c r="N22" s="568">
        <v>16</v>
      </c>
      <c r="O22" s="337">
        <v>20</v>
      </c>
      <c r="P22" s="318">
        <f t="shared" si="1"/>
        <v>0.53333333333333333</v>
      </c>
      <c r="Q22" s="324">
        <f t="shared" si="2"/>
        <v>0.66666666666666663</v>
      </c>
    </row>
    <row r="23" spans="1:23" hidden="1">
      <c r="A23" s="418">
        <v>20</v>
      </c>
      <c r="B23" s="81" t="s">
        <v>95</v>
      </c>
      <c r="C23" s="272" t="s">
        <v>825</v>
      </c>
      <c r="D23" s="82" t="s">
        <v>225</v>
      </c>
      <c r="E23" s="82" t="s">
        <v>807</v>
      </c>
      <c r="F23" s="482" t="s">
        <v>808</v>
      </c>
      <c r="G23" s="270">
        <v>1</v>
      </c>
      <c r="H23" s="256" t="s">
        <v>880</v>
      </c>
      <c r="I23" s="272">
        <v>107</v>
      </c>
      <c r="J23" s="82">
        <v>856</v>
      </c>
      <c r="K23" s="84">
        <v>44994</v>
      </c>
      <c r="L23" s="84">
        <v>45146</v>
      </c>
      <c r="M23" s="493">
        <v>20</v>
      </c>
      <c r="N23" s="568">
        <v>20</v>
      </c>
      <c r="O23" s="337">
        <v>16</v>
      </c>
      <c r="P23" s="318">
        <f t="shared" si="1"/>
        <v>1</v>
      </c>
      <c r="Q23" s="324">
        <f t="shared" si="2"/>
        <v>0.8</v>
      </c>
    </row>
    <row r="24" spans="1:23">
      <c r="A24" s="418">
        <v>21</v>
      </c>
      <c r="B24" s="81" t="s">
        <v>95</v>
      </c>
      <c r="C24" s="270" t="s">
        <v>7</v>
      </c>
      <c r="D24" s="83" t="s">
        <v>233</v>
      </c>
      <c r="E24" s="83" t="s">
        <v>326</v>
      </c>
      <c r="F24" s="483" t="s">
        <v>762</v>
      </c>
      <c r="G24" s="270">
        <v>1</v>
      </c>
      <c r="H24" s="88" t="s">
        <v>818</v>
      </c>
      <c r="I24" s="270">
        <v>56</v>
      </c>
      <c r="J24" s="83">
        <v>280</v>
      </c>
      <c r="K24" s="85">
        <v>44998</v>
      </c>
      <c r="L24" s="85">
        <v>45077</v>
      </c>
      <c r="M24" s="490">
        <v>20</v>
      </c>
      <c r="N24" s="569">
        <v>9</v>
      </c>
      <c r="O24" s="570">
        <v>20</v>
      </c>
      <c r="P24" s="318">
        <f t="shared" si="1"/>
        <v>0.45</v>
      </c>
      <c r="Q24" s="324">
        <f t="shared" si="2"/>
        <v>1</v>
      </c>
    </row>
    <row r="25" spans="1:23" hidden="1">
      <c r="A25" s="418">
        <v>22</v>
      </c>
      <c r="B25" s="81" t="s">
        <v>95</v>
      </c>
      <c r="C25" s="270" t="s">
        <v>47</v>
      </c>
      <c r="D25" s="83" t="s">
        <v>235</v>
      </c>
      <c r="E25" s="83" t="s">
        <v>2</v>
      </c>
      <c r="F25" s="483" t="s">
        <v>881</v>
      </c>
      <c r="G25" s="270">
        <v>1</v>
      </c>
      <c r="H25" s="88" t="s">
        <v>819</v>
      </c>
      <c r="I25" s="270">
        <v>145</v>
      </c>
      <c r="J25" s="83">
        <v>870</v>
      </c>
      <c r="K25" s="85">
        <v>44999</v>
      </c>
      <c r="L25" s="85">
        <v>45265</v>
      </c>
      <c r="M25" s="490">
        <v>20</v>
      </c>
      <c r="N25" s="569">
        <v>17</v>
      </c>
      <c r="O25" s="570">
        <v>13</v>
      </c>
      <c r="P25" s="318">
        <f t="shared" si="1"/>
        <v>0.85</v>
      </c>
      <c r="Q25" s="324">
        <f t="shared" si="2"/>
        <v>0.65</v>
      </c>
    </row>
    <row r="26" spans="1:23">
      <c r="A26" s="418">
        <v>23</v>
      </c>
      <c r="B26" s="81" t="s">
        <v>95</v>
      </c>
      <c r="C26" s="270" t="s">
        <v>47</v>
      </c>
      <c r="D26" s="83" t="s">
        <v>769</v>
      </c>
      <c r="E26" s="83" t="s">
        <v>326</v>
      </c>
      <c r="F26" s="483" t="s">
        <v>809</v>
      </c>
      <c r="G26" s="270">
        <v>1</v>
      </c>
      <c r="H26" s="88" t="s">
        <v>820</v>
      </c>
      <c r="I26" s="270">
        <v>124</v>
      </c>
      <c r="J26" s="83">
        <v>370</v>
      </c>
      <c r="K26" s="85">
        <v>44999</v>
      </c>
      <c r="L26" s="85">
        <v>45180</v>
      </c>
      <c r="M26" s="490">
        <v>20</v>
      </c>
      <c r="N26" s="569">
        <v>13</v>
      </c>
      <c r="O26" s="570">
        <v>10</v>
      </c>
      <c r="P26" s="318">
        <f t="shared" si="1"/>
        <v>0.65</v>
      </c>
      <c r="Q26" s="324">
        <f t="shared" si="2"/>
        <v>0.5</v>
      </c>
    </row>
    <row r="27" spans="1:23">
      <c r="A27" s="418">
        <v>24</v>
      </c>
      <c r="B27" s="81" t="s">
        <v>95</v>
      </c>
      <c r="C27" s="270" t="s">
        <v>47</v>
      </c>
      <c r="D27" s="83" t="s">
        <v>233</v>
      </c>
      <c r="E27" s="83" t="s">
        <v>326</v>
      </c>
      <c r="F27" s="483" t="s">
        <v>763</v>
      </c>
      <c r="G27" s="270">
        <v>1</v>
      </c>
      <c r="H27" s="88" t="s">
        <v>882</v>
      </c>
      <c r="I27" s="270">
        <v>74</v>
      </c>
      <c r="J27" s="83">
        <v>370</v>
      </c>
      <c r="K27" s="85">
        <v>44999</v>
      </c>
      <c r="L27" s="85">
        <v>45104</v>
      </c>
      <c r="M27" s="490">
        <v>20</v>
      </c>
      <c r="N27" s="569">
        <v>9</v>
      </c>
      <c r="O27" s="570">
        <v>22</v>
      </c>
      <c r="P27" s="318">
        <f t="shared" si="1"/>
        <v>0.45</v>
      </c>
      <c r="Q27" s="324">
        <f t="shared" si="2"/>
        <v>1.1000000000000001</v>
      </c>
    </row>
    <row r="28" spans="1:23">
      <c r="A28" s="418">
        <v>25</v>
      </c>
      <c r="B28" s="81" t="s">
        <v>95</v>
      </c>
      <c r="C28" s="272" t="s">
        <v>344</v>
      </c>
      <c r="D28" s="82" t="s">
        <v>194</v>
      </c>
      <c r="E28" s="82" t="s">
        <v>326</v>
      </c>
      <c r="F28" s="482" t="s">
        <v>813</v>
      </c>
      <c r="G28" s="270">
        <v>1</v>
      </c>
      <c r="H28" s="256" t="s">
        <v>883</v>
      </c>
      <c r="I28" s="272">
        <v>58</v>
      </c>
      <c r="J28" s="82">
        <v>290</v>
      </c>
      <c r="K28" s="84">
        <v>44999</v>
      </c>
      <c r="L28" s="84">
        <v>45099</v>
      </c>
      <c r="M28" s="493">
        <v>20</v>
      </c>
      <c r="N28" s="568">
        <v>7</v>
      </c>
      <c r="O28" s="337">
        <v>9</v>
      </c>
      <c r="P28" s="318">
        <f t="shared" si="1"/>
        <v>0.35</v>
      </c>
      <c r="Q28" s="324">
        <f t="shared" si="2"/>
        <v>0.45</v>
      </c>
    </row>
    <row r="29" spans="1:23">
      <c r="A29" s="418">
        <v>26</v>
      </c>
      <c r="B29" s="81" t="s">
        <v>95</v>
      </c>
      <c r="C29" s="270" t="s">
        <v>60</v>
      </c>
      <c r="D29" s="83" t="s">
        <v>235</v>
      </c>
      <c r="E29" s="83" t="s">
        <v>326</v>
      </c>
      <c r="F29" s="483" t="s">
        <v>814</v>
      </c>
      <c r="G29" s="270">
        <v>1</v>
      </c>
      <c r="H29" s="88" t="s">
        <v>254</v>
      </c>
      <c r="I29" s="270">
        <v>73</v>
      </c>
      <c r="J29" s="83">
        <v>290</v>
      </c>
      <c r="K29" s="85">
        <v>44999</v>
      </c>
      <c r="L29" s="85">
        <v>45104</v>
      </c>
      <c r="M29" s="490">
        <v>10</v>
      </c>
      <c r="N29" s="569">
        <v>9</v>
      </c>
      <c r="O29" s="337">
        <v>8</v>
      </c>
      <c r="P29" s="318">
        <f t="shared" si="1"/>
        <v>0.9</v>
      </c>
      <c r="Q29" s="324">
        <f t="shared" si="2"/>
        <v>0.8</v>
      </c>
    </row>
    <row r="30" spans="1:23">
      <c r="A30" s="418">
        <v>27</v>
      </c>
      <c r="B30" s="81" t="s">
        <v>95</v>
      </c>
      <c r="C30" s="270" t="s">
        <v>7</v>
      </c>
      <c r="D30" s="83" t="s">
        <v>368</v>
      </c>
      <c r="E30" s="83" t="s">
        <v>326</v>
      </c>
      <c r="F30" s="483" t="s">
        <v>768</v>
      </c>
      <c r="G30" s="270">
        <v>1</v>
      </c>
      <c r="H30" s="88" t="s">
        <v>884</v>
      </c>
      <c r="I30" s="270">
        <v>0</v>
      </c>
      <c r="J30" s="83">
        <v>350</v>
      </c>
      <c r="K30" s="85">
        <v>44999</v>
      </c>
      <c r="L30" s="85">
        <v>45099</v>
      </c>
      <c r="M30" s="490">
        <v>21</v>
      </c>
      <c r="N30" s="569">
        <v>6</v>
      </c>
      <c r="O30" s="570">
        <v>10</v>
      </c>
      <c r="P30" s="318">
        <f t="shared" si="1"/>
        <v>0.2857142857142857</v>
      </c>
      <c r="Q30" s="324">
        <f t="shared" si="2"/>
        <v>0.47619047619047616</v>
      </c>
    </row>
    <row r="31" spans="1:23">
      <c r="A31" s="418">
        <v>28</v>
      </c>
      <c r="B31" s="81" t="s">
        <v>95</v>
      </c>
      <c r="C31" s="270" t="s">
        <v>60</v>
      </c>
      <c r="D31" s="83" t="s">
        <v>230</v>
      </c>
      <c r="E31" s="83" t="s">
        <v>326</v>
      </c>
      <c r="F31" s="575" t="s">
        <v>885</v>
      </c>
      <c r="G31" s="270">
        <v>1</v>
      </c>
      <c r="H31" s="88" t="s">
        <v>886</v>
      </c>
      <c r="I31" s="270">
        <v>70</v>
      </c>
      <c r="J31" s="83">
        <v>280</v>
      </c>
      <c r="K31" s="85">
        <v>44999</v>
      </c>
      <c r="L31" s="85">
        <v>45103</v>
      </c>
      <c r="M31" s="490">
        <v>14</v>
      </c>
      <c r="N31" s="569">
        <v>12</v>
      </c>
      <c r="O31" s="570">
        <v>6</v>
      </c>
      <c r="P31" s="318">
        <f t="shared" si="1"/>
        <v>0.8571428571428571</v>
      </c>
      <c r="Q31" s="324">
        <f t="shared" si="2"/>
        <v>0.42857142857142855</v>
      </c>
    </row>
    <row r="32" spans="1:23">
      <c r="A32" s="418">
        <v>29</v>
      </c>
      <c r="B32" s="81" t="s">
        <v>95</v>
      </c>
      <c r="C32" s="272" t="s">
        <v>60</v>
      </c>
      <c r="D32" s="82" t="s">
        <v>194</v>
      </c>
      <c r="E32" s="82" t="s">
        <v>326</v>
      </c>
      <c r="F32" s="482" t="s">
        <v>810</v>
      </c>
      <c r="G32" s="270">
        <v>1</v>
      </c>
      <c r="H32" s="256" t="s">
        <v>821</v>
      </c>
      <c r="I32" s="272">
        <v>87</v>
      </c>
      <c r="J32" s="82">
        <v>348</v>
      </c>
      <c r="K32" s="84">
        <v>45005</v>
      </c>
      <c r="L32" s="84">
        <v>45132</v>
      </c>
      <c r="M32" s="493">
        <v>20</v>
      </c>
      <c r="N32" s="568">
        <v>8</v>
      </c>
      <c r="O32" s="570">
        <v>7</v>
      </c>
      <c r="P32" s="318">
        <f t="shared" si="1"/>
        <v>0.4</v>
      </c>
      <c r="Q32" s="324">
        <f t="shared" si="2"/>
        <v>0.35</v>
      </c>
    </row>
    <row r="33" spans="1:23" hidden="1">
      <c r="A33" s="418">
        <v>30</v>
      </c>
      <c r="B33" s="81" t="s">
        <v>95</v>
      </c>
      <c r="C33" s="270" t="s">
        <v>7</v>
      </c>
      <c r="D33" s="83" t="s">
        <v>225</v>
      </c>
      <c r="E33" s="83" t="s">
        <v>807</v>
      </c>
      <c r="F33" s="483" t="s">
        <v>815</v>
      </c>
      <c r="G33" s="270">
        <v>1</v>
      </c>
      <c r="H33" s="88" t="s">
        <v>812</v>
      </c>
      <c r="I33" s="270">
        <v>151</v>
      </c>
      <c r="J33" s="83">
        <v>752</v>
      </c>
      <c r="K33" s="85">
        <v>45005</v>
      </c>
      <c r="L33" s="85">
        <v>45226</v>
      </c>
      <c r="M33" s="490">
        <v>20</v>
      </c>
      <c r="N33" s="569">
        <v>18</v>
      </c>
      <c r="O33" s="570">
        <v>29</v>
      </c>
      <c r="P33" s="318">
        <f t="shared" si="1"/>
        <v>0.9</v>
      </c>
      <c r="Q33" s="324">
        <f t="shared" si="2"/>
        <v>1.45</v>
      </c>
    </row>
    <row r="34" spans="1:23">
      <c r="A34" s="418">
        <v>31</v>
      </c>
      <c r="B34" s="81" t="s">
        <v>95</v>
      </c>
      <c r="C34" s="270" t="s">
        <v>7</v>
      </c>
      <c r="D34" s="83" t="s">
        <v>368</v>
      </c>
      <c r="E34" s="83" t="s">
        <v>326</v>
      </c>
      <c r="F34" s="483" t="s">
        <v>786</v>
      </c>
      <c r="G34" s="270">
        <v>1</v>
      </c>
      <c r="H34" s="88" t="s">
        <v>887</v>
      </c>
      <c r="I34" s="270">
        <v>64</v>
      </c>
      <c r="J34" s="83">
        <v>320</v>
      </c>
      <c r="K34" s="85">
        <v>45006</v>
      </c>
      <c r="L34" s="85">
        <v>45098</v>
      </c>
      <c r="M34" s="490">
        <v>20</v>
      </c>
      <c r="N34" s="569">
        <v>6</v>
      </c>
      <c r="O34" s="570">
        <v>24</v>
      </c>
      <c r="P34" s="318">
        <f t="shared" si="1"/>
        <v>0.3</v>
      </c>
      <c r="Q34" s="324">
        <f t="shared" si="2"/>
        <v>1.2</v>
      </c>
    </row>
    <row r="35" spans="1:23" hidden="1">
      <c r="A35" s="418">
        <v>32</v>
      </c>
      <c r="B35" s="81" t="s">
        <v>95</v>
      </c>
      <c r="C35" s="270" t="s">
        <v>7</v>
      </c>
      <c r="D35" s="83" t="s">
        <v>228</v>
      </c>
      <c r="E35" s="83" t="s">
        <v>776</v>
      </c>
      <c r="F35" s="575" t="s">
        <v>888</v>
      </c>
      <c r="G35" s="270">
        <v>1</v>
      </c>
      <c r="H35" s="88" t="s">
        <v>889</v>
      </c>
      <c r="I35" s="270">
        <v>123</v>
      </c>
      <c r="J35" s="83">
        <v>650</v>
      </c>
      <c r="K35" s="85">
        <v>45008</v>
      </c>
      <c r="L35" s="85">
        <v>45184</v>
      </c>
      <c r="M35" s="490">
        <v>20</v>
      </c>
      <c r="N35" s="569">
        <v>19</v>
      </c>
      <c r="O35" s="570">
        <v>23</v>
      </c>
      <c r="P35" s="318">
        <f t="shared" si="1"/>
        <v>0.95</v>
      </c>
      <c r="Q35" s="324">
        <f t="shared" si="2"/>
        <v>1.1499999999999999</v>
      </c>
    </row>
    <row r="36" spans="1:23">
      <c r="A36" s="418">
        <v>33</v>
      </c>
      <c r="B36" s="81" t="s">
        <v>95</v>
      </c>
      <c r="C36" s="270" t="s">
        <v>7</v>
      </c>
      <c r="D36" s="83" t="s">
        <v>231</v>
      </c>
      <c r="E36" s="83" t="s">
        <v>326</v>
      </c>
      <c r="F36" s="483" t="s">
        <v>771</v>
      </c>
      <c r="G36" s="270">
        <v>1</v>
      </c>
      <c r="H36" s="88" t="s">
        <v>890</v>
      </c>
      <c r="I36" s="270">
        <v>71</v>
      </c>
      <c r="J36" s="83">
        <v>283</v>
      </c>
      <c r="K36" s="85">
        <v>45012</v>
      </c>
      <c r="L36" s="85">
        <v>45113</v>
      </c>
      <c r="M36" s="490">
        <v>12</v>
      </c>
      <c r="N36" s="569">
        <v>5</v>
      </c>
      <c r="O36" s="570">
        <v>12</v>
      </c>
      <c r="P36" s="318">
        <f t="shared" si="1"/>
        <v>0.41666666666666669</v>
      </c>
      <c r="Q36" s="324">
        <f t="shared" si="2"/>
        <v>1</v>
      </c>
    </row>
    <row r="37" spans="1:23">
      <c r="A37" s="418">
        <v>34</v>
      </c>
      <c r="B37" s="81" t="s">
        <v>95</v>
      </c>
      <c r="C37" s="270" t="s">
        <v>50</v>
      </c>
      <c r="D37" s="83" t="s">
        <v>228</v>
      </c>
      <c r="E37" s="83" t="s">
        <v>326</v>
      </c>
      <c r="F37" s="483" t="s">
        <v>811</v>
      </c>
      <c r="G37" s="270">
        <v>1</v>
      </c>
      <c r="H37" s="88" t="s">
        <v>891</v>
      </c>
      <c r="I37" s="270">
        <v>44</v>
      </c>
      <c r="J37" s="83">
        <v>220</v>
      </c>
      <c r="K37" s="85">
        <v>45013</v>
      </c>
      <c r="L37" s="85">
        <v>45169</v>
      </c>
      <c r="M37" s="490">
        <v>10</v>
      </c>
      <c r="N37" s="569">
        <v>8</v>
      </c>
      <c r="O37" s="570">
        <v>12</v>
      </c>
      <c r="P37" s="318">
        <f t="shared" si="1"/>
        <v>0.8</v>
      </c>
      <c r="Q37" s="324">
        <f t="shared" si="2"/>
        <v>1.2</v>
      </c>
      <c r="R37" s="1"/>
    </row>
    <row r="38" spans="1:23">
      <c r="A38" s="418">
        <v>35</v>
      </c>
      <c r="B38" s="81" t="s">
        <v>95</v>
      </c>
      <c r="C38" s="270" t="s">
        <v>7</v>
      </c>
      <c r="D38" s="83" t="s">
        <v>248</v>
      </c>
      <c r="E38" s="83" t="s">
        <v>326</v>
      </c>
      <c r="F38" s="483" t="s">
        <v>771</v>
      </c>
      <c r="G38" s="270">
        <v>1</v>
      </c>
      <c r="H38" s="88" t="s">
        <v>822</v>
      </c>
      <c r="I38" s="270">
        <v>58</v>
      </c>
      <c r="J38" s="83">
        <v>290</v>
      </c>
      <c r="K38" s="85">
        <v>45013</v>
      </c>
      <c r="L38" s="85">
        <v>45097</v>
      </c>
      <c r="M38" s="490">
        <v>20</v>
      </c>
      <c r="N38" s="569">
        <v>9</v>
      </c>
      <c r="O38" s="570">
        <v>6</v>
      </c>
      <c r="P38" s="318">
        <f t="shared" si="1"/>
        <v>0.45</v>
      </c>
      <c r="Q38" s="324">
        <f t="shared" si="2"/>
        <v>0.3</v>
      </c>
    </row>
    <row r="39" spans="1:23">
      <c r="A39" s="418">
        <v>36</v>
      </c>
      <c r="B39" s="81" t="s">
        <v>95</v>
      </c>
      <c r="C39" s="270" t="s">
        <v>47</v>
      </c>
      <c r="D39" s="83" t="s">
        <v>227</v>
      </c>
      <c r="E39" s="83" t="s">
        <v>326</v>
      </c>
      <c r="F39" s="483" t="s">
        <v>763</v>
      </c>
      <c r="G39" s="270">
        <v>1</v>
      </c>
      <c r="H39" s="88" t="s">
        <v>892</v>
      </c>
      <c r="I39" s="270">
        <v>94</v>
      </c>
      <c r="J39" s="83">
        <v>370</v>
      </c>
      <c r="K39" s="85">
        <v>45014</v>
      </c>
      <c r="L39" s="85">
        <v>45163</v>
      </c>
      <c r="M39" s="490">
        <v>22</v>
      </c>
      <c r="N39" s="569">
        <v>8</v>
      </c>
      <c r="O39" s="570">
        <v>16</v>
      </c>
      <c r="P39" s="318">
        <f t="shared" si="1"/>
        <v>0.36363636363636365</v>
      </c>
      <c r="Q39" s="324">
        <f t="shared" si="2"/>
        <v>0.72727272727272729</v>
      </c>
    </row>
    <row r="40" spans="1:23" hidden="1">
      <c r="A40" s="418">
        <v>37</v>
      </c>
      <c r="B40" s="81" t="s">
        <v>95</v>
      </c>
      <c r="C40" s="270" t="s">
        <v>7</v>
      </c>
      <c r="D40" s="83" t="s">
        <v>226</v>
      </c>
      <c r="E40" s="83" t="s">
        <v>2</v>
      </c>
      <c r="F40" s="483" t="s">
        <v>816</v>
      </c>
      <c r="G40" s="270">
        <v>1</v>
      </c>
      <c r="H40" s="88" t="s">
        <v>893</v>
      </c>
      <c r="I40" s="270">
        <v>149</v>
      </c>
      <c r="J40" s="83">
        <v>634</v>
      </c>
      <c r="K40" s="85">
        <v>45014</v>
      </c>
      <c r="L40" s="85">
        <v>45247</v>
      </c>
      <c r="M40" s="490">
        <v>20</v>
      </c>
      <c r="N40" s="625">
        <v>17</v>
      </c>
      <c r="O40" s="570">
        <v>9</v>
      </c>
      <c r="P40" s="318">
        <f t="shared" si="1"/>
        <v>0.85</v>
      </c>
      <c r="Q40" s="324">
        <f t="shared" si="2"/>
        <v>0.45</v>
      </c>
    </row>
    <row r="41" spans="1:23">
      <c r="A41" s="418">
        <v>38</v>
      </c>
      <c r="B41" s="576" t="s">
        <v>865</v>
      </c>
      <c r="C41" s="577" t="s">
        <v>866</v>
      </c>
      <c r="D41" s="527" t="s">
        <v>867</v>
      </c>
      <c r="E41" s="527" t="s">
        <v>868</v>
      </c>
      <c r="F41" s="578" t="s">
        <v>869</v>
      </c>
      <c r="G41" s="577">
        <v>1</v>
      </c>
      <c r="H41" s="579" t="s">
        <v>197</v>
      </c>
      <c r="I41" s="577">
        <v>31</v>
      </c>
      <c r="J41" s="527">
        <v>152</v>
      </c>
      <c r="K41" s="580">
        <v>44996</v>
      </c>
      <c r="L41" s="581">
        <v>45102</v>
      </c>
      <c r="M41" s="571">
        <v>20</v>
      </c>
      <c r="N41" s="572">
        <v>8</v>
      </c>
      <c r="O41" s="573">
        <v>8</v>
      </c>
      <c r="P41" s="318">
        <f t="shared" si="1"/>
        <v>0.4</v>
      </c>
      <c r="Q41" s="324">
        <f t="shared" si="2"/>
        <v>0.4</v>
      </c>
    </row>
    <row r="42" spans="1:23" ht="17.25" thickBot="1">
      <c r="A42" s="418">
        <v>39</v>
      </c>
      <c r="B42" s="564" t="s">
        <v>864</v>
      </c>
      <c r="C42" s="713" t="s">
        <v>860</v>
      </c>
      <c r="D42" s="536" t="s">
        <v>861</v>
      </c>
      <c r="E42" s="536" t="s">
        <v>862</v>
      </c>
      <c r="F42" s="738" t="s">
        <v>863</v>
      </c>
      <c r="G42" s="713">
        <v>1</v>
      </c>
      <c r="H42" s="739" t="s">
        <v>894</v>
      </c>
      <c r="I42" s="713">
        <v>33</v>
      </c>
      <c r="J42" s="536">
        <v>130</v>
      </c>
      <c r="K42" s="740">
        <v>45012</v>
      </c>
      <c r="L42" s="741">
        <v>45061</v>
      </c>
      <c r="M42" s="742">
        <v>20</v>
      </c>
      <c r="N42" s="743">
        <v>4</v>
      </c>
      <c r="O42" s="574">
        <v>4</v>
      </c>
      <c r="P42" s="737">
        <f t="shared" si="1"/>
        <v>0.2</v>
      </c>
      <c r="Q42" s="359">
        <f t="shared" si="2"/>
        <v>0.2</v>
      </c>
      <c r="R42">
        <f>SUM(M21:M40)</f>
        <v>394</v>
      </c>
      <c r="S42" s="762">
        <f>SUM(N21:N40)</f>
        <v>234</v>
      </c>
      <c r="T42">
        <f>SUM(O21:O40)</f>
        <v>291</v>
      </c>
      <c r="U42" s="735">
        <f>SUM(M21:M42)</f>
        <v>434</v>
      </c>
      <c r="V42" s="735">
        <f>SUM(N21:N42)</f>
        <v>246</v>
      </c>
      <c r="W42" s="735">
        <f>SUM(O21:O42)</f>
        <v>303</v>
      </c>
    </row>
    <row r="43" spans="1:23">
      <c r="A43" s="418">
        <v>40</v>
      </c>
      <c r="B43" s="257" t="s">
        <v>851</v>
      </c>
      <c r="C43" s="113" t="s">
        <v>3</v>
      </c>
      <c r="D43" s="113" t="s">
        <v>769</v>
      </c>
      <c r="E43" s="113" t="s">
        <v>326</v>
      </c>
      <c r="F43" s="556" t="s">
        <v>768</v>
      </c>
      <c r="G43" s="113">
        <v>1</v>
      </c>
      <c r="H43" s="269" t="s">
        <v>853</v>
      </c>
      <c r="I43" s="113">
        <v>70</v>
      </c>
      <c r="J43" s="113">
        <v>350</v>
      </c>
      <c r="K43" s="264">
        <v>45019</v>
      </c>
      <c r="L43" s="485">
        <v>45121</v>
      </c>
      <c r="M43" s="488">
        <v>27</v>
      </c>
      <c r="N43" s="489">
        <v>10</v>
      </c>
      <c r="O43" s="487">
        <v>10</v>
      </c>
      <c r="P43" s="319">
        <f t="shared" si="1"/>
        <v>0.37037037037037035</v>
      </c>
      <c r="Q43" s="332">
        <f t="shared" si="2"/>
        <v>0.37037037037037035</v>
      </c>
    </row>
    <row r="44" spans="1:23">
      <c r="A44" s="418">
        <v>41</v>
      </c>
      <c r="B44" s="81" t="s">
        <v>852</v>
      </c>
      <c r="C44" s="83" t="s">
        <v>829</v>
      </c>
      <c r="D44" s="83" t="s">
        <v>830</v>
      </c>
      <c r="E44" s="83" t="s">
        <v>326</v>
      </c>
      <c r="F44" s="483" t="s">
        <v>831</v>
      </c>
      <c r="G44" s="82">
        <v>1</v>
      </c>
      <c r="H44" s="88" t="s">
        <v>832</v>
      </c>
      <c r="I44" s="83">
        <v>60</v>
      </c>
      <c r="J44" s="83">
        <v>300</v>
      </c>
      <c r="K44" s="85">
        <v>45027</v>
      </c>
      <c r="L44" s="486">
        <v>45113</v>
      </c>
      <c r="M44" s="490">
        <v>22</v>
      </c>
      <c r="N44" s="491">
        <v>12</v>
      </c>
      <c r="O44" s="267">
        <v>12</v>
      </c>
      <c r="P44" s="318">
        <f t="shared" si="1"/>
        <v>0.54545454545454541</v>
      </c>
      <c r="Q44" s="324">
        <f t="shared" si="2"/>
        <v>0.54545454545454541</v>
      </c>
    </row>
    <row r="45" spans="1:23">
      <c r="A45" s="418">
        <v>42</v>
      </c>
      <c r="B45" s="81" t="s">
        <v>852</v>
      </c>
      <c r="C45" s="83" t="s">
        <v>829</v>
      </c>
      <c r="D45" s="83" t="s">
        <v>769</v>
      </c>
      <c r="E45" s="83" t="s">
        <v>326</v>
      </c>
      <c r="F45" s="483" t="s">
        <v>833</v>
      </c>
      <c r="G45" s="82">
        <v>1</v>
      </c>
      <c r="H45" s="88" t="s">
        <v>854</v>
      </c>
      <c r="I45" s="83">
        <v>58</v>
      </c>
      <c r="J45" s="83">
        <v>290</v>
      </c>
      <c r="K45" s="85">
        <v>45027</v>
      </c>
      <c r="L45" s="486">
        <v>45111</v>
      </c>
      <c r="M45" s="490">
        <v>20</v>
      </c>
      <c r="N45" s="491">
        <v>12</v>
      </c>
      <c r="O45" s="267">
        <v>12</v>
      </c>
      <c r="P45" s="318">
        <f t="shared" si="1"/>
        <v>0.6</v>
      </c>
      <c r="Q45" s="324">
        <f t="shared" si="2"/>
        <v>0.6</v>
      </c>
    </row>
    <row r="46" spans="1:23">
      <c r="A46" s="418">
        <v>43</v>
      </c>
      <c r="B46" s="81" t="s">
        <v>852</v>
      </c>
      <c r="C46" s="83" t="s">
        <v>47</v>
      </c>
      <c r="D46" s="83" t="s">
        <v>834</v>
      </c>
      <c r="E46" s="83" t="s">
        <v>326</v>
      </c>
      <c r="F46" s="483" t="s">
        <v>827</v>
      </c>
      <c r="G46" s="82">
        <v>1</v>
      </c>
      <c r="H46" s="88" t="s">
        <v>855</v>
      </c>
      <c r="I46" s="83">
        <v>120</v>
      </c>
      <c r="J46" s="83">
        <v>370</v>
      </c>
      <c r="K46" s="85">
        <v>45027</v>
      </c>
      <c r="L46" s="486">
        <v>45205</v>
      </c>
      <c r="M46" s="490">
        <v>10</v>
      </c>
      <c r="N46" s="491">
        <v>9</v>
      </c>
      <c r="O46" s="267">
        <v>10</v>
      </c>
      <c r="P46" s="318">
        <f t="shared" si="1"/>
        <v>0.9</v>
      </c>
      <c r="Q46" s="324">
        <f t="shared" si="2"/>
        <v>1</v>
      </c>
    </row>
    <row r="47" spans="1:23">
      <c r="A47" s="418">
        <v>44</v>
      </c>
      <c r="B47" s="81" t="s">
        <v>852</v>
      </c>
      <c r="C47" s="83" t="s">
        <v>835</v>
      </c>
      <c r="D47" s="83" t="s">
        <v>836</v>
      </c>
      <c r="E47" s="83" t="s">
        <v>326</v>
      </c>
      <c r="F47" s="483" t="s">
        <v>837</v>
      </c>
      <c r="G47" s="82">
        <v>1</v>
      </c>
      <c r="H47" s="88" t="s">
        <v>856</v>
      </c>
      <c r="I47" s="83">
        <v>74</v>
      </c>
      <c r="J47" s="83">
        <v>370</v>
      </c>
      <c r="K47" s="85">
        <v>45027</v>
      </c>
      <c r="L47" s="486">
        <v>45132</v>
      </c>
      <c r="M47" s="490">
        <v>14</v>
      </c>
      <c r="N47" s="491">
        <v>8</v>
      </c>
      <c r="O47" s="267">
        <v>9</v>
      </c>
      <c r="P47" s="318">
        <f t="shared" si="1"/>
        <v>0.5714285714285714</v>
      </c>
      <c r="Q47" s="324">
        <f t="shared" si="2"/>
        <v>0.6428571428571429</v>
      </c>
    </row>
    <row r="48" spans="1:23">
      <c r="A48" s="418">
        <v>45</v>
      </c>
      <c r="B48" s="81" t="s">
        <v>852</v>
      </c>
      <c r="C48" s="82" t="s">
        <v>838</v>
      </c>
      <c r="D48" s="82" t="s">
        <v>839</v>
      </c>
      <c r="E48" s="82" t="s">
        <v>326</v>
      </c>
      <c r="F48" s="482" t="s">
        <v>840</v>
      </c>
      <c r="G48" s="82">
        <v>1</v>
      </c>
      <c r="H48" s="256" t="s">
        <v>988</v>
      </c>
      <c r="I48" s="82">
        <v>50</v>
      </c>
      <c r="J48" s="82">
        <v>350</v>
      </c>
      <c r="K48" s="84">
        <v>45029</v>
      </c>
      <c r="L48" s="492">
        <v>45100</v>
      </c>
      <c r="M48" s="493">
        <v>30</v>
      </c>
      <c r="N48" s="494">
        <v>14</v>
      </c>
      <c r="O48" s="268">
        <v>15</v>
      </c>
      <c r="P48" s="318">
        <f t="shared" si="1"/>
        <v>0.46666666666666667</v>
      </c>
      <c r="Q48" s="324">
        <f t="shared" si="2"/>
        <v>0.5</v>
      </c>
    </row>
    <row r="49" spans="1:23" hidden="1">
      <c r="A49" s="418">
        <v>46</v>
      </c>
      <c r="B49" s="81" t="s">
        <v>852</v>
      </c>
      <c r="C49" s="82" t="s">
        <v>838</v>
      </c>
      <c r="D49" s="82" t="s">
        <v>841</v>
      </c>
      <c r="E49" s="82" t="s">
        <v>842</v>
      </c>
      <c r="F49" s="482" t="s">
        <v>843</v>
      </c>
      <c r="G49" s="82">
        <v>1</v>
      </c>
      <c r="H49" s="256" t="s">
        <v>857</v>
      </c>
      <c r="I49" s="82">
        <v>127</v>
      </c>
      <c r="J49" s="82">
        <v>808</v>
      </c>
      <c r="K49" s="84">
        <v>45033</v>
      </c>
      <c r="L49" s="492">
        <v>45203</v>
      </c>
      <c r="M49" s="493">
        <v>33</v>
      </c>
      <c r="N49" s="541">
        <v>29</v>
      </c>
      <c r="O49" s="268">
        <v>30</v>
      </c>
      <c r="P49" s="318">
        <f t="shared" si="1"/>
        <v>0.87878787878787878</v>
      </c>
      <c r="Q49" s="324">
        <f t="shared" si="2"/>
        <v>0.90909090909090906</v>
      </c>
    </row>
    <row r="50" spans="1:23">
      <c r="A50" s="418">
        <v>47</v>
      </c>
      <c r="B50" s="81" t="s">
        <v>852</v>
      </c>
      <c r="C50" s="83" t="s">
        <v>844</v>
      </c>
      <c r="D50" s="83" t="s">
        <v>845</v>
      </c>
      <c r="E50" s="83" t="s">
        <v>846</v>
      </c>
      <c r="F50" s="482" t="s">
        <v>896</v>
      </c>
      <c r="G50" s="82">
        <v>1</v>
      </c>
      <c r="H50" s="88" t="s">
        <v>895</v>
      </c>
      <c r="I50" s="83">
        <v>80</v>
      </c>
      <c r="J50" s="83">
        <v>320</v>
      </c>
      <c r="K50" s="85">
        <v>45034</v>
      </c>
      <c r="L50" s="486">
        <v>45152</v>
      </c>
      <c r="M50" s="490">
        <v>20</v>
      </c>
      <c r="N50" s="491">
        <v>8</v>
      </c>
      <c r="O50" s="267">
        <v>12</v>
      </c>
      <c r="P50" s="318">
        <f t="shared" si="1"/>
        <v>0.4</v>
      </c>
      <c r="Q50" s="324">
        <f t="shared" si="2"/>
        <v>0.6</v>
      </c>
    </row>
    <row r="51" spans="1:23">
      <c r="A51" s="418">
        <v>48</v>
      </c>
      <c r="B51" s="81" t="s">
        <v>852</v>
      </c>
      <c r="C51" s="83" t="s">
        <v>47</v>
      </c>
      <c r="D51" s="83" t="s">
        <v>231</v>
      </c>
      <c r="E51" s="83" t="s">
        <v>846</v>
      </c>
      <c r="F51" s="483" t="s">
        <v>763</v>
      </c>
      <c r="G51" s="82">
        <v>1</v>
      </c>
      <c r="H51" s="88" t="s">
        <v>847</v>
      </c>
      <c r="I51" s="83">
        <v>124</v>
      </c>
      <c r="J51" s="83">
        <v>370</v>
      </c>
      <c r="K51" s="85">
        <v>45034</v>
      </c>
      <c r="L51" s="486">
        <v>45217</v>
      </c>
      <c r="M51" s="490">
        <v>17</v>
      </c>
      <c r="N51" s="491">
        <v>14</v>
      </c>
      <c r="O51" s="267">
        <v>14</v>
      </c>
      <c r="P51" s="318">
        <f t="shared" si="1"/>
        <v>0.82352941176470584</v>
      </c>
      <c r="Q51" s="324">
        <f t="shared" si="2"/>
        <v>0.82352941176470584</v>
      </c>
    </row>
    <row r="52" spans="1:23" hidden="1">
      <c r="A52" s="418">
        <v>49</v>
      </c>
      <c r="B52" s="81" t="s">
        <v>852</v>
      </c>
      <c r="C52" s="82" t="s">
        <v>3</v>
      </c>
      <c r="D52" s="82" t="s">
        <v>194</v>
      </c>
      <c r="E52" s="82" t="s">
        <v>848</v>
      </c>
      <c r="F52" s="482" t="s">
        <v>762</v>
      </c>
      <c r="G52" s="82">
        <v>1</v>
      </c>
      <c r="H52" s="256" t="s">
        <v>897</v>
      </c>
      <c r="I52" s="82">
        <v>142</v>
      </c>
      <c r="J52" s="82">
        <v>850</v>
      </c>
      <c r="K52" s="84">
        <v>45035</v>
      </c>
      <c r="L52" s="492">
        <v>45233</v>
      </c>
      <c r="M52" s="493">
        <v>35</v>
      </c>
      <c r="N52" s="494">
        <v>24</v>
      </c>
      <c r="O52" s="268">
        <v>24</v>
      </c>
      <c r="P52" s="318">
        <f t="shared" si="1"/>
        <v>0.68571428571428572</v>
      </c>
      <c r="Q52" s="324">
        <f t="shared" si="2"/>
        <v>0.68571428571428572</v>
      </c>
    </row>
    <row r="53" spans="1:23">
      <c r="A53" s="418">
        <v>50</v>
      </c>
      <c r="B53" s="81" t="s">
        <v>852</v>
      </c>
      <c r="C53" s="82" t="s">
        <v>828</v>
      </c>
      <c r="D53" s="82" t="s">
        <v>769</v>
      </c>
      <c r="E53" s="82" t="s">
        <v>846</v>
      </c>
      <c r="F53" s="483" t="s">
        <v>898</v>
      </c>
      <c r="G53" s="82">
        <v>1</v>
      </c>
      <c r="H53" s="256" t="s">
        <v>899</v>
      </c>
      <c r="I53" s="82">
        <v>56</v>
      </c>
      <c r="J53" s="82">
        <v>280</v>
      </c>
      <c r="K53" s="84">
        <v>45036</v>
      </c>
      <c r="L53" s="492">
        <v>45120</v>
      </c>
      <c r="M53" s="493">
        <v>28</v>
      </c>
      <c r="N53" s="494">
        <v>19</v>
      </c>
      <c r="O53" s="268">
        <v>19</v>
      </c>
      <c r="P53" s="318">
        <f t="shared" si="1"/>
        <v>0.6785714285714286</v>
      </c>
      <c r="Q53" s="324">
        <f t="shared" si="2"/>
        <v>0.6785714285714286</v>
      </c>
    </row>
    <row r="54" spans="1:23" hidden="1">
      <c r="A54" s="418">
        <v>51</v>
      </c>
      <c r="B54" s="81" t="s">
        <v>84</v>
      </c>
      <c r="C54" s="82" t="s">
        <v>981</v>
      </c>
      <c r="D54" s="82" t="s">
        <v>982</v>
      </c>
      <c r="E54" s="82" t="s">
        <v>983</v>
      </c>
      <c r="F54" s="483" t="s">
        <v>898</v>
      </c>
      <c r="G54" s="82">
        <v>1</v>
      </c>
      <c r="H54" s="256" t="s">
        <v>984</v>
      </c>
      <c r="I54" s="82">
        <v>86</v>
      </c>
      <c r="J54" s="82">
        <v>600</v>
      </c>
      <c r="K54" s="84">
        <v>45036</v>
      </c>
      <c r="L54" s="492">
        <v>45162</v>
      </c>
      <c r="M54" s="493">
        <v>20</v>
      </c>
      <c r="N54" s="494">
        <v>20</v>
      </c>
      <c r="O54" s="268">
        <v>20</v>
      </c>
      <c r="P54" s="318">
        <f t="shared" si="1"/>
        <v>1</v>
      </c>
      <c r="Q54" s="324">
        <f t="shared" si="2"/>
        <v>1</v>
      </c>
    </row>
    <row r="55" spans="1:23">
      <c r="A55" s="418">
        <v>52</v>
      </c>
      <c r="B55" s="81" t="s">
        <v>852</v>
      </c>
      <c r="C55" s="82" t="s">
        <v>844</v>
      </c>
      <c r="D55" s="82" t="s">
        <v>849</v>
      </c>
      <c r="E55" s="82" t="s">
        <v>846</v>
      </c>
      <c r="F55" s="482" t="s">
        <v>850</v>
      </c>
      <c r="G55" s="82">
        <v>1</v>
      </c>
      <c r="H55" s="474" t="s">
        <v>900</v>
      </c>
      <c r="I55" s="82">
        <v>73</v>
      </c>
      <c r="J55" s="82">
        <v>290</v>
      </c>
      <c r="K55" s="84">
        <v>45044</v>
      </c>
      <c r="L55" s="492">
        <v>45156</v>
      </c>
      <c r="M55" s="493">
        <v>14</v>
      </c>
      <c r="N55" s="494">
        <v>11</v>
      </c>
      <c r="O55" s="268">
        <v>12</v>
      </c>
      <c r="P55" s="318">
        <f t="shared" si="1"/>
        <v>0.7857142857142857</v>
      </c>
      <c r="Q55" s="324">
        <f t="shared" si="2"/>
        <v>0.8571428571428571</v>
      </c>
    </row>
    <row r="56" spans="1:23" ht="17.25" thickBot="1">
      <c r="A56" s="418">
        <v>53</v>
      </c>
      <c r="B56" s="533" t="s">
        <v>852</v>
      </c>
      <c r="C56" s="582" t="s">
        <v>866</v>
      </c>
      <c r="D56" s="534" t="s">
        <v>867</v>
      </c>
      <c r="E56" s="534" t="s">
        <v>868</v>
      </c>
      <c r="F56" s="558" t="s">
        <v>870</v>
      </c>
      <c r="G56" s="559">
        <v>2</v>
      </c>
      <c r="H56" s="560" t="s">
        <v>901</v>
      </c>
      <c r="I56" s="561">
        <v>51</v>
      </c>
      <c r="J56" s="561">
        <v>150</v>
      </c>
      <c r="K56" s="562">
        <v>45026</v>
      </c>
      <c r="L56" s="563">
        <v>45145</v>
      </c>
      <c r="M56" s="564">
        <v>20</v>
      </c>
      <c r="N56" s="565">
        <v>6</v>
      </c>
      <c r="O56" s="566">
        <v>6</v>
      </c>
      <c r="P56" s="737">
        <f t="shared" si="1"/>
        <v>0.3</v>
      </c>
      <c r="Q56" s="359">
        <f t="shared" si="2"/>
        <v>0.3</v>
      </c>
      <c r="R56">
        <f>SUM(M43:M55)</f>
        <v>290</v>
      </c>
      <c r="S56" s="762">
        <f>SUM(N43:N55)</f>
        <v>190</v>
      </c>
      <c r="T56">
        <f>SUM(O43:O55)</f>
        <v>199</v>
      </c>
      <c r="U56" s="735">
        <f>SUM(M43:M56)</f>
        <v>310</v>
      </c>
      <c r="V56" s="735">
        <f>SUM(N43:N56)</f>
        <v>196</v>
      </c>
      <c r="W56" s="735">
        <f>SUM(O43:O56)</f>
        <v>205</v>
      </c>
    </row>
    <row r="57" spans="1:23">
      <c r="A57" s="418">
        <v>54</v>
      </c>
      <c r="B57" s="257" t="s">
        <v>934</v>
      </c>
      <c r="C57" s="282" t="s">
        <v>47</v>
      </c>
      <c r="D57" s="224" t="s">
        <v>235</v>
      </c>
      <c r="E57" s="224" t="s">
        <v>917</v>
      </c>
      <c r="F57" s="556" t="s">
        <v>918</v>
      </c>
      <c r="G57" s="194">
        <v>1</v>
      </c>
      <c r="H57" s="285" t="s">
        <v>919</v>
      </c>
      <c r="I57" s="282">
        <v>93</v>
      </c>
      <c r="J57" s="224">
        <v>370</v>
      </c>
      <c r="K57" s="225">
        <v>45048</v>
      </c>
      <c r="L57" s="503">
        <v>45223</v>
      </c>
      <c r="M57" s="511">
        <v>10</v>
      </c>
      <c r="N57" s="517">
        <v>9</v>
      </c>
      <c r="O57" s="567">
        <v>9</v>
      </c>
      <c r="P57" s="319">
        <f t="shared" si="1"/>
        <v>0.9</v>
      </c>
      <c r="Q57" s="332">
        <f t="shared" si="2"/>
        <v>0.9</v>
      </c>
    </row>
    <row r="58" spans="1:23" hidden="1">
      <c r="A58" s="418">
        <v>55</v>
      </c>
      <c r="B58" s="81" t="s">
        <v>935</v>
      </c>
      <c r="C58" s="270" t="s">
        <v>903</v>
      </c>
      <c r="D58" s="83" t="s">
        <v>194</v>
      </c>
      <c r="E58" s="83" t="s">
        <v>476</v>
      </c>
      <c r="F58" s="483" t="s">
        <v>920</v>
      </c>
      <c r="G58" s="82">
        <v>1</v>
      </c>
      <c r="H58" s="88" t="s">
        <v>904</v>
      </c>
      <c r="I58" s="270">
        <v>121</v>
      </c>
      <c r="J58" s="83">
        <v>963</v>
      </c>
      <c r="K58" s="85">
        <v>45048</v>
      </c>
      <c r="L58" s="486">
        <v>45236</v>
      </c>
      <c r="M58" s="490">
        <v>30</v>
      </c>
      <c r="N58" s="520">
        <v>24</v>
      </c>
      <c r="O58" s="570">
        <v>27</v>
      </c>
      <c r="P58" s="318">
        <f t="shared" si="1"/>
        <v>0.8</v>
      </c>
      <c r="Q58" s="324">
        <f t="shared" si="2"/>
        <v>0.9</v>
      </c>
    </row>
    <row r="59" spans="1:23">
      <c r="A59" s="418">
        <v>56</v>
      </c>
      <c r="B59" s="81" t="s">
        <v>935</v>
      </c>
      <c r="C59" s="272" t="s">
        <v>905</v>
      </c>
      <c r="D59" s="82" t="s">
        <v>921</v>
      </c>
      <c r="E59" s="82" t="s">
        <v>326</v>
      </c>
      <c r="F59" s="482" t="s">
        <v>906</v>
      </c>
      <c r="G59" s="82">
        <v>1</v>
      </c>
      <c r="H59" s="256" t="s">
        <v>907</v>
      </c>
      <c r="I59" s="272">
        <v>68</v>
      </c>
      <c r="J59" s="82">
        <v>272</v>
      </c>
      <c r="K59" s="84">
        <v>45049</v>
      </c>
      <c r="L59" s="492">
        <v>45148</v>
      </c>
      <c r="M59" s="493">
        <v>20</v>
      </c>
      <c r="N59" s="494">
        <v>12</v>
      </c>
      <c r="O59" s="337">
        <v>17</v>
      </c>
      <c r="P59" s="318">
        <f t="shared" si="1"/>
        <v>0.6</v>
      </c>
      <c r="Q59" s="324">
        <f t="shared" si="2"/>
        <v>0.85</v>
      </c>
    </row>
    <row r="60" spans="1:23" hidden="1">
      <c r="A60" s="418">
        <v>57</v>
      </c>
      <c r="B60" s="81" t="s">
        <v>935</v>
      </c>
      <c r="C60" s="272" t="s">
        <v>3</v>
      </c>
      <c r="D60" s="82" t="s">
        <v>227</v>
      </c>
      <c r="E60" s="82" t="s">
        <v>909</v>
      </c>
      <c r="F60" s="482" t="s">
        <v>922</v>
      </c>
      <c r="G60" s="189">
        <v>2</v>
      </c>
      <c r="H60" s="256" t="s">
        <v>910</v>
      </c>
      <c r="I60" s="272">
        <v>95</v>
      </c>
      <c r="J60" s="82">
        <v>756</v>
      </c>
      <c r="K60" s="84">
        <v>45054</v>
      </c>
      <c r="L60" s="492">
        <v>45189</v>
      </c>
      <c r="M60" s="493">
        <v>30</v>
      </c>
      <c r="N60" s="494">
        <v>8</v>
      </c>
      <c r="O60" s="337">
        <v>8</v>
      </c>
      <c r="P60" s="318">
        <f t="shared" si="1"/>
        <v>0.26666666666666666</v>
      </c>
      <c r="Q60" s="324">
        <f t="shared" si="2"/>
        <v>0.26666666666666666</v>
      </c>
    </row>
    <row r="61" spans="1:23">
      <c r="A61" s="418">
        <v>58</v>
      </c>
      <c r="B61" s="81" t="s">
        <v>935</v>
      </c>
      <c r="C61" s="270" t="s">
        <v>7</v>
      </c>
      <c r="D61" s="83" t="s">
        <v>911</v>
      </c>
      <c r="E61" s="83" t="s">
        <v>326</v>
      </c>
      <c r="F61" s="483" t="s">
        <v>936</v>
      </c>
      <c r="G61" s="82">
        <v>1</v>
      </c>
      <c r="H61" s="88" t="s">
        <v>912</v>
      </c>
      <c r="I61" s="270">
        <v>45</v>
      </c>
      <c r="J61" s="83">
        <v>300</v>
      </c>
      <c r="K61" s="85">
        <v>45057</v>
      </c>
      <c r="L61" s="486">
        <v>45167</v>
      </c>
      <c r="M61" s="490">
        <v>20</v>
      </c>
      <c r="N61" s="491">
        <v>13</v>
      </c>
      <c r="O61" s="570">
        <v>14</v>
      </c>
      <c r="P61" s="318">
        <f t="shared" si="1"/>
        <v>0.65</v>
      </c>
      <c r="Q61" s="324">
        <f t="shared" si="2"/>
        <v>0.7</v>
      </c>
    </row>
    <row r="62" spans="1:23">
      <c r="A62" s="418">
        <v>59</v>
      </c>
      <c r="B62" s="81" t="s">
        <v>935</v>
      </c>
      <c r="C62" s="270" t="s">
        <v>47</v>
      </c>
      <c r="D62" s="83" t="s">
        <v>230</v>
      </c>
      <c r="E62" s="83" t="s">
        <v>902</v>
      </c>
      <c r="F62" s="483" t="s">
        <v>913</v>
      </c>
      <c r="G62" s="82">
        <v>1</v>
      </c>
      <c r="H62" s="88" t="s">
        <v>923</v>
      </c>
      <c r="I62" s="270">
        <v>122</v>
      </c>
      <c r="J62" s="83">
        <v>370</v>
      </c>
      <c r="K62" s="85">
        <v>45062</v>
      </c>
      <c r="L62" s="486">
        <v>45244</v>
      </c>
      <c r="M62" s="490">
        <v>21</v>
      </c>
      <c r="N62" s="491">
        <v>15</v>
      </c>
      <c r="O62" s="593">
        <v>16</v>
      </c>
      <c r="P62" s="318">
        <f t="shared" si="1"/>
        <v>0.7142857142857143</v>
      </c>
      <c r="Q62" s="324">
        <f t="shared" si="2"/>
        <v>0.76190476190476186</v>
      </c>
    </row>
    <row r="63" spans="1:23">
      <c r="A63" s="418">
        <v>60</v>
      </c>
      <c r="B63" s="81" t="s">
        <v>935</v>
      </c>
      <c r="C63" s="272" t="s">
        <v>908</v>
      </c>
      <c r="D63" s="82" t="s">
        <v>924</v>
      </c>
      <c r="E63" s="82" t="s">
        <v>925</v>
      </c>
      <c r="F63" s="482" t="s">
        <v>805</v>
      </c>
      <c r="G63" s="189">
        <v>2</v>
      </c>
      <c r="H63" s="256" t="s">
        <v>914</v>
      </c>
      <c r="I63" s="272">
        <v>47</v>
      </c>
      <c r="J63" s="82">
        <v>280</v>
      </c>
      <c r="K63" s="84">
        <v>45071</v>
      </c>
      <c r="L63" s="492">
        <v>45139</v>
      </c>
      <c r="M63" s="493">
        <v>30</v>
      </c>
      <c r="N63" s="494">
        <v>8</v>
      </c>
      <c r="O63" s="337">
        <v>8</v>
      </c>
      <c r="P63" s="318">
        <f t="shared" si="1"/>
        <v>0.26666666666666666</v>
      </c>
      <c r="Q63" s="324">
        <f t="shared" si="2"/>
        <v>0.26666666666666666</v>
      </c>
    </row>
    <row r="64" spans="1:23" hidden="1">
      <c r="A64" s="418">
        <v>61</v>
      </c>
      <c r="B64" s="81" t="s">
        <v>935</v>
      </c>
      <c r="C64" s="270" t="s">
        <v>908</v>
      </c>
      <c r="D64" s="83" t="s">
        <v>926</v>
      </c>
      <c r="E64" s="83" t="s">
        <v>915</v>
      </c>
      <c r="F64" s="483" t="s">
        <v>927</v>
      </c>
      <c r="G64" s="82">
        <v>1</v>
      </c>
      <c r="H64" s="88" t="s">
        <v>928</v>
      </c>
      <c r="I64" s="270">
        <v>94</v>
      </c>
      <c r="J64" s="83">
        <v>752</v>
      </c>
      <c r="K64" s="85">
        <v>45076</v>
      </c>
      <c r="L64" s="486">
        <v>45225</v>
      </c>
      <c r="M64" s="490">
        <v>21</v>
      </c>
      <c r="N64" s="491">
        <v>14</v>
      </c>
      <c r="O64" s="570">
        <v>14</v>
      </c>
      <c r="P64" s="318">
        <f t="shared" si="1"/>
        <v>0.66666666666666663</v>
      </c>
      <c r="Q64" s="324">
        <f t="shared" si="2"/>
        <v>0.66666666666666663</v>
      </c>
    </row>
    <row r="65" spans="1:23" hidden="1">
      <c r="A65" s="418">
        <v>62</v>
      </c>
      <c r="B65" s="81" t="s">
        <v>935</v>
      </c>
      <c r="C65" s="272" t="s">
        <v>908</v>
      </c>
      <c r="D65" s="82" t="s">
        <v>916</v>
      </c>
      <c r="E65" s="82" t="s">
        <v>929</v>
      </c>
      <c r="F65" s="482" t="s">
        <v>930</v>
      </c>
      <c r="G65" s="82">
        <v>1</v>
      </c>
      <c r="H65" s="256" t="s">
        <v>931</v>
      </c>
      <c r="I65" s="272">
        <v>98</v>
      </c>
      <c r="J65" s="82">
        <v>784</v>
      </c>
      <c r="K65" s="84">
        <v>45076</v>
      </c>
      <c r="L65" s="492">
        <v>45219</v>
      </c>
      <c r="M65" s="493">
        <v>22</v>
      </c>
      <c r="N65" s="494">
        <v>10</v>
      </c>
      <c r="O65" s="337">
        <v>10</v>
      </c>
      <c r="P65" s="318">
        <f t="shared" si="1"/>
        <v>0.45454545454545453</v>
      </c>
      <c r="Q65" s="324">
        <f t="shared" si="2"/>
        <v>0.45454545454545453</v>
      </c>
    </row>
    <row r="66" spans="1:23">
      <c r="A66" s="418">
        <v>63</v>
      </c>
      <c r="B66" s="81" t="s">
        <v>935</v>
      </c>
      <c r="C66" s="272" t="s">
        <v>908</v>
      </c>
      <c r="D66" s="82" t="s">
        <v>932</v>
      </c>
      <c r="E66" s="82" t="s">
        <v>925</v>
      </c>
      <c r="F66" s="483" t="s">
        <v>922</v>
      </c>
      <c r="G66" s="82">
        <v>1</v>
      </c>
      <c r="H66" s="256" t="s">
        <v>933</v>
      </c>
      <c r="I66" s="272">
        <v>70</v>
      </c>
      <c r="J66" s="82">
        <v>280</v>
      </c>
      <c r="K66" s="84">
        <v>45076</v>
      </c>
      <c r="L66" s="492">
        <v>45175</v>
      </c>
      <c r="M66" s="493">
        <v>30</v>
      </c>
      <c r="N66" s="494">
        <v>20</v>
      </c>
      <c r="O66" s="337">
        <v>20</v>
      </c>
      <c r="P66" s="318">
        <f t="shared" si="1"/>
        <v>0.66666666666666663</v>
      </c>
      <c r="Q66" s="324">
        <f t="shared" si="2"/>
        <v>0.66666666666666663</v>
      </c>
    </row>
    <row r="67" spans="1:23">
      <c r="A67" s="418">
        <v>64</v>
      </c>
      <c r="B67" s="576" t="s">
        <v>977</v>
      </c>
      <c r="C67" s="594" t="s">
        <v>973</v>
      </c>
      <c r="D67" s="594" t="s">
        <v>974</v>
      </c>
      <c r="E67" s="594" t="s">
        <v>975</v>
      </c>
      <c r="F67" s="595" t="s">
        <v>980</v>
      </c>
      <c r="G67" s="674">
        <v>2</v>
      </c>
      <c r="H67" s="596" t="s">
        <v>1119</v>
      </c>
      <c r="I67" s="594">
        <v>47</v>
      </c>
      <c r="J67" s="594">
        <v>139</v>
      </c>
      <c r="K67" s="597">
        <v>45054</v>
      </c>
      <c r="L67" s="617">
        <v>45138</v>
      </c>
      <c r="M67" s="619">
        <v>20</v>
      </c>
      <c r="N67" s="620">
        <v>11</v>
      </c>
      <c r="O67" s="622">
        <v>11</v>
      </c>
      <c r="P67" s="318">
        <f t="shared" si="1"/>
        <v>0.55000000000000004</v>
      </c>
      <c r="Q67" s="324">
        <f t="shared" si="2"/>
        <v>0.55000000000000004</v>
      </c>
    </row>
    <row r="68" spans="1:23" ht="17.25" thickBot="1">
      <c r="A68" s="418">
        <v>65</v>
      </c>
      <c r="B68" s="533" t="s">
        <v>977</v>
      </c>
      <c r="C68" s="598" t="s">
        <v>973</v>
      </c>
      <c r="D68" s="598" t="s">
        <v>974</v>
      </c>
      <c r="E68" s="598" t="s">
        <v>975</v>
      </c>
      <c r="F68" s="535" t="s">
        <v>976</v>
      </c>
      <c r="G68" s="559">
        <v>3</v>
      </c>
      <c r="H68" s="599" t="s">
        <v>1120</v>
      </c>
      <c r="I68" s="559">
        <v>41</v>
      </c>
      <c r="J68" s="559">
        <v>150</v>
      </c>
      <c r="K68" s="600">
        <v>45062</v>
      </c>
      <c r="L68" s="618">
        <v>45160</v>
      </c>
      <c r="M68" s="533">
        <v>20</v>
      </c>
      <c r="N68" s="621">
        <v>12</v>
      </c>
      <c r="O68" s="623">
        <v>12</v>
      </c>
      <c r="P68" s="737">
        <f t="shared" si="1"/>
        <v>0.6</v>
      </c>
      <c r="Q68" s="359">
        <f t="shared" si="2"/>
        <v>0.6</v>
      </c>
      <c r="R68">
        <f>SUM(M57:M66)</f>
        <v>234</v>
      </c>
      <c r="S68" s="762">
        <f>SUM(N57:N66)</f>
        <v>133</v>
      </c>
      <c r="T68">
        <f>SUM(O57:O66)</f>
        <v>143</v>
      </c>
      <c r="U68" s="735">
        <f>SUM(M57:M68)</f>
        <v>274</v>
      </c>
      <c r="V68" s="735">
        <f>SUM(N57:N68)</f>
        <v>156</v>
      </c>
      <c r="W68" s="735">
        <f>SUM(O57:O68)</f>
        <v>166</v>
      </c>
    </row>
    <row r="69" spans="1:23" hidden="1">
      <c r="A69" s="418">
        <v>66</v>
      </c>
      <c r="B69" s="257" t="s">
        <v>971</v>
      </c>
      <c r="C69" s="282" t="s">
        <v>937</v>
      </c>
      <c r="D69" s="224" t="s">
        <v>938</v>
      </c>
      <c r="E69" s="224" t="s">
        <v>939</v>
      </c>
      <c r="F69" s="556" t="s">
        <v>940</v>
      </c>
      <c r="G69" s="282">
        <v>1</v>
      </c>
      <c r="H69" s="285" t="s">
        <v>967</v>
      </c>
      <c r="I69" s="282">
        <v>123</v>
      </c>
      <c r="J69" s="224">
        <v>670</v>
      </c>
      <c r="K69" s="590">
        <v>45089</v>
      </c>
      <c r="L69" s="503">
        <v>45266</v>
      </c>
      <c r="M69" s="511">
        <v>20</v>
      </c>
      <c r="N69" s="517">
        <v>16</v>
      </c>
      <c r="O69" s="510">
        <v>18</v>
      </c>
      <c r="P69" s="319">
        <f t="shared" si="1"/>
        <v>0.8</v>
      </c>
      <c r="Q69" s="332">
        <f t="shared" si="2"/>
        <v>0.9</v>
      </c>
    </row>
    <row r="70" spans="1:23">
      <c r="A70" s="418">
        <v>67</v>
      </c>
      <c r="B70" s="81" t="s">
        <v>972</v>
      </c>
      <c r="C70" s="270" t="s">
        <v>941</v>
      </c>
      <c r="D70" s="83" t="s">
        <v>942</v>
      </c>
      <c r="E70" s="83" t="s">
        <v>943</v>
      </c>
      <c r="F70" s="483" t="s">
        <v>944</v>
      </c>
      <c r="G70" s="272">
        <v>1</v>
      </c>
      <c r="H70" s="88" t="s">
        <v>968</v>
      </c>
      <c r="I70" s="270">
        <v>88</v>
      </c>
      <c r="J70" s="83">
        <v>350</v>
      </c>
      <c r="K70" s="586">
        <v>45089</v>
      </c>
      <c r="L70" s="486">
        <v>45187</v>
      </c>
      <c r="M70" s="490">
        <v>20</v>
      </c>
      <c r="N70" s="491">
        <v>8</v>
      </c>
      <c r="O70" s="509">
        <v>9</v>
      </c>
      <c r="P70" s="318">
        <f t="shared" ref="P70:P133" si="3">N70/M70</f>
        <v>0.4</v>
      </c>
      <c r="Q70" s="324">
        <f t="shared" si="2"/>
        <v>0.45</v>
      </c>
    </row>
    <row r="71" spans="1:23">
      <c r="A71" s="418">
        <v>68</v>
      </c>
      <c r="B71" s="81" t="s">
        <v>972</v>
      </c>
      <c r="C71" s="272" t="s">
        <v>945</v>
      </c>
      <c r="D71" s="82" t="s">
        <v>946</v>
      </c>
      <c r="E71" s="82" t="s">
        <v>947</v>
      </c>
      <c r="F71" s="483" t="s">
        <v>948</v>
      </c>
      <c r="G71" s="272">
        <v>1</v>
      </c>
      <c r="H71" s="256" t="s">
        <v>962</v>
      </c>
      <c r="I71" s="272">
        <v>88</v>
      </c>
      <c r="J71" s="82">
        <v>350</v>
      </c>
      <c r="K71" s="587">
        <v>45091</v>
      </c>
      <c r="L71" s="492">
        <v>45223</v>
      </c>
      <c r="M71" s="493">
        <v>28</v>
      </c>
      <c r="N71" s="494">
        <v>9</v>
      </c>
      <c r="O71" s="508">
        <v>9</v>
      </c>
      <c r="P71" s="318">
        <f t="shared" si="3"/>
        <v>0.32142857142857145</v>
      </c>
      <c r="Q71" s="324">
        <f t="shared" ref="Q71:Q134" si="4">O71/M71</f>
        <v>0.32142857142857145</v>
      </c>
    </row>
    <row r="72" spans="1:23" hidden="1">
      <c r="A72" s="418">
        <v>69</v>
      </c>
      <c r="B72" s="81" t="s">
        <v>972</v>
      </c>
      <c r="C72" s="270" t="s">
        <v>949</v>
      </c>
      <c r="D72" s="83" t="s">
        <v>950</v>
      </c>
      <c r="E72" s="83" t="s">
        <v>951</v>
      </c>
      <c r="F72" s="483" t="s">
        <v>948</v>
      </c>
      <c r="G72" s="272">
        <v>1</v>
      </c>
      <c r="H72" s="88" t="s">
        <v>963</v>
      </c>
      <c r="I72" s="270">
        <v>117</v>
      </c>
      <c r="J72" s="83">
        <v>930</v>
      </c>
      <c r="K72" s="586">
        <v>45096</v>
      </c>
      <c r="L72" s="486">
        <v>45265</v>
      </c>
      <c r="M72" s="490">
        <v>20</v>
      </c>
      <c r="N72" s="491">
        <v>15</v>
      </c>
      <c r="O72" s="509">
        <v>16</v>
      </c>
      <c r="P72" s="318">
        <f t="shared" si="3"/>
        <v>0.75</v>
      </c>
      <c r="Q72" s="324">
        <f t="shared" si="4"/>
        <v>0.8</v>
      </c>
    </row>
    <row r="73" spans="1:23" hidden="1">
      <c r="A73" s="418">
        <v>70</v>
      </c>
      <c r="B73" s="81" t="s">
        <v>972</v>
      </c>
      <c r="C73" s="548" t="s">
        <v>952</v>
      </c>
      <c r="D73" s="19" t="s">
        <v>953</v>
      </c>
      <c r="E73" s="19" t="s">
        <v>939</v>
      </c>
      <c r="F73" s="551" t="s">
        <v>954</v>
      </c>
      <c r="G73" s="272">
        <v>1</v>
      </c>
      <c r="H73" s="20" t="s">
        <v>969</v>
      </c>
      <c r="I73" s="548">
        <v>110</v>
      </c>
      <c r="J73" s="19">
        <v>692</v>
      </c>
      <c r="K73" s="588">
        <v>45096</v>
      </c>
      <c r="L73" s="589">
        <v>45258</v>
      </c>
      <c r="M73" s="545">
        <v>25</v>
      </c>
      <c r="N73" s="604">
        <v>11</v>
      </c>
      <c r="O73" s="602">
        <v>21</v>
      </c>
      <c r="P73" s="318">
        <f t="shared" si="3"/>
        <v>0.44</v>
      </c>
      <c r="Q73" s="324">
        <f t="shared" si="4"/>
        <v>0.84</v>
      </c>
    </row>
    <row r="74" spans="1:23">
      <c r="A74" s="418">
        <v>71</v>
      </c>
      <c r="B74" s="81" t="s">
        <v>972</v>
      </c>
      <c r="C74" s="548" t="s">
        <v>937</v>
      </c>
      <c r="D74" s="19" t="s">
        <v>955</v>
      </c>
      <c r="E74" s="19" t="s">
        <v>947</v>
      </c>
      <c r="F74" s="551" t="s">
        <v>954</v>
      </c>
      <c r="G74" s="272">
        <v>1</v>
      </c>
      <c r="H74" s="591" t="s">
        <v>964</v>
      </c>
      <c r="I74" s="548">
        <v>58</v>
      </c>
      <c r="J74" s="19">
        <v>290</v>
      </c>
      <c r="K74" s="588">
        <v>45098</v>
      </c>
      <c r="L74" s="589">
        <v>45182</v>
      </c>
      <c r="M74" s="545">
        <v>20</v>
      </c>
      <c r="N74" s="605">
        <v>6</v>
      </c>
      <c r="O74" s="602">
        <v>9</v>
      </c>
      <c r="P74" s="318">
        <f t="shared" si="3"/>
        <v>0.3</v>
      </c>
      <c r="Q74" s="324">
        <f t="shared" si="4"/>
        <v>0.45</v>
      </c>
    </row>
    <row r="75" spans="1:23" hidden="1">
      <c r="A75" s="418">
        <v>72</v>
      </c>
      <c r="B75" s="81" t="s">
        <v>972</v>
      </c>
      <c r="C75" s="272" t="s">
        <v>949</v>
      </c>
      <c r="D75" s="82" t="s">
        <v>956</v>
      </c>
      <c r="E75" s="82" t="s">
        <v>957</v>
      </c>
      <c r="F75" s="482" t="s">
        <v>958</v>
      </c>
      <c r="G75" s="189">
        <v>2</v>
      </c>
      <c r="H75" s="256" t="s">
        <v>965</v>
      </c>
      <c r="I75" s="272">
        <v>110</v>
      </c>
      <c r="J75" s="82">
        <v>880</v>
      </c>
      <c r="K75" s="587">
        <v>45100</v>
      </c>
      <c r="L75" s="492">
        <v>45260</v>
      </c>
      <c r="M75" s="493">
        <v>17</v>
      </c>
      <c r="N75" s="494">
        <v>17</v>
      </c>
      <c r="O75" s="508">
        <v>20</v>
      </c>
      <c r="P75" s="318">
        <f t="shared" si="3"/>
        <v>1</v>
      </c>
      <c r="Q75" s="324">
        <f t="shared" si="4"/>
        <v>1.1764705882352942</v>
      </c>
    </row>
    <row r="76" spans="1:23" hidden="1">
      <c r="A76" s="418">
        <v>73</v>
      </c>
      <c r="B76" s="543" t="s">
        <v>972</v>
      </c>
      <c r="C76" s="547" t="s">
        <v>949</v>
      </c>
      <c r="D76" s="21" t="s">
        <v>953</v>
      </c>
      <c r="E76" s="21" t="s">
        <v>951</v>
      </c>
      <c r="F76" s="550" t="s">
        <v>948</v>
      </c>
      <c r="G76" s="272">
        <v>1</v>
      </c>
      <c r="H76" s="70" t="s">
        <v>966</v>
      </c>
      <c r="I76" s="547">
        <v>103</v>
      </c>
      <c r="J76" s="21">
        <v>872</v>
      </c>
      <c r="K76" s="592">
        <v>45103</v>
      </c>
      <c r="L76" s="601">
        <v>45260</v>
      </c>
      <c r="M76" s="544">
        <v>25</v>
      </c>
      <c r="N76" s="605">
        <v>17</v>
      </c>
      <c r="O76" s="603">
        <v>16</v>
      </c>
      <c r="P76" s="318">
        <f t="shared" si="3"/>
        <v>0.68</v>
      </c>
      <c r="Q76" s="324">
        <f t="shared" si="4"/>
        <v>0.64</v>
      </c>
    </row>
    <row r="77" spans="1:23" hidden="1">
      <c r="A77" s="418">
        <v>74</v>
      </c>
      <c r="B77" s="543" t="s">
        <v>972</v>
      </c>
      <c r="C77" s="548" t="s">
        <v>949</v>
      </c>
      <c r="D77" s="19" t="s">
        <v>959</v>
      </c>
      <c r="E77" s="19" t="s">
        <v>960</v>
      </c>
      <c r="F77" s="551" t="s">
        <v>961</v>
      </c>
      <c r="G77" s="21">
        <v>4</v>
      </c>
      <c r="H77" s="25" t="s">
        <v>970</v>
      </c>
      <c r="I77" s="548">
        <v>118</v>
      </c>
      <c r="J77" s="19">
        <v>944</v>
      </c>
      <c r="K77" s="27">
        <v>45105</v>
      </c>
      <c r="L77" s="589">
        <v>45282</v>
      </c>
      <c r="M77" s="545">
        <v>35</v>
      </c>
      <c r="N77" s="627">
        <v>12</v>
      </c>
      <c r="O77" s="602">
        <v>16</v>
      </c>
      <c r="P77" s="318">
        <f t="shared" si="3"/>
        <v>0.34285714285714286</v>
      </c>
      <c r="Q77" s="324">
        <f t="shared" si="4"/>
        <v>0.45714285714285713</v>
      </c>
    </row>
    <row r="78" spans="1:23" ht="17.25" thickBot="1">
      <c r="A78" s="418">
        <v>75</v>
      </c>
      <c r="B78" s="608" t="s">
        <v>979</v>
      </c>
      <c r="C78" s="598" t="s">
        <v>973</v>
      </c>
      <c r="D78" s="598" t="s">
        <v>974</v>
      </c>
      <c r="E78" s="598" t="s">
        <v>947</v>
      </c>
      <c r="F78" s="609" t="s">
        <v>978</v>
      </c>
      <c r="G78" s="610">
        <v>2</v>
      </c>
      <c r="H78" s="611" t="s">
        <v>1121</v>
      </c>
      <c r="I78" s="612">
        <v>39</v>
      </c>
      <c r="J78" s="613">
        <v>152</v>
      </c>
      <c r="K78" s="614">
        <v>45082</v>
      </c>
      <c r="L78" s="615">
        <v>45135</v>
      </c>
      <c r="M78" s="606">
        <v>20</v>
      </c>
      <c r="N78" s="607">
        <v>8</v>
      </c>
      <c r="O78" s="616">
        <v>8</v>
      </c>
      <c r="P78" s="737">
        <f t="shared" si="3"/>
        <v>0.4</v>
      </c>
      <c r="Q78" s="359">
        <f t="shared" si="4"/>
        <v>0.4</v>
      </c>
      <c r="R78">
        <f>SUM(M69:M77)</f>
        <v>210</v>
      </c>
      <c r="S78" s="762">
        <f>SUM(N69:N77)</f>
        <v>111</v>
      </c>
      <c r="T78">
        <f>SUM(O69:O77)</f>
        <v>134</v>
      </c>
      <c r="U78" s="735">
        <f>SUM(M69:M78)</f>
        <v>230</v>
      </c>
      <c r="V78" s="735">
        <f>SUM(N69:N78)</f>
        <v>119</v>
      </c>
      <c r="W78" s="735">
        <f>SUM(O69:O78)</f>
        <v>142</v>
      </c>
    </row>
    <row r="79" spans="1:23">
      <c r="A79" s="418">
        <v>76</v>
      </c>
      <c r="B79" s="257" t="s">
        <v>1012</v>
      </c>
      <c r="C79" s="224" t="s">
        <v>7</v>
      </c>
      <c r="D79" s="224" t="s">
        <v>1000</v>
      </c>
      <c r="E79" s="224" t="s">
        <v>1001</v>
      </c>
      <c r="F79" s="556" t="s">
        <v>1002</v>
      </c>
      <c r="G79" s="113">
        <v>1</v>
      </c>
      <c r="H79" s="285" t="s">
        <v>1007</v>
      </c>
      <c r="I79" s="224">
        <v>58</v>
      </c>
      <c r="J79" s="224">
        <v>290</v>
      </c>
      <c r="K79" s="225">
        <v>45111</v>
      </c>
      <c r="L79" s="503">
        <v>45191</v>
      </c>
      <c r="M79" s="511">
        <v>21</v>
      </c>
      <c r="N79" s="277">
        <v>12</v>
      </c>
      <c r="O79" s="451">
        <v>15</v>
      </c>
      <c r="P79" s="319">
        <f t="shared" si="3"/>
        <v>0.5714285714285714</v>
      </c>
      <c r="Q79" s="332">
        <f t="shared" si="4"/>
        <v>0.7142857142857143</v>
      </c>
    </row>
    <row r="80" spans="1:23">
      <c r="A80" s="418">
        <v>77</v>
      </c>
      <c r="B80" s="81" t="s">
        <v>1012</v>
      </c>
      <c r="C80" s="83" t="s">
        <v>47</v>
      </c>
      <c r="D80" s="83" t="s">
        <v>226</v>
      </c>
      <c r="E80" s="83" t="s">
        <v>1003</v>
      </c>
      <c r="F80" s="483" t="s">
        <v>989</v>
      </c>
      <c r="G80" s="83">
        <v>1</v>
      </c>
      <c r="H80" s="88" t="s">
        <v>990</v>
      </c>
      <c r="I80" s="83">
        <v>120</v>
      </c>
      <c r="J80" s="83">
        <v>370</v>
      </c>
      <c r="K80" s="85">
        <v>45119</v>
      </c>
      <c r="L80" s="486">
        <v>45295</v>
      </c>
      <c r="M80" s="490">
        <v>10</v>
      </c>
      <c r="N80" s="255">
        <v>9</v>
      </c>
      <c r="O80" s="414">
        <v>11</v>
      </c>
      <c r="P80" s="318">
        <f t="shared" si="3"/>
        <v>0.9</v>
      </c>
      <c r="Q80" s="324">
        <f t="shared" si="4"/>
        <v>1.1000000000000001</v>
      </c>
    </row>
    <row r="81" spans="1:23" hidden="1">
      <c r="A81" s="418">
        <v>78</v>
      </c>
      <c r="B81" s="81" t="s">
        <v>1012</v>
      </c>
      <c r="C81" s="83" t="s">
        <v>991</v>
      </c>
      <c r="D81" s="83" t="s">
        <v>997</v>
      </c>
      <c r="E81" s="83" t="s">
        <v>2</v>
      </c>
      <c r="F81" s="483" t="s">
        <v>989</v>
      </c>
      <c r="G81" s="83">
        <v>1</v>
      </c>
      <c r="H81" s="88" t="s">
        <v>1008</v>
      </c>
      <c r="I81" s="83">
        <v>145</v>
      </c>
      <c r="J81" s="83">
        <v>870</v>
      </c>
      <c r="K81" s="85">
        <v>45126</v>
      </c>
      <c r="L81" s="486">
        <v>45342</v>
      </c>
      <c r="M81" s="490">
        <v>20</v>
      </c>
      <c r="N81" s="255">
        <v>15</v>
      </c>
      <c r="O81" s="414">
        <v>16</v>
      </c>
      <c r="P81" s="318">
        <f t="shared" si="3"/>
        <v>0.75</v>
      </c>
      <c r="Q81" s="324">
        <f t="shared" si="4"/>
        <v>0.8</v>
      </c>
    </row>
    <row r="82" spans="1:23" ht="16.5" customHeight="1">
      <c r="A82" s="418">
        <v>79</v>
      </c>
      <c r="B82" s="81" t="s">
        <v>1012</v>
      </c>
      <c r="C82" s="83" t="s">
        <v>991</v>
      </c>
      <c r="D82" s="83" t="s">
        <v>992</v>
      </c>
      <c r="E82" s="83" t="s">
        <v>468</v>
      </c>
      <c r="F82" s="483" t="s">
        <v>989</v>
      </c>
      <c r="G82" s="83">
        <v>2</v>
      </c>
      <c r="H82" s="88" t="s">
        <v>767</v>
      </c>
      <c r="I82" s="83">
        <v>110</v>
      </c>
      <c r="J82" s="83">
        <v>370</v>
      </c>
      <c r="K82" s="85">
        <v>45126</v>
      </c>
      <c r="L82" s="486">
        <v>45287</v>
      </c>
      <c r="M82" s="490">
        <v>20</v>
      </c>
      <c r="N82" s="255">
        <v>7</v>
      </c>
      <c r="O82" s="414">
        <v>7</v>
      </c>
      <c r="P82" s="318">
        <f t="shared" si="3"/>
        <v>0.35</v>
      </c>
      <c r="Q82" s="324">
        <f t="shared" si="4"/>
        <v>0.35</v>
      </c>
    </row>
    <row r="83" spans="1:23" hidden="1">
      <c r="A83" s="418">
        <v>80</v>
      </c>
      <c r="B83" s="81" t="s">
        <v>1012</v>
      </c>
      <c r="C83" s="83" t="s">
        <v>993</v>
      </c>
      <c r="D83" s="83" t="s">
        <v>1004</v>
      </c>
      <c r="E83" s="83" t="s">
        <v>994</v>
      </c>
      <c r="F83" s="483" t="s">
        <v>995</v>
      </c>
      <c r="G83" s="83">
        <v>2</v>
      </c>
      <c r="H83" s="628" t="s">
        <v>485</v>
      </c>
      <c r="I83" s="83">
        <v>125</v>
      </c>
      <c r="J83" s="83">
        <v>1000</v>
      </c>
      <c r="K83" s="85">
        <v>45131</v>
      </c>
      <c r="L83" s="486">
        <v>45314</v>
      </c>
      <c r="M83" s="490">
        <v>22</v>
      </c>
      <c r="N83" s="254">
        <v>18</v>
      </c>
      <c r="O83" s="414">
        <v>18</v>
      </c>
      <c r="P83" s="318">
        <f t="shared" si="3"/>
        <v>0.81818181818181823</v>
      </c>
      <c r="Q83" s="324">
        <f t="shared" si="4"/>
        <v>0.81818181818181823</v>
      </c>
    </row>
    <row r="84" spans="1:23">
      <c r="A84" s="418">
        <v>81</v>
      </c>
      <c r="B84" s="81" t="s">
        <v>1012</v>
      </c>
      <c r="C84" s="82" t="s">
        <v>993</v>
      </c>
      <c r="D84" s="82" t="s">
        <v>996</v>
      </c>
      <c r="E84" s="82" t="s">
        <v>468</v>
      </c>
      <c r="F84" s="483" t="s">
        <v>762</v>
      </c>
      <c r="G84" s="110">
        <v>1</v>
      </c>
      <c r="H84" s="256" t="s">
        <v>1009</v>
      </c>
      <c r="I84" s="82">
        <v>56</v>
      </c>
      <c r="J84" s="82">
        <v>280</v>
      </c>
      <c r="K84" s="84">
        <v>45132</v>
      </c>
      <c r="L84" s="492">
        <v>45180</v>
      </c>
      <c r="M84" s="493">
        <v>28</v>
      </c>
      <c r="N84" s="254">
        <v>11</v>
      </c>
      <c r="O84" s="415">
        <v>11</v>
      </c>
      <c r="P84" s="318">
        <f t="shared" si="3"/>
        <v>0.39285714285714285</v>
      </c>
      <c r="Q84" s="324">
        <f t="shared" si="4"/>
        <v>0.39285714285714285</v>
      </c>
    </row>
    <row r="85" spans="1:23" hidden="1">
      <c r="A85" s="418">
        <v>82</v>
      </c>
      <c r="B85" s="81" t="s">
        <v>1012</v>
      </c>
      <c r="C85" s="83" t="s">
        <v>991</v>
      </c>
      <c r="D85" s="83" t="s">
        <v>997</v>
      </c>
      <c r="E85" s="83" t="s">
        <v>1005</v>
      </c>
      <c r="F85" s="483" t="s">
        <v>989</v>
      </c>
      <c r="G85" s="110">
        <v>1</v>
      </c>
      <c r="H85" s="88" t="s">
        <v>1010</v>
      </c>
      <c r="I85" s="83">
        <v>145</v>
      </c>
      <c r="J85" s="83">
        <v>870</v>
      </c>
      <c r="K85" s="85">
        <v>45132</v>
      </c>
      <c r="L85" s="486">
        <v>45348</v>
      </c>
      <c r="M85" s="490">
        <v>20</v>
      </c>
      <c r="N85" s="255">
        <v>16</v>
      </c>
      <c r="O85" s="414">
        <v>17</v>
      </c>
      <c r="P85" s="318">
        <f t="shared" si="3"/>
        <v>0.8</v>
      </c>
      <c r="Q85" s="324">
        <f t="shared" si="4"/>
        <v>0.85</v>
      </c>
    </row>
    <row r="86" spans="1:23" ht="17.25" thickBot="1">
      <c r="A86" s="418">
        <v>83</v>
      </c>
      <c r="B86" s="258" t="s">
        <v>1012</v>
      </c>
      <c r="C86" s="205" t="s">
        <v>998</v>
      </c>
      <c r="D86" s="205" t="s">
        <v>1006</v>
      </c>
      <c r="E86" s="205" t="s">
        <v>468</v>
      </c>
      <c r="F86" s="585" t="s">
        <v>999</v>
      </c>
      <c r="G86" s="206">
        <v>1</v>
      </c>
      <c r="H86" s="207" t="s">
        <v>1011</v>
      </c>
      <c r="I86" s="205">
        <v>52</v>
      </c>
      <c r="J86" s="205">
        <v>290</v>
      </c>
      <c r="K86" s="208">
        <v>45132</v>
      </c>
      <c r="L86" s="502">
        <v>45218</v>
      </c>
      <c r="M86" s="512">
        <v>22</v>
      </c>
      <c r="N86" s="278">
        <v>11</v>
      </c>
      <c r="O86" s="630">
        <v>11</v>
      </c>
      <c r="P86" s="737">
        <f t="shared" si="3"/>
        <v>0.5</v>
      </c>
      <c r="Q86" s="359">
        <f t="shared" si="4"/>
        <v>0.5</v>
      </c>
      <c r="R86">
        <f>SUM(M79:M86)</f>
        <v>163</v>
      </c>
      <c r="S86" s="762">
        <f>SUM(N79:N86)</f>
        <v>99</v>
      </c>
      <c r="T86">
        <f>SUM(O79:O86)</f>
        <v>106</v>
      </c>
      <c r="U86" s="735">
        <f>SUM(M79:M86)</f>
        <v>163</v>
      </c>
      <c r="V86" s="735">
        <f>SUM(N79:N86)</f>
        <v>99</v>
      </c>
      <c r="W86" s="735">
        <f>SUM(O79:O86)</f>
        <v>106</v>
      </c>
    </row>
    <row r="87" spans="1:23">
      <c r="A87" s="418">
        <v>84</v>
      </c>
      <c r="B87" s="257" t="s">
        <v>1043</v>
      </c>
      <c r="C87" s="546" t="s">
        <v>209</v>
      </c>
      <c r="D87" s="23" t="s">
        <v>250</v>
      </c>
      <c r="E87" s="23" t="s">
        <v>468</v>
      </c>
      <c r="F87" s="549" t="s">
        <v>1013</v>
      </c>
      <c r="G87" s="350">
        <v>2</v>
      </c>
      <c r="H87" s="35" t="s">
        <v>882</v>
      </c>
      <c r="I87" s="23">
        <v>123</v>
      </c>
      <c r="J87" s="23">
        <v>370</v>
      </c>
      <c r="K87" s="637">
        <v>45147</v>
      </c>
      <c r="L87" s="642">
        <v>45328</v>
      </c>
      <c r="M87" s="542">
        <v>20</v>
      </c>
      <c r="N87" s="640">
        <v>10</v>
      </c>
      <c r="O87" s="638">
        <v>10</v>
      </c>
      <c r="P87" s="319">
        <f t="shared" si="3"/>
        <v>0.5</v>
      </c>
      <c r="Q87" s="332">
        <f t="shared" si="4"/>
        <v>0.5</v>
      </c>
    </row>
    <row r="88" spans="1:23">
      <c r="A88" s="418">
        <v>85</v>
      </c>
      <c r="B88" s="629" t="s">
        <v>1044</v>
      </c>
      <c r="C88" s="631" t="s">
        <v>1014</v>
      </c>
      <c r="D88" s="63" t="s">
        <v>1015</v>
      </c>
      <c r="E88" s="63" t="s">
        <v>1016</v>
      </c>
      <c r="F88" s="632" t="s">
        <v>1017</v>
      </c>
      <c r="G88" s="267">
        <v>1</v>
      </c>
      <c r="H88" s="64" t="s">
        <v>1035</v>
      </c>
      <c r="I88" s="63">
        <v>60</v>
      </c>
      <c r="J88" s="63">
        <v>300</v>
      </c>
      <c r="K88" s="634">
        <v>45147</v>
      </c>
      <c r="L88" s="643">
        <v>45237</v>
      </c>
      <c r="M88" s="635">
        <v>20</v>
      </c>
      <c r="N88" s="641">
        <v>9</v>
      </c>
      <c r="O88" s="639">
        <v>10</v>
      </c>
      <c r="P88" s="318">
        <f t="shared" si="3"/>
        <v>0.45</v>
      </c>
      <c r="Q88" s="324">
        <f t="shared" si="4"/>
        <v>0.5</v>
      </c>
    </row>
    <row r="89" spans="1:23">
      <c r="A89" s="418">
        <v>86</v>
      </c>
      <c r="B89" s="629" t="s">
        <v>1044</v>
      </c>
      <c r="C89" s="548" t="s">
        <v>1018</v>
      </c>
      <c r="D89" s="19" t="s">
        <v>1019</v>
      </c>
      <c r="E89" s="19" t="s">
        <v>468</v>
      </c>
      <c r="F89" s="551" t="s">
        <v>1020</v>
      </c>
      <c r="G89" s="267">
        <v>2</v>
      </c>
      <c r="H89" s="591" t="s">
        <v>1036</v>
      </c>
      <c r="I89" s="19">
        <v>70</v>
      </c>
      <c r="J89" s="19">
        <v>280</v>
      </c>
      <c r="K89" s="588">
        <v>45154</v>
      </c>
      <c r="L89" s="589">
        <v>45257</v>
      </c>
      <c r="M89" s="545">
        <v>30</v>
      </c>
      <c r="N89" s="605">
        <v>17</v>
      </c>
      <c r="O89" s="602">
        <v>18</v>
      </c>
      <c r="P89" s="318">
        <f t="shared" si="3"/>
        <v>0.56666666666666665</v>
      </c>
      <c r="Q89" s="324">
        <f t="shared" si="4"/>
        <v>0.6</v>
      </c>
    </row>
    <row r="90" spans="1:23">
      <c r="A90" s="418">
        <v>87</v>
      </c>
      <c r="B90" s="629" t="s">
        <v>1044</v>
      </c>
      <c r="C90" s="631" t="s">
        <v>1021</v>
      </c>
      <c r="D90" s="63" t="s">
        <v>1022</v>
      </c>
      <c r="E90" s="19" t="s">
        <v>1023</v>
      </c>
      <c r="F90" s="632" t="s">
        <v>1105</v>
      </c>
      <c r="G90" s="267">
        <v>1</v>
      </c>
      <c r="H90" s="64" t="s">
        <v>1037</v>
      </c>
      <c r="I90" s="63">
        <v>60</v>
      </c>
      <c r="J90" s="63">
        <v>300</v>
      </c>
      <c r="K90" s="634">
        <v>45160</v>
      </c>
      <c r="L90" s="643">
        <v>45267</v>
      </c>
      <c r="M90" s="635">
        <v>17</v>
      </c>
      <c r="N90" s="641">
        <v>7</v>
      </c>
      <c r="O90" s="639">
        <v>9</v>
      </c>
      <c r="P90" s="318">
        <f t="shared" si="3"/>
        <v>0.41176470588235292</v>
      </c>
      <c r="Q90" s="324">
        <f t="shared" si="4"/>
        <v>0.52941176470588236</v>
      </c>
    </row>
    <row r="91" spans="1:23" hidden="1">
      <c r="A91" s="418">
        <v>88</v>
      </c>
      <c r="B91" s="629" t="s">
        <v>1044</v>
      </c>
      <c r="C91" s="271" t="s">
        <v>1018</v>
      </c>
      <c r="D91" s="91" t="s">
        <v>1024</v>
      </c>
      <c r="E91" s="91" t="s">
        <v>1025</v>
      </c>
      <c r="F91" s="665" t="s">
        <v>1026</v>
      </c>
      <c r="G91" s="267">
        <v>3</v>
      </c>
      <c r="H91" s="666" t="s">
        <v>1038</v>
      </c>
      <c r="I91" s="91">
        <v>122</v>
      </c>
      <c r="J91" s="91">
        <v>963</v>
      </c>
      <c r="K91" s="636">
        <v>45161</v>
      </c>
      <c r="L91" s="661">
        <v>45350</v>
      </c>
      <c r="M91" s="513">
        <v>30</v>
      </c>
      <c r="N91" s="514">
        <v>20</v>
      </c>
      <c r="O91" s="648">
        <v>21</v>
      </c>
      <c r="P91" s="318">
        <f t="shared" si="3"/>
        <v>0.66666666666666663</v>
      </c>
      <c r="Q91" s="324">
        <f t="shared" si="4"/>
        <v>0.7</v>
      </c>
    </row>
    <row r="92" spans="1:23" hidden="1">
      <c r="A92" s="418">
        <v>89</v>
      </c>
      <c r="B92" s="629" t="s">
        <v>1044</v>
      </c>
      <c r="C92" s="271" t="s">
        <v>245</v>
      </c>
      <c r="D92" s="91" t="s">
        <v>1027</v>
      </c>
      <c r="E92" s="91" t="s">
        <v>1028</v>
      </c>
      <c r="F92" s="665" t="s">
        <v>1029</v>
      </c>
      <c r="G92" s="267">
        <v>1</v>
      </c>
      <c r="H92" s="666" t="s">
        <v>1039</v>
      </c>
      <c r="I92" s="91">
        <v>107</v>
      </c>
      <c r="J92" s="91">
        <v>856</v>
      </c>
      <c r="K92" s="636">
        <v>45163</v>
      </c>
      <c r="L92" s="661">
        <v>45321</v>
      </c>
      <c r="M92" s="513">
        <v>20</v>
      </c>
      <c r="N92" s="514">
        <v>20</v>
      </c>
      <c r="O92" s="648">
        <v>24</v>
      </c>
      <c r="P92" s="318">
        <f t="shared" si="3"/>
        <v>1</v>
      </c>
      <c r="Q92" s="324">
        <f t="shared" si="4"/>
        <v>1.2</v>
      </c>
    </row>
    <row r="93" spans="1:23" hidden="1">
      <c r="A93" s="418">
        <v>90</v>
      </c>
      <c r="B93" s="81" t="s">
        <v>1044</v>
      </c>
      <c r="C93" s="270" t="s">
        <v>1018</v>
      </c>
      <c r="D93" s="83" t="s">
        <v>1030</v>
      </c>
      <c r="E93" s="83" t="s">
        <v>1031</v>
      </c>
      <c r="F93" s="483" t="s">
        <v>1020</v>
      </c>
      <c r="G93" s="267">
        <v>1</v>
      </c>
      <c r="H93" s="90" t="s">
        <v>1040</v>
      </c>
      <c r="I93" s="83">
        <v>112</v>
      </c>
      <c r="J93" s="83">
        <v>820</v>
      </c>
      <c r="K93" s="586">
        <v>45166</v>
      </c>
      <c r="L93" s="486">
        <v>45329</v>
      </c>
      <c r="M93" s="490">
        <v>30</v>
      </c>
      <c r="N93" s="491">
        <v>18</v>
      </c>
      <c r="O93" s="509">
        <v>19</v>
      </c>
      <c r="P93" s="318">
        <f t="shared" si="3"/>
        <v>0.6</v>
      </c>
      <c r="Q93" s="324">
        <f t="shared" si="4"/>
        <v>0.6333333333333333</v>
      </c>
    </row>
    <row r="94" spans="1:23" hidden="1">
      <c r="A94" s="418">
        <v>91</v>
      </c>
      <c r="B94" s="629" t="s">
        <v>1044</v>
      </c>
      <c r="C94" s="270" t="s">
        <v>1032</v>
      </c>
      <c r="D94" s="83" t="s">
        <v>1024</v>
      </c>
      <c r="E94" s="83" t="s">
        <v>1025</v>
      </c>
      <c r="F94" s="483" t="s">
        <v>1033</v>
      </c>
      <c r="G94" s="267">
        <v>5</v>
      </c>
      <c r="H94" s="90" t="s">
        <v>1041</v>
      </c>
      <c r="I94" s="83">
        <v>118</v>
      </c>
      <c r="J94" s="83">
        <v>944</v>
      </c>
      <c r="K94" s="586">
        <v>45169</v>
      </c>
      <c r="L94" s="486">
        <v>45356</v>
      </c>
      <c r="M94" s="490">
        <v>35</v>
      </c>
      <c r="N94" s="491">
        <v>17</v>
      </c>
      <c r="O94" s="509">
        <v>18</v>
      </c>
      <c r="P94" s="318">
        <f t="shared" si="3"/>
        <v>0.48571428571428571</v>
      </c>
      <c r="Q94" s="324">
        <f t="shared" si="4"/>
        <v>0.51428571428571423</v>
      </c>
    </row>
    <row r="95" spans="1:23" hidden="1">
      <c r="A95" s="418">
        <v>92</v>
      </c>
      <c r="B95" s="81" t="s">
        <v>1044</v>
      </c>
      <c r="C95" s="267" t="s">
        <v>1018</v>
      </c>
      <c r="D95" s="83" t="s">
        <v>987</v>
      </c>
      <c r="E95" s="83" t="s">
        <v>1034</v>
      </c>
      <c r="F95" s="483" t="s">
        <v>1020</v>
      </c>
      <c r="G95" s="83">
        <v>1</v>
      </c>
      <c r="H95" s="667" t="s">
        <v>1042</v>
      </c>
      <c r="I95" s="83">
        <v>110</v>
      </c>
      <c r="J95" s="83">
        <v>880</v>
      </c>
      <c r="K95" s="586">
        <v>45168</v>
      </c>
      <c r="L95" s="486">
        <v>45330</v>
      </c>
      <c r="M95" s="668">
        <v>25</v>
      </c>
      <c r="N95" s="491">
        <v>17</v>
      </c>
      <c r="O95" s="509">
        <v>19</v>
      </c>
      <c r="P95" s="318">
        <f t="shared" si="3"/>
        <v>0.68</v>
      </c>
      <c r="Q95" s="324">
        <f t="shared" si="4"/>
        <v>0.76</v>
      </c>
    </row>
    <row r="96" spans="1:23">
      <c r="A96" s="418">
        <v>93</v>
      </c>
      <c r="B96" s="576" t="s">
        <v>1109</v>
      </c>
      <c r="C96" s="669" t="s">
        <v>1111</v>
      </c>
      <c r="D96" s="527" t="s">
        <v>1112</v>
      </c>
      <c r="E96" s="527" t="s">
        <v>1114</v>
      </c>
      <c r="F96" s="578" t="s">
        <v>1116</v>
      </c>
      <c r="G96" s="527">
        <v>3</v>
      </c>
      <c r="H96" s="670" t="s">
        <v>1115</v>
      </c>
      <c r="I96" s="527">
        <v>47</v>
      </c>
      <c r="J96" s="527">
        <v>139</v>
      </c>
      <c r="K96" s="671">
        <v>45139</v>
      </c>
      <c r="L96" s="581">
        <v>45233</v>
      </c>
      <c r="M96" s="672">
        <v>20</v>
      </c>
      <c r="N96" s="673">
        <v>10</v>
      </c>
      <c r="O96" s="669">
        <v>10</v>
      </c>
      <c r="P96" s="318">
        <f t="shared" si="3"/>
        <v>0.5</v>
      </c>
      <c r="Q96" s="324">
        <f t="shared" si="4"/>
        <v>0.5</v>
      </c>
    </row>
    <row r="97" spans="1:23">
      <c r="A97" s="418">
        <v>94</v>
      </c>
      <c r="B97" s="576" t="s">
        <v>1110</v>
      </c>
      <c r="C97" s="669" t="s">
        <v>1111</v>
      </c>
      <c r="D97" s="527" t="s">
        <v>1113</v>
      </c>
      <c r="E97" s="527" t="s">
        <v>1114</v>
      </c>
      <c r="F97" s="578" t="s">
        <v>1118</v>
      </c>
      <c r="G97" s="527">
        <v>3</v>
      </c>
      <c r="H97" s="670" t="s">
        <v>1117</v>
      </c>
      <c r="I97" s="527">
        <v>51</v>
      </c>
      <c r="J97" s="527">
        <v>152</v>
      </c>
      <c r="K97" s="671">
        <v>45154</v>
      </c>
      <c r="L97" s="581">
        <v>45250</v>
      </c>
      <c r="M97" s="672">
        <v>20</v>
      </c>
      <c r="N97" s="673">
        <v>6</v>
      </c>
      <c r="O97" s="669">
        <v>6</v>
      </c>
      <c r="P97" s="318">
        <f t="shared" si="3"/>
        <v>0.3</v>
      </c>
      <c r="Q97" s="324">
        <f t="shared" si="4"/>
        <v>0.3</v>
      </c>
    </row>
    <row r="98" spans="1:23" ht="17.25" thickBot="1">
      <c r="A98" s="418">
        <v>95</v>
      </c>
      <c r="B98" s="564" t="s">
        <v>1045</v>
      </c>
      <c r="C98" s="536" t="s">
        <v>1046</v>
      </c>
      <c r="D98" s="536" t="s">
        <v>1047</v>
      </c>
      <c r="E98" s="536" t="s">
        <v>1048</v>
      </c>
      <c r="F98" s="536" t="s">
        <v>1108</v>
      </c>
      <c r="G98" s="536">
        <v>2</v>
      </c>
      <c r="H98" s="739" t="s">
        <v>1122</v>
      </c>
      <c r="I98" s="536">
        <v>33</v>
      </c>
      <c r="J98" s="536">
        <v>130</v>
      </c>
      <c r="K98" s="740">
        <v>45166</v>
      </c>
      <c r="L98" s="741">
        <v>45216</v>
      </c>
      <c r="M98" s="742">
        <v>20</v>
      </c>
      <c r="N98" s="744">
        <v>5</v>
      </c>
      <c r="O98" s="745">
        <v>5</v>
      </c>
      <c r="P98" s="737">
        <f t="shared" si="3"/>
        <v>0.25</v>
      </c>
      <c r="Q98" s="359">
        <f t="shared" si="4"/>
        <v>0.25</v>
      </c>
      <c r="R98">
        <f>SUM(M87:M95)</f>
        <v>227</v>
      </c>
      <c r="S98" s="762">
        <f>SUM(N87:N95)</f>
        <v>135</v>
      </c>
      <c r="T98">
        <f>SUM(O87:O95)</f>
        <v>148</v>
      </c>
      <c r="U98" s="735">
        <f>SUM(M87:M98)</f>
        <v>287</v>
      </c>
      <c r="V98" s="735">
        <f>SUM(N87:N98)</f>
        <v>156</v>
      </c>
      <c r="W98" s="735">
        <f>SUM(O87:O98)</f>
        <v>169</v>
      </c>
    </row>
    <row r="99" spans="1:23" hidden="1">
      <c r="A99" s="418">
        <v>96</v>
      </c>
      <c r="B99" s="257" t="s">
        <v>479</v>
      </c>
      <c r="C99" s="282" t="s">
        <v>3</v>
      </c>
      <c r="D99" s="224" t="s">
        <v>1049</v>
      </c>
      <c r="E99" s="224" t="s">
        <v>477</v>
      </c>
      <c r="F99" s="655" t="s">
        <v>1050</v>
      </c>
      <c r="G99" s="282">
        <v>3</v>
      </c>
      <c r="H99" s="285" t="s">
        <v>1038</v>
      </c>
      <c r="I99" s="282">
        <v>122</v>
      </c>
      <c r="J99" s="284">
        <v>963</v>
      </c>
      <c r="K99" s="225">
        <v>45176</v>
      </c>
      <c r="L99" s="503">
        <v>45366</v>
      </c>
      <c r="M99" s="511">
        <v>35</v>
      </c>
      <c r="N99" s="517">
        <v>27</v>
      </c>
      <c r="O99" s="510">
        <v>27</v>
      </c>
      <c r="P99" s="319">
        <f t="shared" si="3"/>
        <v>0.77142857142857146</v>
      </c>
      <c r="Q99" s="332">
        <f t="shared" si="4"/>
        <v>0.77142857142857146</v>
      </c>
    </row>
    <row r="100" spans="1:23">
      <c r="A100" s="418">
        <v>97</v>
      </c>
      <c r="B100" s="81" t="s">
        <v>479</v>
      </c>
      <c r="C100" s="270" t="s">
        <v>1051</v>
      </c>
      <c r="D100" s="83" t="s">
        <v>1052</v>
      </c>
      <c r="E100" s="83" t="s">
        <v>470</v>
      </c>
      <c r="F100" s="652" t="s">
        <v>840</v>
      </c>
      <c r="G100" s="270">
        <v>2</v>
      </c>
      <c r="H100" s="88" t="s">
        <v>1053</v>
      </c>
      <c r="I100" s="270">
        <v>70</v>
      </c>
      <c r="J100" s="83">
        <v>350</v>
      </c>
      <c r="K100" s="586">
        <v>45187</v>
      </c>
      <c r="L100" s="486">
        <v>45289</v>
      </c>
      <c r="M100" s="490">
        <v>27</v>
      </c>
      <c r="N100" s="491">
        <v>7</v>
      </c>
      <c r="O100" s="509">
        <v>7</v>
      </c>
      <c r="P100" s="318">
        <f t="shared" si="3"/>
        <v>0.25925925925925924</v>
      </c>
      <c r="Q100" s="324">
        <f t="shared" si="4"/>
        <v>0.25925925925925924</v>
      </c>
    </row>
    <row r="101" spans="1:23">
      <c r="A101" s="418">
        <v>98</v>
      </c>
      <c r="B101" s="81" t="s">
        <v>479</v>
      </c>
      <c r="C101" s="270" t="s">
        <v>3</v>
      </c>
      <c r="D101" s="83" t="s">
        <v>1052</v>
      </c>
      <c r="E101" s="83" t="s">
        <v>470</v>
      </c>
      <c r="F101" s="652" t="s">
        <v>762</v>
      </c>
      <c r="G101" s="270">
        <v>2</v>
      </c>
      <c r="H101" s="88" t="s">
        <v>793</v>
      </c>
      <c r="I101" s="270">
        <v>70</v>
      </c>
      <c r="J101" s="83">
        <v>280</v>
      </c>
      <c r="K101" s="586">
        <v>45189</v>
      </c>
      <c r="L101" s="486">
        <v>45294</v>
      </c>
      <c r="M101" s="490">
        <v>28</v>
      </c>
      <c r="N101" s="491">
        <v>7</v>
      </c>
      <c r="O101" s="509">
        <v>7</v>
      </c>
      <c r="P101" s="318">
        <f t="shared" si="3"/>
        <v>0.25</v>
      </c>
      <c r="Q101" s="324">
        <f t="shared" si="4"/>
        <v>0.25</v>
      </c>
    </row>
    <row r="102" spans="1:23" s="1" customFormat="1" ht="16.5" hidden="1" customHeight="1">
      <c r="A102" s="418">
        <v>99</v>
      </c>
      <c r="B102" s="81" t="s">
        <v>479</v>
      </c>
      <c r="C102" s="270" t="s">
        <v>3</v>
      </c>
      <c r="D102" s="83" t="s">
        <v>239</v>
      </c>
      <c r="E102" s="83" t="s">
        <v>2</v>
      </c>
      <c r="F102" s="652" t="s">
        <v>1054</v>
      </c>
      <c r="G102" s="270">
        <v>2</v>
      </c>
      <c r="H102" s="88" t="s">
        <v>1055</v>
      </c>
      <c r="I102" s="267">
        <v>103</v>
      </c>
      <c r="J102" s="83">
        <v>872</v>
      </c>
      <c r="K102" s="586">
        <v>45195</v>
      </c>
      <c r="L102" s="486">
        <v>45363</v>
      </c>
      <c r="M102" s="490">
        <v>8</v>
      </c>
      <c r="N102" s="491">
        <v>8</v>
      </c>
      <c r="O102" s="509">
        <v>14</v>
      </c>
      <c r="P102" s="318">
        <f t="shared" si="3"/>
        <v>1</v>
      </c>
      <c r="Q102" s="324">
        <f t="shared" si="4"/>
        <v>1.75</v>
      </c>
    </row>
    <row r="103" spans="1:23" s="1" customFormat="1" ht="16.5" hidden="1" customHeight="1">
      <c r="A103" s="418">
        <v>100</v>
      </c>
      <c r="B103" s="81" t="s">
        <v>479</v>
      </c>
      <c r="C103" s="271" t="s">
        <v>1056</v>
      </c>
      <c r="D103" s="91" t="s">
        <v>471</v>
      </c>
      <c r="E103" s="91" t="s">
        <v>1057</v>
      </c>
      <c r="F103" s="653" t="s">
        <v>1058</v>
      </c>
      <c r="G103" s="271">
        <v>1</v>
      </c>
      <c r="H103" s="92" t="s">
        <v>1059</v>
      </c>
      <c r="I103" s="506">
        <v>86</v>
      </c>
      <c r="J103" s="91">
        <v>600</v>
      </c>
      <c r="K103" s="636">
        <v>45176</v>
      </c>
      <c r="L103" s="661">
        <v>45308</v>
      </c>
      <c r="M103" s="513">
        <v>20</v>
      </c>
      <c r="N103" s="514">
        <v>20</v>
      </c>
      <c r="O103" s="648">
        <v>22</v>
      </c>
      <c r="P103" s="318">
        <f t="shared" si="3"/>
        <v>1</v>
      </c>
      <c r="Q103" s="324">
        <f t="shared" si="4"/>
        <v>1.1000000000000001</v>
      </c>
    </row>
    <row r="104" spans="1:23" s="294" customFormat="1">
      <c r="A104" s="418">
        <v>101</v>
      </c>
      <c r="B104" s="81" t="s">
        <v>479</v>
      </c>
      <c r="C104" s="338" t="s">
        <v>3</v>
      </c>
      <c r="D104" s="296" t="s">
        <v>1060</v>
      </c>
      <c r="E104" s="296" t="s">
        <v>470</v>
      </c>
      <c r="F104" s="654" t="s">
        <v>1061</v>
      </c>
      <c r="G104" s="271">
        <v>1</v>
      </c>
      <c r="H104" s="583" t="s">
        <v>1062</v>
      </c>
      <c r="I104" s="481">
        <v>50</v>
      </c>
      <c r="J104" s="296">
        <v>350</v>
      </c>
      <c r="K104" s="657">
        <v>45194</v>
      </c>
      <c r="L104" s="504">
        <v>45268</v>
      </c>
      <c r="M104" s="490">
        <v>30</v>
      </c>
      <c r="N104" s="491">
        <v>6</v>
      </c>
      <c r="O104" s="509">
        <v>7</v>
      </c>
      <c r="P104" s="318">
        <f t="shared" si="3"/>
        <v>0.2</v>
      </c>
      <c r="Q104" s="324">
        <f t="shared" si="4"/>
        <v>0.23333333333333334</v>
      </c>
    </row>
    <row r="105" spans="1:23" s="294" customFormat="1" hidden="1">
      <c r="A105" s="418">
        <v>102</v>
      </c>
      <c r="B105" s="81" t="s">
        <v>479</v>
      </c>
      <c r="C105" s="83" t="s">
        <v>1063</v>
      </c>
      <c r="D105" s="83" t="s">
        <v>229</v>
      </c>
      <c r="E105" s="83" t="s">
        <v>1064</v>
      </c>
      <c r="F105" s="652" t="s">
        <v>1065</v>
      </c>
      <c r="G105" s="271">
        <v>1</v>
      </c>
      <c r="H105" s="88" t="s">
        <v>1066</v>
      </c>
      <c r="I105" s="267">
        <v>175</v>
      </c>
      <c r="J105" s="83">
        <v>870</v>
      </c>
      <c r="K105" s="586">
        <v>45187</v>
      </c>
      <c r="L105" s="486">
        <v>45454</v>
      </c>
      <c r="M105" s="490">
        <v>20</v>
      </c>
      <c r="N105" s="491">
        <v>18</v>
      </c>
      <c r="O105" s="509">
        <v>18</v>
      </c>
      <c r="P105" s="318">
        <f t="shared" si="3"/>
        <v>0.9</v>
      </c>
      <c r="Q105" s="324">
        <f t="shared" si="4"/>
        <v>0.9</v>
      </c>
    </row>
    <row r="106" spans="1:23" s="294" customFormat="1">
      <c r="A106" s="418">
        <v>103</v>
      </c>
      <c r="B106" s="81" t="s">
        <v>479</v>
      </c>
      <c r="C106" s="271" t="s">
        <v>1067</v>
      </c>
      <c r="D106" s="91" t="s">
        <v>1068</v>
      </c>
      <c r="E106" s="91" t="s">
        <v>1069</v>
      </c>
      <c r="F106" s="653" t="s">
        <v>1106</v>
      </c>
      <c r="G106" s="271">
        <v>1</v>
      </c>
      <c r="H106" s="92" t="s">
        <v>1107</v>
      </c>
      <c r="I106" s="271">
        <v>60</v>
      </c>
      <c r="J106" s="91">
        <v>300</v>
      </c>
      <c r="K106" s="636">
        <v>45175</v>
      </c>
      <c r="L106" s="661">
        <v>45324</v>
      </c>
      <c r="M106" s="513">
        <v>18</v>
      </c>
      <c r="N106" s="514">
        <v>10</v>
      </c>
      <c r="O106" s="648">
        <v>10</v>
      </c>
      <c r="P106" s="318">
        <f t="shared" si="3"/>
        <v>0.55555555555555558</v>
      </c>
      <c r="Q106" s="324">
        <f t="shared" si="4"/>
        <v>0.55555555555555558</v>
      </c>
    </row>
    <row r="107" spans="1:23" s="294" customFormat="1">
      <c r="A107" s="418">
        <v>104</v>
      </c>
      <c r="B107" s="81" t="s">
        <v>479</v>
      </c>
      <c r="C107" s="83" t="s">
        <v>1067</v>
      </c>
      <c r="D107" s="83" t="s">
        <v>1070</v>
      </c>
      <c r="E107" s="83" t="s">
        <v>1071</v>
      </c>
      <c r="F107" s="652" t="s">
        <v>1072</v>
      </c>
      <c r="G107" s="271">
        <v>1</v>
      </c>
      <c r="H107" s="88" t="s">
        <v>1104</v>
      </c>
      <c r="I107" s="270">
        <v>60</v>
      </c>
      <c r="J107" s="83">
        <v>300</v>
      </c>
      <c r="K107" s="586">
        <v>45176</v>
      </c>
      <c r="L107" s="486">
        <v>45266</v>
      </c>
      <c r="M107" s="490">
        <v>11</v>
      </c>
      <c r="N107" s="491">
        <v>11</v>
      </c>
      <c r="O107" s="509">
        <v>11</v>
      </c>
      <c r="P107" s="318">
        <f t="shared" si="3"/>
        <v>1</v>
      </c>
      <c r="Q107" s="324">
        <f t="shared" si="4"/>
        <v>1</v>
      </c>
    </row>
    <row r="108" spans="1:23" s="294" customFormat="1">
      <c r="A108" s="418">
        <v>105</v>
      </c>
      <c r="B108" s="81" t="s">
        <v>479</v>
      </c>
      <c r="C108" s="271" t="s">
        <v>1073</v>
      </c>
      <c r="D108" s="91" t="s">
        <v>1074</v>
      </c>
      <c r="E108" s="91" t="s">
        <v>1071</v>
      </c>
      <c r="F108" s="653" t="s">
        <v>1075</v>
      </c>
      <c r="G108" s="271">
        <v>2</v>
      </c>
      <c r="H108" s="92" t="s">
        <v>1076</v>
      </c>
      <c r="I108" s="271">
        <v>73</v>
      </c>
      <c r="J108" s="91">
        <v>290</v>
      </c>
      <c r="K108" s="636">
        <v>45180</v>
      </c>
      <c r="L108" s="661">
        <v>45288</v>
      </c>
      <c r="M108" s="513">
        <v>10</v>
      </c>
      <c r="N108" s="514">
        <v>6</v>
      </c>
      <c r="O108" s="648">
        <v>8</v>
      </c>
      <c r="P108" s="318">
        <f t="shared" si="3"/>
        <v>0.6</v>
      </c>
      <c r="Q108" s="324">
        <f t="shared" si="4"/>
        <v>0.8</v>
      </c>
    </row>
    <row r="109" spans="1:23" s="294" customFormat="1">
      <c r="A109" s="418">
        <v>106</v>
      </c>
      <c r="B109" s="81" t="s">
        <v>479</v>
      </c>
      <c r="C109" s="270" t="s">
        <v>1073</v>
      </c>
      <c r="D109" s="83" t="s">
        <v>1077</v>
      </c>
      <c r="E109" s="83" t="s">
        <v>1071</v>
      </c>
      <c r="F109" s="652" t="s">
        <v>1078</v>
      </c>
      <c r="G109" s="271">
        <v>2</v>
      </c>
      <c r="H109" s="88" t="s">
        <v>1079</v>
      </c>
      <c r="I109" s="270">
        <v>64</v>
      </c>
      <c r="J109" s="83">
        <v>320</v>
      </c>
      <c r="K109" s="586">
        <v>45188</v>
      </c>
      <c r="L109" s="486">
        <v>45282</v>
      </c>
      <c r="M109" s="490">
        <v>20</v>
      </c>
      <c r="N109" s="491">
        <v>8</v>
      </c>
      <c r="O109" s="509">
        <v>9</v>
      </c>
      <c r="P109" s="318">
        <f t="shared" si="3"/>
        <v>0.4</v>
      </c>
      <c r="Q109" s="324">
        <f t="shared" si="4"/>
        <v>0.45</v>
      </c>
    </row>
    <row r="110" spans="1:23" s="294" customFormat="1" hidden="1">
      <c r="A110" s="418">
        <v>107</v>
      </c>
      <c r="B110" s="81" t="s">
        <v>479</v>
      </c>
      <c r="C110" s="270" t="s">
        <v>1073</v>
      </c>
      <c r="D110" s="83" t="s">
        <v>239</v>
      </c>
      <c r="E110" s="83" t="s">
        <v>1057</v>
      </c>
      <c r="F110" s="652" t="s">
        <v>1080</v>
      </c>
      <c r="G110" s="271">
        <v>1</v>
      </c>
      <c r="H110" s="88" t="s">
        <v>1081</v>
      </c>
      <c r="I110" s="270">
        <v>137</v>
      </c>
      <c r="J110" s="83">
        <v>752</v>
      </c>
      <c r="K110" s="586">
        <v>45187</v>
      </c>
      <c r="L110" s="486">
        <v>45394</v>
      </c>
      <c r="M110" s="490">
        <v>20</v>
      </c>
      <c r="N110" s="491">
        <v>16</v>
      </c>
      <c r="O110" s="509">
        <v>29</v>
      </c>
      <c r="P110" s="318">
        <f t="shared" si="3"/>
        <v>0.8</v>
      </c>
      <c r="Q110" s="324">
        <f t="shared" si="4"/>
        <v>1.45</v>
      </c>
    </row>
    <row r="111" spans="1:23" s="294" customFormat="1" ht="16.5" customHeight="1">
      <c r="A111" s="418">
        <v>108</v>
      </c>
      <c r="B111" s="81" t="s">
        <v>479</v>
      </c>
      <c r="C111" s="270" t="s">
        <v>1073</v>
      </c>
      <c r="D111" s="83" t="s">
        <v>229</v>
      </c>
      <c r="E111" s="91" t="s">
        <v>1069</v>
      </c>
      <c r="F111" s="652" t="s">
        <v>813</v>
      </c>
      <c r="G111" s="271">
        <v>1</v>
      </c>
      <c r="H111" s="88" t="s">
        <v>1082</v>
      </c>
      <c r="I111" s="270">
        <v>73</v>
      </c>
      <c r="J111" s="83">
        <v>289</v>
      </c>
      <c r="K111" s="586">
        <v>45170</v>
      </c>
      <c r="L111" s="486">
        <v>45278</v>
      </c>
      <c r="M111" s="490">
        <v>20</v>
      </c>
      <c r="N111" s="491">
        <v>16</v>
      </c>
      <c r="O111" s="509">
        <v>16</v>
      </c>
      <c r="P111" s="318">
        <f t="shared" si="3"/>
        <v>0.8</v>
      </c>
      <c r="Q111" s="324">
        <f t="shared" si="4"/>
        <v>0.8</v>
      </c>
    </row>
    <row r="112" spans="1:23" s="294" customFormat="1" hidden="1">
      <c r="A112" s="418">
        <v>109</v>
      </c>
      <c r="B112" s="81" t="s">
        <v>479</v>
      </c>
      <c r="C112" s="270" t="s">
        <v>1073</v>
      </c>
      <c r="D112" s="83" t="s">
        <v>1083</v>
      </c>
      <c r="E112" s="83" t="s">
        <v>1084</v>
      </c>
      <c r="F112" s="652" t="s">
        <v>1085</v>
      </c>
      <c r="G112" s="271">
        <v>1</v>
      </c>
      <c r="H112" s="88" t="s">
        <v>1086</v>
      </c>
      <c r="I112" s="270">
        <v>123</v>
      </c>
      <c r="J112" s="83">
        <v>670</v>
      </c>
      <c r="K112" s="586">
        <v>45177</v>
      </c>
      <c r="L112" s="486">
        <v>45364</v>
      </c>
      <c r="M112" s="490">
        <v>20</v>
      </c>
      <c r="N112" s="491">
        <v>13</v>
      </c>
      <c r="O112" s="509">
        <v>15</v>
      </c>
      <c r="P112" s="318">
        <f t="shared" si="3"/>
        <v>0.65</v>
      </c>
      <c r="Q112" s="324">
        <f t="shared" si="4"/>
        <v>0.75</v>
      </c>
    </row>
    <row r="113" spans="1:23" s="294" customFormat="1" ht="16.5" hidden="1" customHeight="1" thickBot="1">
      <c r="A113" s="418">
        <v>110</v>
      </c>
      <c r="B113" s="81" t="s">
        <v>479</v>
      </c>
      <c r="C113" s="271" t="s">
        <v>1087</v>
      </c>
      <c r="D113" s="91" t="s">
        <v>1088</v>
      </c>
      <c r="E113" s="91" t="s">
        <v>1084</v>
      </c>
      <c r="F113" s="653" t="s">
        <v>1078</v>
      </c>
      <c r="G113" s="271">
        <v>1</v>
      </c>
      <c r="H113" s="92" t="s">
        <v>1089</v>
      </c>
      <c r="I113" s="271">
        <v>118</v>
      </c>
      <c r="J113" s="91">
        <v>626</v>
      </c>
      <c r="K113" s="636">
        <v>45183</v>
      </c>
      <c r="L113" s="661">
        <v>45377</v>
      </c>
      <c r="M113" s="513">
        <v>20</v>
      </c>
      <c r="N113" s="514">
        <v>20</v>
      </c>
      <c r="O113" s="648">
        <v>20</v>
      </c>
      <c r="P113" s="318">
        <f t="shared" si="3"/>
        <v>1</v>
      </c>
      <c r="Q113" s="324">
        <f t="shared" si="4"/>
        <v>1</v>
      </c>
    </row>
    <row r="114" spans="1:23" s="294" customFormat="1" ht="16.5" hidden="1" customHeight="1">
      <c r="A114" s="418">
        <v>111</v>
      </c>
      <c r="B114" s="81" t="s">
        <v>479</v>
      </c>
      <c r="C114" s="270" t="s">
        <v>1087</v>
      </c>
      <c r="D114" s="83" t="s">
        <v>1090</v>
      </c>
      <c r="E114" s="83" t="s">
        <v>1091</v>
      </c>
      <c r="F114" s="652" t="s">
        <v>1092</v>
      </c>
      <c r="G114" s="271">
        <v>1</v>
      </c>
      <c r="H114" s="88" t="s">
        <v>1093</v>
      </c>
      <c r="I114" s="270">
        <v>80</v>
      </c>
      <c r="J114" s="83">
        <v>400</v>
      </c>
      <c r="K114" s="586">
        <v>45176</v>
      </c>
      <c r="L114" s="486">
        <v>45295</v>
      </c>
      <c r="M114" s="490">
        <v>20</v>
      </c>
      <c r="N114" s="491">
        <v>7</v>
      </c>
      <c r="O114" s="509">
        <v>7</v>
      </c>
      <c r="P114" s="318">
        <f t="shared" si="3"/>
        <v>0.35</v>
      </c>
      <c r="Q114" s="324">
        <f t="shared" si="4"/>
        <v>0.35</v>
      </c>
    </row>
    <row r="115" spans="1:23" s="294" customFormat="1">
      <c r="A115" s="418">
        <v>112</v>
      </c>
      <c r="B115" s="81" t="s">
        <v>479</v>
      </c>
      <c r="C115" s="273" t="s">
        <v>1087</v>
      </c>
      <c r="D115" s="101" t="s">
        <v>1094</v>
      </c>
      <c r="E115" s="101" t="s">
        <v>1071</v>
      </c>
      <c r="F115" s="656" t="s">
        <v>1095</v>
      </c>
      <c r="G115" s="271">
        <v>1</v>
      </c>
      <c r="H115" s="404" t="s">
        <v>1096</v>
      </c>
      <c r="I115" s="273">
        <v>60</v>
      </c>
      <c r="J115" s="101">
        <v>300</v>
      </c>
      <c r="K115" s="650">
        <v>45190</v>
      </c>
      <c r="L115" s="645">
        <v>45265</v>
      </c>
      <c r="M115" s="515">
        <v>21</v>
      </c>
      <c r="N115" s="516">
        <v>6</v>
      </c>
      <c r="O115" s="663">
        <v>6</v>
      </c>
      <c r="P115" s="318">
        <f t="shared" si="3"/>
        <v>0.2857142857142857</v>
      </c>
      <c r="Q115" s="324">
        <f t="shared" si="4"/>
        <v>0.2857142857142857</v>
      </c>
    </row>
    <row r="116" spans="1:23" s="294" customFormat="1" ht="16.5" customHeight="1">
      <c r="A116" s="418">
        <v>113</v>
      </c>
      <c r="B116" s="81" t="s">
        <v>479</v>
      </c>
      <c r="C116" s="270" t="s">
        <v>1073</v>
      </c>
      <c r="D116" s="83" t="s">
        <v>1070</v>
      </c>
      <c r="E116" s="83" t="s">
        <v>1071</v>
      </c>
      <c r="F116" s="652" t="s">
        <v>1097</v>
      </c>
      <c r="G116" s="271">
        <v>2</v>
      </c>
      <c r="H116" s="88" t="s">
        <v>1098</v>
      </c>
      <c r="I116" s="267">
        <v>70</v>
      </c>
      <c r="J116" s="83">
        <v>280</v>
      </c>
      <c r="K116" s="586">
        <v>45183</v>
      </c>
      <c r="L116" s="486">
        <v>45288</v>
      </c>
      <c r="M116" s="490">
        <v>14</v>
      </c>
      <c r="N116" s="491">
        <v>10</v>
      </c>
      <c r="O116" s="509">
        <v>10</v>
      </c>
      <c r="P116" s="318">
        <f t="shared" si="3"/>
        <v>0.7142857142857143</v>
      </c>
      <c r="Q116" s="324">
        <f t="shared" si="4"/>
        <v>0.7142857142857143</v>
      </c>
    </row>
    <row r="117" spans="1:23">
      <c r="A117" s="418">
        <v>114</v>
      </c>
      <c r="B117" s="81" t="s">
        <v>479</v>
      </c>
      <c r="C117" s="270" t="s">
        <v>1073</v>
      </c>
      <c r="D117" s="83" t="s">
        <v>1099</v>
      </c>
      <c r="E117" s="83" t="s">
        <v>1071</v>
      </c>
      <c r="F117" s="652" t="s">
        <v>1075</v>
      </c>
      <c r="G117" s="271">
        <v>2</v>
      </c>
      <c r="H117" s="88" t="s">
        <v>1100</v>
      </c>
      <c r="I117" s="267">
        <v>71</v>
      </c>
      <c r="J117" s="83">
        <v>283</v>
      </c>
      <c r="K117" s="586">
        <v>45182</v>
      </c>
      <c r="L117" s="486">
        <v>45287</v>
      </c>
      <c r="M117" s="490">
        <v>12</v>
      </c>
      <c r="N117" s="491">
        <v>6</v>
      </c>
      <c r="O117" s="509">
        <v>7</v>
      </c>
      <c r="P117" s="318">
        <f t="shared" si="3"/>
        <v>0.5</v>
      </c>
      <c r="Q117" s="324">
        <f t="shared" si="4"/>
        <v>0.58333333333333337</v>
      </c>
    </row>
    <row r="118" spans="1:23">
      <c r="A118" s="418">
        <v>115</v>
      </c>
      <c r="B118" s="81" t="s">
        <v>479</v>
      </c>
      <c r="C118" s="271" t="s">
        <v>1073</v>
      </c>
      <c r="D118" s="91" t="s">
        <v>1101</v>
      </c>
      <c r="E118" s="91" t="s">
        <v>1071</v>
      </c>
      <c r="F118" s="656" t="s">
        <v>1095</v>
      </c>
      <c r="G118" s="271">
        <v>2</v>
      </c>
      <c r="H118" s="92" t="s">
        <v>1102</v>
      </c>
      <c r="I118" s="506">
        <v>68</v>
      </c>
      <c r="J118" s="91">
        <v>272</v>
      </c>
      <c r="K118" s="636">
        <v>45177</v>
      </c>
      <c r="L118" s="661">
        <v>45278</v>
      </c>
      <c r="M118" s="513">
        <v>20</v>
      </c>
      <c r="N118" s="514">
        <v>10</v>
      </c>
      <c r="O118" s="648">
        <v>10</v>
      </c>
      <c r="P118" s="318">
        <f t="shared" si="3"/>
        <v>0.5</v>
      </c>
      <c r="Q118" s="324">
        <f t="shared" si="4"/>
        <v>0.5</v>
      </c>
    </row>
    <row r="119" spans="1:23" ht="17.25" thickBot="1">
      <c r="A119" s="418">
        <v>116</v>
      </c>
      <c r="B119" s="258" t="s">
        <v>479</v>
      </c>
      <c r="C119" s="205" t="s">
        <v>1073</v>
      </c>
      <c r="D119" s="584" t="s">
        <v>1101</v>
      </c>
      <c r="E119" s="584" t="s">
        <v>1071</v>
      </c>
      <c r="F119" s="658" t="s">
        <v>1078</v>
      </c>
      <c r="G119" s="651">
        <v>2</v>
      </c>
      <c r="H119" s="207" t="s">
        <v>1103</v>
      </c>
      <c r="I119" s="646">
        <v>80</v>
      </c>
      <c r="J119" s="584">
        <v>320</v>
      </c>
      <c r="K119" s="659">
        <v>45190</v>
      </c>
      <c r="L119" s="662">
        <v>45306</v>
      </c>
      <c r="M119" s="647">
        <v>20</v>
      </c>
      <c r="N119" s="649">
        <v>8</v>
      </c>
      <c r="O119" s="664">
        <v>12</v>
      </c>
      <c r="P119" s="737">
        <f t="shared" si="3"/>
        <v>0.4</v>
      </c>
      <c r="Q119" s="359">
        <f t="shared" si="4"/>
        <v>0.6</v>
      </c>
      <c r="R119">
        <f>SUM(M99:M119)</f>
        <v>414</v>
      </c>
      <c r="S119" s="762">
        <f>SUM(N99:N119)</f>
        <v>240</v>
      </c>
      <c r="T119">
        <f>SUM(O99:O119)</f>
        <v>272</v>
      </c>
      <c r="U119" s="735">
        <f>SUM(M99:M119)</f>
        <v>414</v>
      </c>
      <c r="V119" s="735">
        <f>SUM(N99:N119)</f>
        <v>240</v>
      </c>
      <c r="W119" s="735">
        <f>SUM(O99:O119)</f>
        <v>272</v>
      </c>
    </row>
    <row r="120" spans="1:23" hidden="1">
      <c r="A120" s="418">
        <v>117</v>
      </c>
      <c r="B120" s="257" t="s">
        <v>1161</v>
      </c>
      <c r="C120" s="224" t="s">
        <v>483</v>
      </c>
      <c r="D120" s="224" t="s">
        <v>481</v>
      </c>
      <c r="E120" s="224" t="s">
        <v>1123</v>
      </c>
      <c r="F120" s="556" t="s">
        <v>985</v>
      </c>
      <c r="G120" s="224">
        <v>1</v>
      </c>
      <c r="H120" s="285" t="s">
        <v>1124</v>
      </c>
      <c r="I120" s="224">
        <v>75</v>
      </c>
      <c r="J120" s="224">
        <v>600</v>
      </c>
      <c r="K120" s="225">
        <v>45204</v>
      </c>
      <c r="L120" s="503">
        <v>45313</v>
      </c>
      <c r="M120" s="511">
        <v>30</v>
      </c>
      <c r="N120" s="679">
        <v>10</v>
      </c>
      <c r="O120" s="567">
        <v>19</v>
      </c>
      <c r="P120" s="319">
        <f t="shared" si="3"/>
        <v>0.33333333333333331</v>
      </c>
      <c r="Q120" s="332">
        <f t="shared" si="4"/>
        <v>0.6333333333333333</v>
      </c>
    </row>
    <row r="121" spans="1:23" hidden="1">
      <c r="A121" s="418">
        <v>118</v>
      </c>
      <c r="B121" s="81" t="s">
        <v>1162</v>
      </c>
      <c r="C121" s="83" t="s">
        <v>7</v>
      </c>
      <c r="D121" s="83" t="s">
        <v>982</v>
      </c>
      <c r="E121" s="83" t="s">
        <v>1125</v>
      </c>
      <c r="F121" s="483" t="s">
        <v>1126</v>
      </c>
      <c r="G121" s="83">
        <v>1</v>
      </c>
      <c r="H121" s="88" t="s">
        <v>1127</v>
      </c>
      <c r="I121" s="83">
        <v>167</v>
      </c>
      <c r="J121" s="83">
        <v>668</v>
      </c>
      <c r="K121" s="85">
        <v>45204</v>
      </c>
      <c r="L121" s="486">
        <v>45471</v>
      </c>
      <c r="M121" s="490">
        <v>20</v>
      </c>
      <c r="N121" s="569">
        <v>14</v>
      </c>
      <c r="O121" s="570">
        <v>14</v>
      </c>
      <c r="P121" s="318">
        <f t="shared" si="3"/>
        <v>0.7</v>
      </c>
      <c r="Q121" s="324">
        <f t="shared" si="4"/>
        <v>0.7</v>
      </c>
    </row>
    <row r="122" spans="1:23">
      <c r="A122" s="418">
        <v>119</v>
      </c>
      <c r="B122" s="81" t="s">
        <v>1162</v>
      </c>
      <c r="C122" s="83" t="s">
        <v>7</v>
      </c>
      <c r="D122" s="83" t="s">
        <v>986</v>
      </c>
      <c r="E122" s="83" t="s">
        <v>482</v>
      </c>
      <c r="F122" s="483" t="s">
        <v>1128</v>
      </c>
      <c r="G122" s="83">
        <v>2</v>
      </c>
      <c r="H122" s="88" t="s">
        <v>1129</v>
      </c>
      <c r="I122" s="83">
        <v>64</v>
      </c>
      <c r="J122" s="83">
        <v>320</v>
      </c>
      <c r="K122" s="85">
        <v>45204</v>
      </c>
      <c r="L122" s="486">
        <v>45296</v>
      </c>
      <c r="M122" s="490">
        <v>20</v>
      </c>
      <c r="N122" s="569">
        <v>8</v>
      </c>
      <c r="O122" s="570">
        <v>10</v>
      </c>
      <c r="P122" s="318">
        <f t="shared" si="3"/>
        <v>0.4</v>
      </c>
      <c r="Q122" s="324">
        <f t="shared" si="4"/>
        <v>0.5</v>
      </c>
    </row>
    <row r="123" spans="1:23">
      <c r="A123" s="418">
        <v>120</v>
      </c>
      <c r="B123" s="81" t="s">
        <v>1162</v>
      </c>
      <c r="C123" s="83" t="s">
        <v>7</v>
      </c>
      <c r="D123" s="83" t="s">
        <v>484</v>
      </c>
      <c r="E123" s="83" t="s">
        <v>1130</v>
      </c>
      <c r="F123" s="483" t="s">
        <v>1131</v>
      </c>
      <c r="G123" s="83">
        <v>1</v>
      </c>
      <c r="H123" s="88" t="s">
        <v>1132</v>
      </c>
      <c r="I123" s="83">
        <v>56</v>
      </c>
      <c r="J123" s="83">
        <v>280</v>
      </c>
      <c r="K123" s="85">
        <v>45204</v>
      </c>
      <c r="L123" s="486">
        <v>45282</v>
      </c>
      <c r="M123" s="490">
        <v>12</v>
      </c>
      <c r="N123" s="569">
        <v>10</v>
      </c>
      <c r="O123" s="570">
        <v>10</v>
      </c>
      <c r="P123" s="318">
        <f t="shared" si="3"/>
        <v>0.83333333333333337</v>
      </c>
      <c r="Q123" s="324">
        <f t="shared" si="4"/>
        <v>0.83333333333333337</v>
      </c>
    </row>
    <row r="124" spans="1:23" ht="15.75" customHeight="1">
      <c r="A124" s="418">
        <v>121</v>
      </c>
      <c r="B124" s="81" t="s">
        <v>1162</v>
      </c>
      <c r="C124" s="83" t="s">
        <v>1133</v>
      </c>
      <c r="D124" s="83" t="s">
        <v>1134</v>
      </c>
      <c r="E124" s="83" t="s">
        <v>1130</v>
      </c>
      <c r="F124" s="483" t="s">
        <v>1135</v>
      </c>
      <c r="G124" s="83">
        <v>1</v>
      </c>
      <c r="H124" s="88" t="s">
        <v>1136</v>
      </c>
      <c r="I124" s="83">
        <v>74</v>
      </c>
      <c r="J124" s="83">
        <v>370</v>
      </c>
      <c r="K124" s="85">
        <v>45210</v>
      </c>
      <c r="L124" s="486">
        <v>45315</v>
      </c>
      <c r="M124" s="490">
        <v>14</v>
      </c>
      <c r="N124" s="569">
        <v>7</v>
      </c>
      <c r="O124" s="570">
        <v>11</v>
      </c>
      <c r="P124" s="318">
        <f t="shared" si="3"/>
        <v>0.5</v>
      </c>
      <c r="Q124" s="324">
        <f t="shared" si="4"/>
        <v>0.7857142857142857</v>
      </c>
    </row>
    <row r="125" spans="1:23" ht="15.75" customHeight="1">
      <c r="A125" s="418">
        <v>122</v>
      </c>
      <c r="B125" s="81" t="s">
        <v>1162</v>
      </c>
      <c r="C125" s="83" t="s">
        <v>1137</v>
      </c>
      <c r="D125" s="83" t="s">
        <v>1134</v>
      </c>
      <c r="E125" s="83" t="s">
        <v>1130</v>
      </c>
      <c r="F125" s="483" t="s">
        <v>1138</v>
      </c>
      <c r="G125" s="82">
        <v>2</v>
      </c>
      <c r="H125" s="88" t="s">
        <v>1139</v>
      </c>
      <c r="I125" s="83">
        <v>74</v>
      </c>
      <c r="J125" s="83">
        <v>370</v>
      </c>
      <c r="K125" s="85">
        <v>45210</v>
      </c>
      <c r="L125" s="486">
        <v>45315</v>
      </c>
      <c r="M125" s="490">
        <v>14</v>
      </c>
      <c r="N125" s="569">
        <v>7</v>
      </c>
      <c r="O125" s="570">
        <v>7</v>
      </c>
      <c r="P125" s="318">
        <f t="shared" si="3"/>
        <v>0.5</v>
      </c>
      <c r="Q125" s="324">
        <f t="shared" si="4"/>
        <v>0.5</v>
      </c>
    </row>
    <row r="126" spans="1:23" s="1" customFormat="1" ht="15.75" customHeight="1">
      <c r="A126" s="418">
        <v>123</v>
      </c>
      <c r="B126" s="81" t="s">
        <v>1162</v>
      </c>
      <c r="C126" s="83" t="s">
        <v>1140</v>
      </c>
      <c r="D126" s="83" t="s">
        <v>1141</v>
      </c>
      <c r="E126" s="83" t="s">
        <v>1130</v>
      </c>
      <c r="F126" s="483" t="s">
        <v>1142</v>
      </c>
      <c r="G126" s="83">
        <v>2</v>
      </c>
      <c r="H126" s="88" t="s">
        <v>1143</v>
      </c>
      <c r="I126" s="83">
        <v>70</v>
      </c>
      <c r="J126" s="83">
        <v>350</v>
      </c>
      <c r="K126" s="85">
        <v>45210</v>
      </c>
      <c r="L126" s="486">
        <v>45309</v>
      </c>
      <c r="M126" s="490">
        <v>21</v>
      </c>
      <c r="N126" s="569">
        <v>10</v>
      </c>
      <c r="O126" s="570">
        <v>10</v>
      </c>
      <c r="P126" s="318">
        <f t="shared" si="3"/>
        <v>0.47619047619047616</v>
      </c>
      <c r="Q126" s="324">
        <f t="shared" si="4"/>
        <v>0.47619047619047616</v>
      </c>
    </row>
    <row r="127" spans="1:23" s="1" customFormat="1" ht="15.75" hidden="1" customHeight="1">
      <c r="A127" s="418">
        <v>124</v>
      </c>
      <c r="B127" s="81" t="s">
        <v>1162</v>
      </c>
      <c r="C127" s="83" t="s">
        <v>1144</v>
      </c>
      <c r="D127" s="83" t="s">
        <v>1145</v>
      </c>
      <c r="E127" s="83" t="s">
        <v>1146</v>
      </c>
      <c r="F127" s="483" t="s">
        <v>1147</v>
      </c>
      <c r="G127" s="83">
        <v>1</v>
      </c>
      <c r="H127" s="88" t="s">
        <v>1148</v>
      </c>
      <c r="I127" s="83">
        <v>131</v>
      </c>
      <c r="J127" s="83">
        <v>692</v>
      </c>
      <c r="K127" s="85">
        <v>45215</v>
      </c>
      <c r="L127" s="486">
        <v>45405</v>
      </c>
      <c r="M127" s="490">
        <v>20</v>
      </c>
      <c r="N127" s="569">
        <v>13</v>
      </c>
      <c r="O127" s="570">
        <v>21</v>
      </c>
      <c r="P127" s="318">
        <f t="shared" si="3"/>
        <v>0.65</v>
      </c>
      <c r="Q127" s="324">
        <f t="shared" si="4"/>
        <v>1.05</v>
      </c>
    </row>
    <row r="128" spans="1:23" s="1" customFormat="1" ht="15.75" customHeight="1">
      <c r="A128" s="418">
        <v>125</v>
      </c>
      <c r="B128" s="81" t="s">
        <v>1162</v>
      </c>
      <c r="C128" s="83" t="s">
        <v>1144</v>
      </c>
      <c r="D128" s="83" t="s">
        <v>1149</v>
      </c>
      <c r="E128" s="83" t="s">
        <v>1130</v>
      </c>
      <c r="F128" s="483" t="s">
        <v>1150</v>
      </c>
      <c r="G128" s="83">
        <v>1</v>
      </c>
      <c r="H128" s="88" t="s">
        <v>1151</v>
      </c>
      <c r="I128" s="83">
        <v>59</v>
      </c>
      <c r="J128" s="83">
        <v>350</v>
      </c>
      <c r="K128" s="85">
        <v>45215</v>
      </c>
      <c r="L128" s="486">
        <v>45289</v>
      </c>
      <c r="M128" s="490">
        <v>20</v>
      </c>
      <c r="N128" s="569">
        <v>5</v>
      </c>
      <c r="O128" s="570">
        <v>5</v>
      </c>
      <c r="P128" s="318">
        <f t="shared" si="3"/>
        <v>0.25</v>
      </c>
      <c r="Q128" s="324">
        <f t="shared" si="4"/>
        <v>0.25</v>
      </c>
    </row>
    <row r="129" spans="1:23" s="1" customFormat="1" ht="15.75" hidden="1" customHeight="1">
      <c r="A129" s="418">
        <v>126</v>
      </c>
      <c r="B129" s="81" t="s">
        <v>1162</v>
      </c>
      <c r="C129" s="83" t="s">
        <v>483</v>
      </c>
      <c r="D129" s="83" t="s">
        <v>1152</v>
      </c>
      <c r="E129" s="83" t="s">
        <v>1153</v>
      </c>
      <c r="F129" s="483" t="s">
        <v>1154</v>
      </c>
      <c r="G129" s="83">
        <v>6</v>
      </c>
      <c r="H129" s="88" t="s">
        <v>1155</v>
      </c>
      <c r="I129" s="83">
        <v>118</v>
      </c>
      <c r="J129" s="83">
        <v>944</v>
      </c>
      <c r="K129" s="85">
        <v>45225</v>
      </c>
      <c r="L129" s="486">
        <v>45401</v>
      </c>
      <c r="M129" s="490">
        <v>35</v>
      </c>
      <c r="N129" s="569">
        <v>11</v>
      </c>
      <c r="O129" s="570">
        <v>11</v>
      </c>
      <c r="P129" s="318">
        <f t="shared" si="3"/>
        <v>0.31428571428571428</v>
      </c>
      <c r="Q129" s="324">
        <f t="shared" si="4"/>
        <v>0.31428571428571428</v>
      </c>
    </row>
    <row r="130" spans="1:23" s="1" customFormat="1" ht="15.75" hidden="1" customHeight="1" thickBot="1">
      <c r="A130" s="418">
        <v>127</v>
      </c>
      <c r="B130" s="81" t="s">
        <v>1162</v>
      </c>
      <c r="C130" s="83" t="s">
        <v>1156</v>
      </c>
      <c r="D130" s="83" t="s">
        <v>481</v>
      </c>
      <c r="E130" s="83" t="s">
        <v>1146</v>
      </c>
      <c r="F130" s="483" t="s">
        <v>1157</v>
      </c>
      <c r="G130" s="83">
        <v>1</v>
      </c>
      <c r="H130" s="88" t="s">
        <v>1158</v>
      </c>
      <c r="I130" s="83">
        <v>98</v>
      </c>
      <c r="J130" s="83">
        <v>784</v>
      </c>
      <c r="K130" s="85">
        <v>45229</v>
      </c>
      <c r="L130" s="486">
        <v>45371</v>
      </c>
      <c r="M130" s="490">
        <v>22</v>
      </c>
      <c r="N130" s="569">
        <v>10</v>
      </c>
      <c r="O130" s="570">
        <v>10</v>
      </c>
      <c r="P130" s="318">
        <f t="shared" si="3"/>
        <v>0.45454545454545453</v>
      </c>
      <c r="Q130" s="324">
        <f t="shared" si="4"/>
        <v>0.45454545454545453</v>
      </c>
    </row>
    <row r="131" spans="1:23" s="1" customFormat="1" ht="15.75" customHeight="1">
      <c r="A131" s="418">
        <v>128</v>
      </c>
      <c r="B131" s="274" t="s">
        <v>1162</v>
      </c>
      <c r="C131" s="97" t="s">
        <v>1133</v>
      </c>
      <c r="D131" s="97" t="s">
        <v>481</v>
      </c>
      <c r="E131" s="97" t="s">
        <v>1130</v>
      </c>
      <c r="F131" s="677" t="s">
        <v>1159</v>
      </c>
      <c r="G131" s="97">
        <v>1</v>
      </c>
      <c r="H131" s="678" t="s">
        <v>1160</v>
      </c>
      <c r="I131" s="676">
        <v>95</v>
      </c>
      <c r="J131" s="97">
        <v>370</v>
      </c>
      <c r="K131" s="98">
        <v>45230</v>
      </c>
      <c r="L131" s="505">
        <v>45378</v>
      </c>
      <c r="M131" s="675">
        <v>22</v>
      </c>
      <c r="N131" s="680">
        <v>6</v>
      </c>
      <c r="O131" s="681">
        <v>10</v>
      </c>
      <c r="P131" s="318">
        <f t="shared" si="3"/>
        <v>0.27272727272727271</v>
      </c>
      <c r="Q131" s="324">
        <f t="shared" si="4"/>
        <v>0.45454545454545453</v>
      </c>
    </row>
    <row r="132" spans="1:23" s="1" customFormat="1" ht="15.75" customHeight="1">
      <c r="A132" s="418">
        <v>129</v>
      </c>
      <c r="B132" s="576" t="s">
        <v>1169</v>
      </c>
      <c r="C132" s="577" t="s">
        <v>973</v>
      </c>
      <c r="D132" s="527" t="s">
        <v>1163</v>
      </c>
      <c r="E132" s="527" t="s">
        <v>1164</v>
      </c>
      <c r="F132" s="721" t="s">
        <v>1165</v>
      </c>
      <c r="G132" s="527">
        <v>4</v>
      </c>
      <c r="H132" s="722" t="s">
        <v>1166</v>
      </c>
      <c r="I132" s="577">
        <v>35</v>
      </c>
      <c r="J132" s="527">
        <v>139</v>
      </c>
      <c r="K132" s="671">
        <v>45215</v>
      </c>
      <c r="L132" s="723">
        <v>45261</v>
      </c>
      <c r="M132" s="571">
        <v>20</v>
      </c>
      <c r="N132" s="572">
        <v>6</v>
      </c>
      <c r="O132" s="573">
        <v>6</v>
      </c>
      <c r="P132" s="318">
        <f t="shared" si="3"/>
        <v>0.3</v>
      </c>
      <c r="Q132" s="324">
        <f t="shared" si="4"/>
        <v>0.3</v>
      </c>
    </row>
    <row r="133" spans="1:23" s="1" customFormat="1" ht="15.75" customHeight="1" thickBot="1">
      <c r="A133" s="418">
        <v>130</v>
      </c>
      <c r="B133" s="533" t="s">
        <v>1170</v>
      </c>
      <c r="C133" s="582" t="s">
        <v>1167</v>
      </c>
      <c r="D133" s="534" t="s">
        <v>1163</v>
      </c>
      <c r="E133" s="534" t="s">
        <v>1164</v>
      </c>
      <c r="F133" s="724" t="s">
        <v>1168</v>
      </c>
      <c r="G133" s="534">
        <v>4</v>
      </c>
      <c r="H133" s="725" t="s">
        <v>1171</v>
      </c>
      <c r="I133" s="582">
        <v>39</v>
      </c>
      <c r="J133" s="534">
        <v>152</v>
      </c>
      <c r="K133" s="726">
        <v>45230</v>
      </c>
      <c r="L133" s="727">
        <v>45282</v>
      </c>
      <c r="M133" s="531">
        <v>20</v>
      </c>
      <c r="N133" s="728">
        <v>6</v>
      </c>
      <c r="O133" s="729">
        <v>6</v>
      </c>
      <c r="P133" s="737">
        <f t="shared" si="3"/>
        <v>0.3</v>
      </c>
      <c r="Q133" s="359">
        <f t="shared" si="4"/>
        <v>0.3</v>
      </c>
      <c r="R133">
        <f>SUM(M120:M131)</f>
        <v>250</v>
      </c>
      <c r="S133" s="762">
        <f>SUM(N120:N131)</f>
        <v>111</v>
      </c>
      <c r="T133">
        <f>SUM(O120:O131)</f>
        <v>138</v>
      </c>
      <c r="U133" s="735">
        <f>SUM(M120:M133)</f>
        <v>290</v>
      </c>
      <c r="V133" s="735">
        <f>SUM(N120:N133)</f>
        <v>123</v>
      </c>
      <c r="W133" s="735">
        <f>SUM(O120:O133)</f>
        <v>150</v>
      </c>
    </row>
    <row r="134" spans="1:23" s="1" customFormat="1" ht="15.75" hidden="1" customHeight="1">
      <c r="A134" s="418">
        <v>131</v>
      </c>
      <c r="B134" s="257" t="s">
        <v>244</v>
      </c>
      <c r="C134" s="282" t="s">
        <v>3</v>
      </c>
      <c r="D134" s="224" t="s">
        <v>194</v>
      </c>
      <c r="E134" s="224" t="s">
        <v>807</v>
      </c>
      <c r="F134" s="556" t="s">
        <v>927</v>
      </c>
      <c r="G134" s="224">
        <v>1</v>
      </c>
      <c r="H134" s="245" t="s">
        <v>1175</v>
      </c>
      <c r="I134" s="350">
        <v>94</v>
      </c>
      <c r="J134" s="224">
        <v>752</v>
      </c>
      <c r="K134" s="590">
        <v>45231</v>
      </c>
      <c r="L134" s="503">
        <v>45376</v>
      </c>
      <c r="M134" s="511">
        <v>21</v>
      </c>
      <c r="N134" s="517">
        <v>14</v>
      </c>
      <c r="O134" s="350">
        <v>14</v>
      </c>
      <c r="P134" s="319">
        <f t="shared" ref="P134:P163" si="5">N134/M134</f>
        <v>0.66666666666666663</v>
      </c>
      <c r="Q134" s="332">
        <f t="shared" si="4"/>
        <v>0.66666666666666663</v>
      </c>
    </row>
    <row r="135" spans="1:23" s="1" customFormat="1" ht="15.75" customHeight="1">
      <c r="A135" s="418">
        <v>132</v>
      </c>
      <c r="B135" s="81" t="s">
        <v>244</v>
      </c>
      <c r="C135" s="271" t="s">
        <v>47</v>
      </c>
      <c r="D135" s="91" t="s">
        <v>227</v>
      </c>
      <c r="E135" s="91" t="s">
        <v>326</v>
      </c>
      <c r="F135" s="665" t="s">
        <v>809</v>
      </c>
      <c r="G135" s="83">
        <v>1</v>
      </c>
      <c r="H135" s="92" t="s">
        <v>1176</v>
      </c>
      <c r="I135" s="506">
        <v>124</v>
      </c>
      <c r="J135" s="91">
        <v>370</v>
      </c>
      <c r="K135" s="636">
        <v>45231</v>
      </c>
      <c r="L135" s="661">
        <v>45412</v>
      </c>
      <c r="M135" s="513">
        <v>22</v>
      </c>
      <c r="N135" s="514">
        <v>9</v>
      </c>
      <c r="O135" s="506">
        <v>20</v>
      </c>
      <c r="P135" s="318">
        <f t="shared" si="5"/>
        <v>0.40909090909090912</v>
      </c>
      <c r="Q135" s="324">
        <f t="shared" ref="Q135:Q163" si="6">O135/M135</f>
        <v>0.90909090909090906</v>
      </c>
    </row>
    <row r="136" spans="1:23" s="1" customFormat="1" ht="15.75" customHeight="1">
      <c r="A136" s="418">
        <v>133</v>
      </c>
      <c r="B136" s="81" t="s">
        <v>244</v>
      </c>
      <c r="C136" s="271" t="s">
        <v>47</v>
      </c>
      <c r="D136" s="91" t="s">
        <v>225</v>
      </c>
      <c r="E136" s="91" t="s">
        <v>326</v>
      </c>
      <c r="F136" s="665" t="s">
        <v>763</v>
      </c>
      <c r="G136" s="83">
        <v>1</v>
      </c>
      <c r="H136" s="92" t="s">
        <v>1177</v>
      </c>
      <c r="I136" s="506">
        <v>74</v>
      </c>
      <c r="J136" s="91">
        <v>370</v>
      </c>
      <c r="K136" s="636">
        <v>45236</v>
      </c>
      <c r="L136" s="661">
        <v>45342</v>
      </c>
      <c r="M136" s="513">
        <v>19</v>
      </c>
      <c r="N136" s="514">
        <v>8</v>
      </c>
      <c r="O136" s="506">
        <v>8</v>
      </c>
      <c r="P136" s="318">
        <f t="shared" si="5"/>
        <v>0.42105263157894735</v>
      </c>
      <c r="Q136" s="324">
        <f t="shared" si="6"/>
        <v>0.42105263157894735</v>
      </c>
    </row>
    <row r="137" spans="1:23" s="1" customFormat="1" ht="15.75" customHeight="1">
      <c r="A137" s="418">
        <v>134</v>
      </c>
      <c r="B137" s="81" t="s">
        <v>244</v>
      </c>
      <c r="C137" s="270" t="s">
        <v>47</v>
      </c>
      <c r="D137" s="83" t="s">
        <v>225</v>
      </c>
      <c r="E137" s="83" t="s">
        <v>326</v>
      </c>
      <c r="F137" s="483" t="s">
        <v>763</v>
      </c>
      <c r="G137" s="83">
        <v>1</v>
      </c>
      <c r="H137" s="88" t="s">
        <v>1178</v>
      </c>
      <c r="I137" s="267">
        <v>93</v>
      </c>
      <c r="J137" s="83">
        <v>370</v>
      </c>
      <c r="K137" s="586">
        <v>45236</v>
      </c>
      <c r="L137" s="486">
        <v>45379</v>
      </c>
      <c r="M137" s="490">
        <v>19</v>
      </c>
      <c r="N137" s="491">
        <v>14</v>
      </c>
      <c r="O137" s="267">
        <v>14</v>
      </c>
      <c r="P137" s="318">
        <f t="shared" si="5"/>
        <v>0.73684210526315785</v>
      </c>
      <c r="Q137" s="324">
        <f t="shared" si="6"/>
        <v>0.73684210526315785</v>
      </c>
    </row>
    <row r="138" spans="1:23" s="1" customFormat="1" ht="15.75" customHeight="1">
      <c r="A138" s="418">
        <v>135</v>
      </c>
      <c r="B138" s="81" t="s">
        <v>244</v>
      </c>
      <c r="C138" s="270" t="s">
        <v>47</v>
      </c>
      <c r="D138" s="83" t="s">
        <v>769</v>
      </c>
      <c r="E138" s="83" t="s">
        <v>326</v>
      </c>
      <c r="F138" s="483" t="s">
        <v>763</v>
      </c>
      <c r="G138" s="83">
        <v>1</v>
      </c>
      <c r="H138" s="628" t="s">
        <v>1172</v>
      </c>
      <c r="I138" s="267">
        <v>124</v>
      </c>
      <c r="J138" s="83">
        <v>370</v>
      </c>
      <c r="K138" s="586">
        <v>45237</v>
      </c>
      <c r="L138" s="486">
        <v>45420</v>
      </c>
      <c r="M138" s="490">
        <v>20</v>
      </c>
      <c r="N138" s="494">
        <v>8</v>
      </c>
      <c r="O138" s="267">
        <v>8</v>
      </c>
      <c r="P138" s="318">
        <f t="shared" si="5"/>
        <v>0.4</v>
      </c>
      <c r="Q138" s="324">
        <f t="shared" si="6"/>
        <v>0.4</v>
      </c>
    </row>
    <row r="139" spans="1:23" s="1" customFormat="1" ht="15.75" customHeight="1">
      <c r="A139" s="418">
        <v>136</v>
      </c>
      <c r="B139" s="81" t="s">
        <v>244</v>
      </c>
      <c r="C139" s="270" t="s">
        <v>47</v>
      </c>
      <c r="D139" s="83" t="s">
        <v>226</v>
      </c>
      <c r="E139" s="83" t="s">
        <v>326</v>
      </c>
      <c r="F139" s="483" t="s">
        <v>809</v>
      </c>
      <c r="G139" s="83">
        <v>1</v>
      </c>
      <c r="H139" s="90" t="s">
        <v>1179</v>
      </c>
      <c r="I139" s="267">
        <v>120</v>
      </c>
      <c r="J139" s="83">
        <v>370</v>
      </c>
      <c r="K139" s="586">
        <v>45238</v>
      </c>
      <c r="L139" s="486">
        <v>45413</v>
      </c>
      <c r="M139" s="490">
        <v>10</v>
      </c>
      <c r="N139" s="491">
        <v>8</v>
      </c>
      <c r="O139" s="267">
        <v>8</v>
      </c>
      <c r="P139" s="318">
        <f t="shared" si="5"/>
        <v>0.8</v>
      </c>
      <c r="Q139" s="324">
        <f t="shared" si="6"/>
        <v>0.8</v>
      </c>
    </row>
    <row r="140" spans="1:23" s="1" customFormat="1" ht="15.75" customHeight="1">
      <c r="A140" s="418">
        <v>137</v>
      </c>
      <c r="B140" s="81" t="s">
        <v>244</v>
      </c>
      <c r="C140" s="271" t="s">
        <v>47</v>
      </c>
      <c r="D140" s="91" t="s">
        <v>769</v>
      </c>
      <c r="E140" s="91" t="s">
        <v>326</v>
      </c>
      <c r="F140" s="665" t="s">
        <v>763</v>
      </c>
      <c r="G140" s="91">
        <v>2</v>
      </c>
      <c r="H140" s="682" t="s">
        <v>1180</v>
      </c>
      <c r="I140" s="506">
        <v>124</v>
      </c>
      <c r="J140" s="91">
        <v>370</v>
      </c>
      <c r="K140" s="636">
        <v>45244</v>
      </c>
      <c r="L140" s="661">
        <v>45428</v>
      </c>
      <c r="M140" s="513">
        <v>20</v>
      </c>
      <c r="N140" s="516">
        <v>13</v>
      </c>
      <c r="O140" s="648">
        <v>13</v>
      </c>
      <c r="P140" s="318">
        <f t="shared" si="5"/>
        <v>0.65</v>
      </c>
      <c r="Q140" s="324">
        <f t="shared" si="6"/>
        <v>0.65</v>
      </c>
    </row>
    <row r="141" spans="1:23" s="1" customFormat="1" ht="15.75" customHeight="1">
      <c r="A141" s="418">
        <v>138</v>
      </c>
      <c r="B141" s="81" t="s">
        <v>244</v>
      </c>
      <c r="C141" s="271" t="s">
        <v>3</v>
      </c>
      <c r="D141" s="91" t="s">
        <v>779</v>
      </c>
      <c r="E141" s="91" t="s">
        <v>326</v>
      </c>
      <c r="F141" s="665" t="s">
        <v>770</v>
      </c>
      <c r="G141" s="91">
        <v>3</v>
      </c>
      <c r="H141" s="92" t="s">
        <v>790</v>
      </c>
      <c r="I141" s="271">
        <v>70</v>
      </c>
      <c r="J141" s="91">
        <v>280</v>
      </c>
      <c r="K141" s="636">
        <v>45250</v>
      </c>
      <c r="L141" s="661">
        <v>45351</v>
      </c>
      <c r="M141" s="513">
        <v>30</v>
      </c>
      <c r="N141" s="514">
        <v>21</v>
      </c>
      <c r="O141" s="648">
        <v>21</v>
      </c>
      <c r="P141" s="318">
        <f t="shared" si="5"/>
        <v>0.7</v>
      </c>
      <c r="Q141" s="324">
        <f t="shared" si="6"/>
        <v>0.7</v>
      </c>
    </row>
    <row r="142" spans="1:23" s="1" customFormat="1" ht="15.75" hidden="1" customHeight="1">
      <c r="A142" s="418">
        <v>139</v>
      </c>
      <c r="B142" s="81" t="s">
        <v>244</v>
      </c>
      <c r="C142" s="271" t="s">
        <v>7</v>
      </c>
      <c r="D142" s="91" t="s">
        <v>228</v>
      </c>
      <c r="E142" s="91" t="s">
        <v>2</v>
      </c>
      <c r="F142" s="665" t="s">
        <v>762</v>
      </c>
      <c r="G142" s="83">
        <v>1</v>
      </c>
      <c r="H142" s="92" t="s">
        <v>1181</v>
      </c>
      <c r="I142" s="506">
        <v>123</v>
      </c>
      <c r="J142" s="91">
        <v>670</v>
      </c>
      <c r="K142" s="636">
        <v>45250</v>
      </c>
      <c r="L142" s="661">
        <v>45432</v>
      </c>
      <c r="M142" s="513">
        <v>20</v>
      </c>
      <c r="N142" s="514">
        <v>10</v>
      </c>
      <c r="O142" s="506">
        <v>13</v>
      </c>
      <c r="P142" s="318">
        <f t="shared" si="5"/>
        <v>0.5</v>
      </c>
      <c r="Q142" s="324">
        <f t="shared" si="6"/>
        <v>0.65</v>
      </c>
    </row>
    <row r="143" spans="1:23" s="1" customFormat="1" ht="15.75" hidden="1" customHeight="1" thickBot="1">
      <c r="A143" s="418">
        <v>140</v>
      </c>
      <c r="B143" s="746" t="s">
        <v>244</v>
      </c>
      <c r="C143" s="205" t="s">
        <v>3</v>
      </c>
      <c r="D143" s="205" t="s">
        <v>194</v>
      </c>
      <c r="E143" s="205" t="s">
        <v>476</v>
      </c>
      <c r="F143" s="585" t="s">
        <v>1173</v>
      </c>
      <c r="G143" s="584">
        <v>2</v>
      </c>
      <c r="H143" s="327" t="s">
        <v>1174</v>
      </c>
      <c r="I143" s="329">
        <v>121</v>
      </c>
      <c r="J143" s="205">
        <v>963</v>
      </c>
      <c r="K143" s="633">
        <v>45251</v>
      </c>
      <c r="L143" s="502">
        <v>45436</v>
      </c>
      <c r="M143" s="512">
        <v>30</v>
      </c>
      <c r="N143" s="518">
        <v>27</v>
      </c>
      <c r="O143" s="507">
        <v>27</v>
      </c>
      <c r="P143" s="737">
        <f t="shared" si="5"/>
        <v>0.9</v>
      </c>
      <c r="Q143" s="359">
        <f t="shared" si="6"/>
        <v>0.9</v>
      </c>
      <c r="R143">
        <f>SUM(M134:M143)</f>
        <v>211</v>
      </c>
      <c r="S143" s="762">
        <f>SUM(N134:N143)</f>
        <v>132</v>
      </c>
      <c r="T143">
        <f>SUM(O134:O143)</f>
        <v>146</v>
      </c>
      <c r="U143" s="735">
        <f>SUM(M134:M143)</f>
        <v>211</v>
      </c>
      <c r="V143" s="735">
        <f>SUM(N134:N143)</f>
        <v>132</v>
      </c>
      <c r="W143" s="735">
        <f>SUM(O134:O143)</f>
        <v>146</v>
      </c>
    </row>
    <row r="144" spans="1:23" s="1" customFormat="1" ht="15.75" hidden="1" customHeight="1">
      <c r="A144" s="418">
        <v>141</v>
      </c>
      <c r="B144" s="257" t="s">
        <v>247</v>
      </c>
      <c r="C144" s="282" t="s">
        <v>3</v>
      </c>
      <c r="D144" s="224" t="s">
        <v>225</v>
      </c>
      <c r="E144" s="224" t="s">
        <v>776</v>
      </c>
      <c r="F144" s="556" t="s">
        <v>762</v>
      </c>
      <c r="G144" s="282">
        <v>1</v>
      </c>
      <c r="H144" s="704" t="s">
        <v>1182</v>
      </c>
      <c r="I144" s="282">
        <v>152</v>
      </c>
      <c r="J144" s="224">
        <v>808</v>
      </c>
      <c r="K144" s="590">
        <v>45265</v>
      </c>
      <c r="L144" s="685">
        <v>45489</v>
      </c>
      <c r="M144" s="511">
        <v>25</v>
      </c>
      <c r="N144" s="696">
        <v>18</v>
      </c>
      <c r="O144" s="350">
        <v>19</v>
      </c>
      <c r="P144" s="319">
        <f t="shared" si="5"/>
        <v>0.72</v>
      </c>
      <c r="Q144" s="332">
        <f t="shared" si="6"/>
        <v>0.76</v>
      </c>
    </row>
    <row r="145" spans="1:18" hidden="1">
      <c r="A145" s="418">
        <v>142</v>
      </c>
      <c r="B145" s="81" t="s">
        <v>247</v>
      </c>
      <c r="C145" s="271" t="s">
        <v>3</v>
      </c>
      <c r="D145" s="91" t="s">
        <v>225</v>
      </c>
      <c r="E145" s="91" t="s">
        <v>776</v>
      </c>
      <c r="F145" s="653" t="s">
        <v>770</v>
      </c>
      <c r="G145" s="270">
        <v>3</v>
      </c>
      <c r="H145" s="705" t="s">
        <v>480</v>
      </c>
      <c r="I145" s="270">
        <v>162</v>
      </c>
      <c r="J145" s="83">
        <v>872</v>
      </c>
      <c r="K145" s="586">
        <v>45265</v>
      </c>
      <c r="L145" s="644">
        <v>45503</v>
      </c>
      <c r="M145" s="513">
        <v>25</v>
      </c>
      <c r="N145" s="516">
        <v>9</v>
      </c>
      <c r="O145" s="506">
        <v>10</v>
      </c>
      <c r="P145" s="318">
        <f t="shared" si="5"/>
        <v>0.36</v>
      </c>
      <c r="Q145" s="324">
        <f t="shared" si="6"/>
        <v>0.4</v>
      </c>
      <c r="R145" s="1"/>
    </row>
    <row r="146" spans="1:18">
      <c r="A146" s="418">
        <v>143</v>
      </c>
      <c r="B146" s="81" t="s">
        <v>247</v>
      </c>
      <c r="C146" s="271" t="s">
        <v>47</v>
      </c>
      <c r="D146" s="91" t="s">
        <v>230</v>
      </c>
      <c r="E146" s="91" t="s">
        <v>326</v>
      </c>
      <c r="F146" s="653" t="s">
        <v>763</v>
      </c>
      <c r="G146" s="271">
        <v>1</v>
      </c>
      <c r="H146" s="706" t="s">
        <v>1183</v>
      </c>
      <c r="I146" s="271">
        <v>123</v>
      </c>
      <c r="J146" s="91">
        <v>370</v>
      </c>
      <c r="K146" s="636">
        <v>45266</v>
      </c>
      <c r="L146" s="644">
        <v>45453</v>
      </c>
      <c r="M146" s="513">
        <v>21</v>
      </c>
      <c r="N146" s="514">
        <v>7</v>
      </c>
      <c r="O146" s="506">
        <v>8</v>
      </c>
      <c r="P146" s="318">
        <f t="shared" si="5"/>
        <v>0.33333333333333331</v>
      </c>
      <c r="Q146" s="324">
        <f t="shared" si="6"/>
        <v>0.38095238095238093</v>
      </c>
    </row>
    <row r="147" spans="1:18" hidden="1">
      <c r="A147" s="418">
        <v>144</v>
      </c>
      <c r="B147" s="81" t="s">
        <v>247</v>
      </c>
      <c r="C147" s="270" t="s">
        <v>3</v>
      </c>
      <c r="D147" s="83" t="s">
        <v>228</v>
      </c>
      <c r="E147" s="83" t="s">
        <v>478</v>
      </c>
      <c r="F147" s="652" t="s">
        <v>770</v>
      </c>
      <c r="G147" s="270">
        <v>1</v>
      </c>
      <c r="H147" s="295" t="s">
        <v>1184</v>
      </c>
      <c r="I147" s="270">
        <v>110</v>
      </c>
      <c r="J147" s="83">
        <v>880</v>
      </c>
      <c r="K147" s="586">
        <v>45267</v>
      </c>
      <c r="L147" s="686">
        <v>45432</v>
      </c>
      <c r="M147" s="490">
        <v>30</v>
      </c>
      <c r="N147" s="697">
        <v>22</v>
      </c>
      <c r="O147" s="267">
        <v>22</v>
      </c>
      <c r="P147" s="318">
        <f t="shared" si="5"/>
        <v>0.73333333333333328</v>
      </c>
      <c r="Q147" s="324">
        <f t="shared" si="6"/>
        <v>0.73333333333333328</v>
      </c>
    </row>
    <row r="148" spans="1:18" hidden="1">
      <c r="A148" s="418">
        <v>145</v>
      </c>
      <c r="B148" s="81" t="s">
        <v>247</v>
      </c>
      <c r="C148" s="270" t="s">
        <v>7</v>
      </c>
      <c r="D148" s="83" t="s">
        <v>228</v>
      </c>
      <c r="E148" s="83" t="s">
        <v>776</v>
      </c>
      <c r="F148" s="652" t="s">
        <v>773</v>
      </c>
      <c r="G148" s="270">
        <v>1</v>
      </c>
      <c r="H148" s="707" t="s">
        <v>1185</v>
      </c>
      <c r="I148" s="270">
        <v>100</v>
      </c>
      <c r="J148" s="83">
        <v>400</v>
      </c>
      <c r="K148" s="586">
        <v>45281</v>
      </c>
      <c r="L148" s="686">
        <v>45464</v>
      </c>
      <c r="M148" s="490">
        <v>20</v>
      </c>
      <c r="N148" s="698">
        <v>17</v>
      </c>
      <c r="O148" s="267">
        <v>20</v>
      </c>
      <c r="P148" s="318">
        <f t="shared" si="5"/>
        <v>0.85</v>
      </c>
      <c r="Q148" s="324">
        <f t="shared" si="6"/>
        <v>1</v>
      </c>
    </row>
    <row r="149" spans="1:18" hidden="1">
      <c r="A149" s="418">
        <v>146</v>
      </c>
      <c r="B149" s="81" t="s">
        <v>247</v>
      </c>
      <c r="C149" s="689" t="s">
        <v>3</v>
      </c>
      <c r="D149" s="683" t="s">
        <v>225</v>
      </c>
      <c r="E149" s="683" t="s">
        <v>478</v>
      </c>
      <c r="F149" s="694" t="s">
        <v>770</v>
      </c>
      <c r="G149" s="689">
        <v>1</v>
      </c>
      <c r="H149" s="708" t="s">
        <v>486</v>
      </c>
      <c r="I149" s="693">
        <v>118</v>
      </c>
      <c r="J149" s="683">
        <v>820</v>
      </c>
      <c r="K149" s="687">
        <v>45287</v>
      </c>
      <c r="L149" s="688">
        <v>45461</v>
      </c>
      <c r="M149" s="695">
        <v>20</v>
      </c>
      <c r="N149" s="699">
        <v>15</v>
      </c>
      <c r="O149" s="684">
        <v>20</v>
      </c>
      <c r="P149" s="318">
        <f t="shared" si="5"/>
        <v>0.75</v>
      </c>
      <c r="Q149" s="324">
        <f t="shared" si="6"/>
        <v>1</v>
      </c>
    </row>
    <row r="150" spans="1:18" hidden="1">
      <c r="A150" s="418">
        <v>147</v>
      </c>
      <c r="B150" s="81" t="s">
        <v>247</v>
      </c>
      <c r="C150" s="270" t="s">
        <v>3</v>
      </c>
      <c r="D150" s="83" t="s">
        <v>228</v>
      </c>
      <c r="E150" s="83" t="s">
        <v>478</v>
      </c>
      <c r="F150" s="652" t="s">
        <v>762</v>
      </c>
      <c r="G150" s="270">
        <v>2</v>
      </c>
      <c r="H150" s="707" t="s">
        <v>1186</v>
      </c>
      <c r="I150" s="270">
        <v>110</v>
      </c>
      <c r="J150" s="83">
        <v>880</v>
      </c>
      <c r="K150" s="586">
        <v>45287</v>
      </c>
      <c r="L150" s="686">
        <v>45450</v>
      </c>
      <c r="M150" s="490">
        <v>19</v>
      </c>
      <c r="N150" s="698">
        <v>16</v>
      </c>
      <c r="O150" s="267">
        <v>16</v>
      </c>
      <c r="P150" s="318">
        <f t="shared" si="5"/>
        <v>0.84210526315789469</v>
      </c>
      <c r="Q150" s="324">
        <f t="shared" si="6"/>
        <v>0.84210526315789469</v>
      </c>
    </row>
    <row r="151" spans="1:18" hidden="1">
      <c r="A151" s="418">
        <v>148</v>
      </c>
      <c r="B151" s="81" t="s">
        <v>247</v>
      </c>
      <c r="C151" s="271" t="s">
        <v>3</v>
      </c>
      <c r="D151" s="91" t="s">
        <v>227</v>
      </c>
      <c r="E151" s="91" t="s">
        <v>478</v>
      </c>
      <c r="F151" s="653" t="s">
        <v>961</v>
      </c>
      <c r="G151" s="271">
        <v>1</v>
      </c>
      <c r="H151" s="666" t="s">
        <v>1187</v>
      </c>
      <c r="I151" s="506">
        <v>119</v>
      </c>
      <c r="J151" s="91">
        <v>950</v>
      </c>
      <c r="K151" s="636">
        <v>45287</v>
      </c>
      <c r="L151" s="644">
        <v>45432</v>
      </c>
      <c r="M151" s="513">
        <v>20</v>
      </c>
      <c r="N151" s="514">
        <v>15</v>
      </c>
      <c r="O151" s="506">
        <v>15</v>
      </c>
      <c r="P151" s="318">
        <f t="shared" si="5"/>
        <v>0.75</v>
      </c>
      <c r="Q151" s="324">
        <f t="shared" si="6"/>
        <v>0.75</v>
      </c>
    </row>
    <row r="152" spans="1:18" s="1" customFormat="1" ht="16.5" hidden="1" customHeight="1">
      <c r="A152" s="418">
        <v>149</v>
      </c>
      <c r="B152" s="81" t="s">
        <v>247</v>
      </c>
      <c r="C152" s="271" t="s">
        <v>47</v>
      </c>
      <c r="D152" s="91" t="s">
        <v>235</v>
      </c>
      <c r="E152" s="91" t="s">
        <v>2</v>
      </c>
      <c r="F152" s="653" t="s">
        <v>763</v>
      </c>
      <c r="G152" s="271">
        <v>2</v>
      </c>
      <c r="H152" s="705" t="s">
        <v>819</v>
      </c>
      <c r="I152" s="271">
        <v>145</v>
      </c>
      <c r="J152" s="91">
        <v>870</v>
      </c>
      <c r="K152" s="636">
        <v>45287</v>
      </c>
      <c r="L152" s="690">
        <v>45566</v>
      </c>
      <c r="M152" s="513">
        <v>20</v>
      </c>
      <c r="N152" s="700">
        <v>13</v>
      </c>
      <c r="O152" s="506">
        <v>16</v>
      </c>
      <c r="P152" s="318">
        <f t="shared" si="5"/>
        <v>0.65</v>
      </c>
      <c r="Q152" s="324">
        <f t="shared" si="6"/>
        <v>0.8</v>
      </c>
    </row>
    <row r="153" spans="1:18" s="1" customFormat="1" ht="16.5" customHeight="1">
      <c r="A153" s="418">
        <v>150</v>
      </c>
      <c r="B153" s="81" t="s">
        <v>247</v>
      </c>
      <c r="C153" s="270" t="s">
        <v>47</v>
      </c>
      <c r="D153" s="83" t="s">
        <v>830</v>
      </c>
      <c r="E153" s="83" t="s">
        <v>326</v>
      </c>
      <c r="F153" s="652" t="s">
        <v>809</v>
      </c>
      <c r="G153" s="272">
        <v>1</v>
      </c>
      <c r="H153" s="90" t="s">
        <v>1188</v>
      </c>
      <c r="I153" s="270">
        <v>74</v>
      </c>
      <c r="J153" s="83">
        <v>370</v>
      </c>
      <c r="K153" s="586">
        <v>45287</v>
      </c>
      <c r="L153" s="686">
        <v>45470</v>
      </c>
      <c r="M153" s="490">
        <v>20</v>
      </c>
      <c r="N153" s="697">
        <v>9</v>
      </c>
      <c r="O153" s="267">
        <v>11</v>
      </c>
      <c r="P153" s="318">
        <f t="shared" si="5"/>
        <v>0.45</v>
      </c>
      <c r="Q153" s="324">
        <f t="shared" si="6"/>
        <v>0.55000000000000004</v>
      </c>
    </row>
    <row r="154" spans="1:18" s="1" customFormat="1" ht="16.5" customHeight="1">
      <c r="A154" s="418">
        <v>151</v>
      </c>
      <c r="B154" s="81" t="s">
        <v>247</v>
      </c>
      <c r="C154" s="338" t="s">
        <v>7</v>
      </c>
      <c r="D154" s="296" t="s">
        <v>248</v>
      </c>
      <c r="E154" s="296" t="s">
        <v>326</v>
      </c>
      <c r="F154" s="654" t="s">
        <v>813</v>
      </c>
      <c r="G154" s="338">
        <v>3</v>
      </c>
      <c r="H154" s="709" t="s">
        <v>1189</v>
      </c>
      <c r="I154" s="338">
        <v>68</v>
      </c>
      <c r="J154" s="296">
        <v>272</v>
      </c>
      <c r="K154" s="657">
        <v>45287</v>
      </c>
      <c r="L154" s="691">
        <v>45386</v>
      </c>
      <c r="M154" s="519">
        <v>20</v>
      </c>
      <c r="N154" s="701">
        <v>8</v>
      </c>
      <c r="O154" s="481">
        <v>18</v>
      </c>
      <c r="P154" s="318">
        <f t="shared" si="5"/>
        <v>0.4</v>
      </c>
      <c r="Q154" s="324">
        <f t="shared" si="6"/>
        <v>0.9</v>
      </c>
    </row>
    <row r="155" spans="1:18" s="1" customFormat="1" ht="16.5" hidden="1" customHeight="1">
      <c r="A155" s="418">
        <v>152</v>
      </c>
      <c r="B155" s="81" t="s">
        <v>247</v>
      </c>
      <c r="C155" s="270" t="s">
        <v>3</v>
      </c>
      <c r="D155" s="83" t="s">
        <v>194</v>
      </c>
      <c r="E155" s="83" t="s">
        <v>476</v>
      </c>
      <c r="F155" s="652" t="s">
        <v>961</v>
      </c>
      <c r="G155" s="270">
        <v>7</v>
      </c>
      <c r="H155" s="707" t="s">
        <v>474</v>
      </c>
      <c r="I155" s="270">
        <v>119</v>
      </c>
      <c r="J155" s="83">
        <v>944</v>
      </c>
      <c r="K155" s="586">
        <v>45288</v>
      </c>
      <c r="L155" s="686">
        <v>45470</v>
      </c>
      <c r="M155" s="490">
        <v>35</v>
      </c>
      <c r="N155" s="698">
        <v>23</v>
      </c>
      <c r="O155" s="267">
        <v>23</v>
      </c>
      <c r="P155" s="318">
        <f t="shared" si="5"/>
        <v>0.65714285714285714</v>
      </c>
      <c r="Q155" s="324">
        <f t="shared" si="6"/>
        <v>0.65714285714285714</v>
      </c>
    </row>
    <row r="156" spans="1:18" s="1" customFormat="1" ht="16.5" hidden="1" customHeight="1">
      <c r="A156" s="418">
        <v>153</v>
      </c>
      <c r="B156" s="81" t="s">
        <v>247</v>
      </c>
      <c r="C156" s="271" t="s">
        <v>3</v>
      </c>
      <c r="D156" s="91" t="s">
        <v>194</v>
      </c>
      <c r="E156" s="91" t="s">
        <v>476</v>
      </c>
      <c r="F156" s="653" t="s">
        <v>930</v>
      </c>
      <c r="G156" s="270">
        <v>1</v>
      </c>
      <c r="H156" s="666" t="s">
        <v>1190</v>
      </c>
      <c r="I156" s="271">
        <v>130</v>
      </c>
      <c r="J156" s="83">
        <v>1033</v>
      </c>
      <c r="K156" s="636">
        <v>45288</v>
      </c>
      <c r="L156" s="690">
        <v>45498</v>
      </c>
      <c r="M156" s="513">
        <v>35</v>
      </c>
      <c r="N156" s="702">
        <v>23</v>
      </c>
      <c r="O156" s="506">
        <v>24</v>
      </c>
      <c r="P156" s="318">
        <f t="shared" si="5"/>
        <v>0.65714285714285714</v>
      </c>
      <c r="Q156" s="324">
        <f t="shared" si="6"/>
        <v>0.68571428571428572</v>
      </c>
    </row>
    <row r="157" spans="1:18" s="1" customFormat="1" ht="16.5" hidden="1" customHeight="1">
      <c r="A157" s="418">
        <v>154</v>
      </c>
      <c r="B157" s="81" t="s">
        <v>247</v>
      </c>
      <c r="C157" s="689" t="s">
        <v>3</v>
      </c>
      <c r="D157" s="683" t="s">
        <v>225</v>
      </c>
      <c r="E157" s="683" t="s">
        <v>2</v>
      </c>
      <c r="F157" s="694" t="s">
        <v>762</v>
      </c>
      <c r="G157" s="693">
        <v>2</v>
      </c>
      <c r="H157" s="708" t="s">
        <v>857</v>
      </c>
      <c r="I157" s="684">
        <v>126</v>
      </c>
      <c r="J157" s="683">
        <v>808</v>
      </c>
      <c r="K157" s="687">
        <v>45288</v>
      </c>
      <c r="L157" s="692">
        <v>45475</v>
      </c>
      <c r="M157" s="695">
        <v>33</v>
      </c>
      <c r="N157" s="703">
        <v>20</v>
      </c>
      <c r="O157" s="684">
        <v>25</v>
      </c>
      <c r="P157" s="318">
        <f t="shared" si="5"/>
        <v>0.60606060606060608</v>
      </c>
      <c r="Q157" s="324">
        <f t="shared" si="6"/>
        <v>0.75757575757575757</v>
      </c>
    </row>
    <row r="158" spans="1:18" s="1" customFormat="1" ht="16.5" customHeight="1">
      <c r="A158" s="418">
        <v>155</v>
      </c>
      <c r="B158" s="81" t="s">
        <v>247</v>
      </c>
      <c r="C158" s="271" t="s">
        <v>47</v>
      </c>
      <c r="D158" s="91" t="s">
        <v>231</v>
      </c>
      <c r="E158" s="91" t="s">
        <v>326</v>
      </c>
      <c r="F158" s="653" t="s">
        <v>1191</v>
      </c>
      <c r="G158" s="271">
        <v>1</v>
      </c>
      <c r="H158" s="705" t="s">
        <v>1192</v>
      </c>
      <c r="I158" s="271">
        <v>124</v>
      </c>
      <c r="J158" s="91">
        <v>370</v>
      </c>
      <c r="K158" s="636">
        <v>45288</v>
      </c>
      <c r="L158" s="690">
        <v>45468</v>
      </c>
      <c r="M158" s="513">
        <v>17</v>
      </c>
      <c r="N158" s="700">
        <v>6</v>
      </c>
      <c r="O158" s="506">
        <v>12</v>
      </c>
      <c r="P158" s="318">
        <f t="shared" si="5"/>
        <v>0.35294117647058826</v>
      </c>
      <c r="Q158" s="324">
        <f t="shared" si="6"/>
        <v>0.70588235294117652</v>
      </c>
    </row>
    <row r="159" spans="1:18" s="1" customFormat="1" ht="16.5" hidden="1" customHeight="1">
      <c r="A159" s="418">
        <v>156</v>
      </c>
      <c r="B159" s="751" t="s">
        <v>1270</v>
      </c>
      <c r="C159" s="752" t="s">
        <v>1271</v>
      </c>
      <c r="D159" s="753" t="s">
        <v>1272</v>
      </c>
      <c r="E159" s="753" t="s">
        <v>1273</v>
      </c>
      <c r="F159" s="754" t="s">
        <v>1275</v>
      </c>
      <c r="G159" s="752">
        <v>1</v>
      </c>
      <c r="H159" s="755" t="s">
        <v>1274</v>
      </c>
      <c r="I159" s="752">
        <v>91</v>
      </c>
      <c r="J159" s="753">
        <v>720</v>
      </c>
      <c r="K159" s="756">
        <v>45288</v>
      </c>
      <c r="L159" s="757">
        <v>45429</v>
      </c>
      <c r="M159" s="758">
        <v>30</v>
      </c>
      <c r="N159" s="732">
        <v>28</v>
      </c>
      <c r="O159" s="759">
        <v>28</v>
      </c>
      <c r="P159" s="760">
        <f t="shared" si="5"/>
        <v>0.93333333333333335</v>
      </c>
      <c r="Q159" s="761">
        <f t="shared" si="6"/>
        <v>0.93333333333333335</v>
      </c>
    </row>
    <row r="160" spans="1:18" s="1" customFormat="1" ht="16.5" hidden="1" customHeight="1">
      <c r="A160" s="418">
        <v>157</v>
      </c>
      <c r="B160" s="81" t="s">
        <v>247</v>
      </c>
      <c r="C160" s="271" t="s">
        <v>3</v>
      </c>
      <c r="D160" s="91" t="s">
        <v>779</v>
      </c>
      <c r="E160" s="91" t="s">
        <v>478</v>
      </c>
      <c r="F160" s="653" t="s">
        <v>762</v>
      </c>
      <c r="G160" s="271">
        <v>1</v>
      </c>
      <c r="H160" s="705" t="s">
        <v>1193</v>
      </c>
      <c r="I160" s="83">
        <v>100</v>
      </c>
      <c r="J160" s="91">
        <v>700</v>
      </c>
      <c r="K160" s="636">
        <v>45289</v>
      </c>
      <c r="L160" s="690">
        <v>45439</v>
      </c>
      <c r="M160" s="513">
        <v>20</v>
      </c>
      <c r="N160" s="732">
        <v>18</v>
      </c>
      <c r="O160" s="506">
        <v>22</v>
      </c>
      <c r="P160" s="318">
        <f t="shared" si="5"/>
        <v>0.9</v>
      </c>
      <c r="Q160" s="324">
        <f t="shared" si="6"/>
        <v>1.1000000000000001</v>
      </c>
    </row>
    <row r="161" spans="1:23" s="1" customFormat="1" ht="16.5" hidden="1" customHeight="1">
      <c r="A161" s="418">
        <v>158</v>
      </c>
      <c r="B161" s="81" t="s">
        <v>247</v>
      </c>
      <c r="C161" s="267" t="s">
        <v>7</v>
      </c>
      <c r="D161" s="83" t="s">
        <v>225</v>
      </c>
      <c r="E161" s="83" t="s">
        <v>776</v>
      </c>
      <c r="F161" s="652" t="s">
        <v>773</v>
      </c>
      <c r="G161" s="270">
        <v>1</v>
      </c>
      <c r="H161" s="707" t="s">
        <v>1194</v>
      </c>
      <c r="I161" s="267">
        <v>120</v>
      </c>
      <c r="J161" s="83">
        <v>640</v>
      </c>
      <c r="K161" s="586">
        <v>45289</v>
      </c>
      <c r="L161" s="686">
        <v>45471</v>
      </c>
      <c r="M161" s="490">
        <v>20</v>
      </c>
      <c r="N161" s="698">
        <v>13</v>
      </c>
      <c r="O161" s="267">
        <v>32</v>
      </c>
      <c r="P161" s="318">
        <f t="shared" si="5"/>
        <v>0.65</v>
      </c>
      <c r="Q161" s="324">
        <f t="shared" si="6"/>
        <v>1.6</v>
      </c>
    </row>
    <row r="162" spans="1:23">
      <c r="A162" s="418">
        <v>159</v>
      </c>
      <c r="B162" s="576" t="s">
        <v>247</v>
      </c>
      <c r="C162" s="669" t="s">
        <v>1196</v>
      </c>
      <c r="D162" s="527" t="s">
        <v>1197</v>
      </c>
      <c r="E162" s="527" t="s">
        <v>1198</v>
      </c>
      <c r="F162" s="710" t="s">
        <v>1199</v>
      </c>
      <c r="G162" s="577">
        <v>5</v>
      </c>
      <c r="H162" s="711" t="s">
        <v>1195</v>
      </c>
      <c r="I162" s="716">
        <v>39</v>
      </c>
      <c r="J162" s="717">
        <v>152</v>
      </c>
      <c r="K162" s="671">
        <v>45289</v>
      </c>
      <c r="L162" s="718">
        <v>45348</v>
      </c>
      <c r="M162" s="576">
        <v>20</v>
      </c>
      <c r="N162" s="730">
        <v>7</v>
      </c>
      <c r="O162" s="716">
        <v>8</v>
      </c>
      <c r="P162" s="318">
        <f t="shared" si="5"/>
        <v>0.35</v>
      </c>
      <c r="Q162" s="324">
        <f t="shared" si="6"/>
        <v>0.4</v>
      </c>
    </row>
    <row r="163" spans="1:23" ht="17.25" thickBot="1">
      <c r="A163" s="418">
        <v>160</v>
      </c>
      <c r="B163" s="564" t="s">
        <v>247</v>
      </c>
      <c r="C163" s="536" t="s">
        <v>1201</v>
      </c>
      <c r="D163" s="536" t="s">
        <v>1202</v>
      </c>
      <c r="E163" s="536" t="s">
        <v>1203</v>
      </c>
      <c r="F163" s="712" t="s">
        <v>1204</v>
      </c>
      <c r="G163" s="713">
        <v>5</v>
      </c>
      <c r="H163" s="714" t="s">
        <v>1200</v>
      </c>
      <c r="I163" s="566">
        <v>47</v>
      </c>
      <c r="J163" s="559">
        <v>139</v>
      </c>
      <c r="K163" s="719">
        <v>45288</v>
      </c>
      <c r="L163" s="720">
        <v>45376</v>
      </c>
      <c r="M163" s="564">
        <v>20</v>
      </c>
      <c r="N163" s="731">
        <v>13</v>
      </c>
      <c r="O163" s="566">
        <v>14</v>
      </c>
      <c r="P163" s="737">
        <f t="shared" si="5"/>
        <v>0.65</v>
      </c>
      <c r="Q163" s="359">
        <f t="shared" si="6"/>
        <v>0.7</v>
      </c>
      <c r="R163">
        <f>SUM(M144:M161)</f>
        <v>430</v>
      </c>
      <c r="S163" s="762">
        <f>SUM(N144:N161)</f>
        <v>280</v>
      </c>
      <c r="T163">
        <f>SUM(O144:O161)</f>
        <v>341</v>
      </c>
      <c r="U163" s="735">
        <f>SUM(M144:M163)</f>
        <v>470</v>
      </c>
      <c r="V163" s="735">
        <f>SUM(N144:N163)</f>
        <v>300</v>
      </c>
      <c r="W163" s="735">
        <f>SUM(O144:O163)</f>
        <v>363</v>
      </c>
    </row>
    <row r="164" spans="1:23">
      <c r="M164" s="326"/>
      <c r="N164" s="326"/>
      <c r="O164" s="326"/>
      <c r="P164" s="1"/>
      <c r="Q164" s="326"/>
    </row>
    <row r="165" spans="1:23">
      <c r="M165" s="326"/>
      <c r="N165" s="326"/>
      <c r="O165" s="326"/>
      <c r="P165" s="1"/>
      <c r="Q165" s="326"/>
    </row>
    <row r="166" spans="1:23">
      <c r="P166" s="1"/>
      <c r="Q166" s="326"/>
    </row>
    <row r="167" spans="1:23">
      <c r="P167" s="1"/>
      <c r="Q167" s="326"/>
    </row>
    <row r="168" spans="1:23">
      <c r="L168" s="445"/>
      <c r="P168" s="1"/>
      <c r="Q168" s="326"/>
    </row>
  </sheetData>
  <autoFilter ref="A3:Q163" xr:uid="{00000000-0009-0000-0000-000003000000}">
    <filterColumn colId="4">
      <filters>
        <filter val="계"/>
        <filter val="계(혼)"/>
      </filters>
    </filterColumn>
  </autoFilter>
  <mergeCells count="1">
    <mergeCell ref="A2:K2"/>
  </mergeCells>
  <phoneticPr fontId="6" type="noConversion"/>
  <pageMargins left="0.7" right="0.7" top="0.75" bottom="0.75" header="0.3" footer="0.3"/>
  <pageSetup paperSize="9" scale="53" orientation="landscape" r:id="rId1"/>
  <ignoredErrors>
    <ignoredError sqref="R143:W163 R7:W7 R20:W20 R42:W42 R56:W56 R68:W68 R78:W78 R86:W86 R98:W98 R119:W119 R133:T133 V133:W133" formulaRange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3"/>
  <sheetViews>
    <sheetView workbookViewId="0">
      <selection activeCell="F22" sqref="F22"/>
    </sheetView>
  </sheetViews>
  <sheetFormatPr defaultRowHeight="16.5"/>
  <cols>
    <col min="1" max="1" width="11.875" customWidth="1"/>
    <col min="2" max="2" width="17.375" customWidth="1"/>
    <col min="3" max="3" width="11.125" bestFit="1" customWidth="1"/>
    <col min="4" max="5" width="15.25" bestFit="1" customWidth="1"/>
    <col min="6" max="6" width="13.125" bestFit="1" customWidth="1"/>
  </cols>
  <sheetData>
    <row r="1" spans="1:6">
      <c r="A1" s="18" t="s">
        <v>191</v>
      </c>
      <c r="B1" t="s">
        <v>327</v>
      </c>
    </row>
    <row r="2" spans="1:6">
      <c r="A2" s="18" t="s">
        <v>1210</v>
      </c>
      <c r="B2" t="s">
        <v>327</v>
      </c>
    </row>
    <row r="4" spans="1:6">
      <c r="A4" s="18" t="s">
        <v>446</v>
      </c>
      <c r="B4" t="s">
        <v>826</v>
      </c>
      <c r="C4" t="s">
        <v>193</v>
      </c>
      <c r="D4" t="s">
        <v>192</v>
      </c>
      <c r="E4" t="s">
        <v>1225</v>
      </c>
      <c r="F4" t="s">
        <v>1212</v>
      </c>
    </row>
    <row r="5" spans="1:6">
      <c r="A5" s="555" t="s">
        <v>1211</v>
      </c>
      <c r="B5">
        <v>94</v>
      </c>
      <c r="C5">
        <v>1898</v>
      </c>
      <c r="D5">
        <v>907</v>
      </c>
      <c r="E5">
        <v>1046</v>
      </c>
      <c r="F5" s="733">
        <v>0.50178151491800116</v>
      </c>
    </row>
    <row r="6" spans="1:6">
      <c r="A6" s="555" t="s">
        <v>1216</v>
      </c>
      <c r="B6">
        <v>12</v>
      </c>
      <c r="C6">
        <v>387</v>
      </c>
      <c r="D6">
        <v>228</v>
      </c>
      <c r="E6">
        <v>239</v>
      </c>
      <c r="F6" s="733">
        <v>0.59953102453102458</v>
      </c>
    </row>
    <row r="7" spans="1:6">
      <c r="A7" s="555" t="s">
        <v>1221</v>
      </c>
      <c r="B7">
        <v>2</v>
      </c>
      <c r="C7">
        <v>40</v>
      </c>
      <c r="D7">
        <v>24</v>
      </c>
      <c r="E7">
        <v>27</v>
      </c>
      <c r="F7" s="733">
        <v>0.6</v>
      </c>
    </row>
    <row r="8" spans="1:6">
      <c r="A8" s="555" t="s">
        <v>1222</v>
      </c>
      <c r="B8">
        <v>2</v>
      </c>
      <c r="C8">
        <v>40</v>
      </c>
      <c r="D8">
        <v>27</v>
      </c>
      <c r="E8">
        <v>27</v>
      </c>
      <c r="F8" s="733">
        <v>0.67500000000000004</v>
      </c>
    </row>
    <row r="9" spans="1:6">
      <c r="A9" s="555" t="s">
        <v>1217</v>
      </c>
      <c r="B9">
        <v>10</v>
      </c>
      <c r="C9">
        <v>237</v>
      </c>
      <c r="D9">
        <v>168</v>
      </c>
      <c r="E9">
        <v>200</v>
      </c>
      <c r="F9" s="733">
        <v>0.73523809523809525</v>
      </c>
    </row>
    <row r="10" spans="1:6">
      <c r="A10" s="555" t="s">
        <v>1214</v>
      </c>
      <c r="B10">
        <v>24</v>
      </c>
      <c r="C10">
        <v>548</v>
      </c>
      <c r="D10">
        <v>392</v>
      </c>
      <c r="E10">
        <v>430</v>
      </c>
      <c r="F10" s="733">
        <v>0.73401334776334781</v>
      </c>
    </row>
    <row r="11" spans="1:6">
      <c r="A11" s="555" t="s">
        <v>1223</v>
      </c>
      <c r="B11">
        <v>8</v>
      </c>
      <c r="C11">
        <v>177</v>
      </c>
      <c r="D11">
        <v>136</v>
      </c>
      <c r="E11">
        <v>186</v>
      </c>
      <c r="F11" s="733">
        <v>0.78125</v>
      </c>
    </row>
    <row r="12" spans="1:6">
      <c r="A12" s="555" t="s">
        <v>1224</v>
      </c>
      <c r="B12">
        <v>8</v>
      </c>
      <c r="C12">
        <v>181</v>
      </c>
      <c r="D12">
        <v>148</v>
      </c>
      <c r="E12">
        <v>162</v>
      </c>
      <c r="F12" s="733">
        <v>0.82359649122807022</v>
      </c>
    </row>
    <row r="13" spans="1:6">
      <c r="A13" s="555" t="s">
        <v>448</v>
      </c>
      <c r="B13">
        <v>160</v>
      </c>
      <c r="C13">
        <v>3508</v>
      </c>
      <c r="D13">
        <v>2030</v>
      </c>
      <c r="E13">
        <v>2317</v>
      </c>
      <c r="F13" s="733">
        <v>0.59199567453243929</v>
      </c>
    </row>
  </sheetData>
  <phoneticPr fontId="6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>
    <tabColor theme="4" tint="0.79998168889431442"/>
    <pageSetUpPr fitToPage="1"/>
  </sheetPr>
  <dimension ref="A1:R187"/>
  <sheetViews>
    <sheetView zoomScale="85" zoomScaleNormal="85" workbookViewId="0">
      <pane ySplit="2" topLeftCell="A57" activePane="bottomLeft" state="frozen"/>
      <selection activeCell="G21" sqref="G21"/>
      <selection pane="bottomLeft" activeCell="P89" sqref="P89"/>
    </sheetView>
  </sheetViews>
  <sheetFormatPr defaultRowHeight="16.5"/>
  <cols>
    <col min="1" max="1" width="8.25" style="2" bestFit="1" customWidth="1"/>
    <col min="2" max="2" width="9" style="2"/>
    <col min="5" max="5" width="8" bestFit="1" customWidth="1"/>
    <col min="6" max="6" width="8" customWidth="1"/>
    <col min="7" max="7" width="70.75" bestFit="1" customWidth="1"/>
    <col min="8" max="8" width="9.625" style="2" customWidth="1"/>
    <col min="9" max="9" width="10.25" style="2" customWidth="1"/>
    <col min="10" max="11" width="9.75" style="2" bestFit="1" customWidth="1"/>
    <col min="12" max="12" width="12.75" style="2" bestFit="1" customWidth="1"/>
    <col min="13" max="15" width="8.75" style="2" bestFit="1" customWidth="1"/>
    <col min="16" max="16" width="8.375" customWidth="1"/>
    <col min="17" max="17" width="8.375" style="2" customWidth="1"/>
  </cols>
  <sheetData>
    <row r="1" spans="1:18" s="263" customFormat="1" ht="18" customHeight="1" thickBot="1">
      <c r="A1" s="459" t="s">
        <v>753</v>
      </c>
      <c r="B1" s="459" t="s">
        <v>752</v>
      </c>
      <c r="C1" s="459" t="s">
        <v>751</v>
      </c>
      <c r="D1" s="459" t="s">
        <v>750</v>
      </c>
      <c r="E1" s="459" t="s">
        <v>12</v>
      </c>
      <c r="F1" s="459"/>
      <c r="G1" s="460" t="s">
        <v>11</v>
      </c>
      <c r="H1" s="459" t="s">
        <v>749</v>
      </c>
      <c r="I1" s="459" t="s">
        <v>748</v>
      </c>
      <c r="J1" s="459" t="s">
        <v>747</v>
      </c>
      <c r="K1" s="459" t="s">
        <v>746</v>
      </c>
      <c r="L1" s="461" t="s">
        <v>745</v>
      </c>
      <c r="M1" s="462" t="s">
        <v>10</v>
      </c>
      <c r="N1" s="462" t="s">
        <v>744</v>
      </c>
      <c r="O1" s="463" t="s">
        <v>743</v>
      </c>
      <c r="P1" s="464" t="s">
        <v>742</v>
      </c>
      <c r="Q1" s="465" t="s">
        <v>741</v>
      </c>
    </row>
    <row r="2" spans="1:18" s="1" customFormat="1" ht="18" customHeight="1" thickBot="1">
      <c r="A2" s="1240" t="s">
        <v>498</v>
      </c>
      <c r="B2" s="1241"/>
      <c r="C2" s="1241"/>
      <c r="D2" s="1241"/>
      <c r="E2" s="1241"/>
      <c r="F2" s="1241"/>
      <c r="G2" s="1241"/>
      <c r="H2" s="466" t="s">
        <v>740</v>
      </c>
      <c r="I2" s="467">
        <f>COUNTIFS(E3:E173,"국")</f>
        <v>72</v>
      </c>
      <c r="J2" s="468" t="s">
        <v>739</v>
      </c>
      <c r="K2" s="466">
        <f>COUNTIFS(E3:E173,"계")</f>
        <v>93</v>
      </c>
      <c r="L2" s="469"/>
      <c r="M2" s="470">
        <f>SUM(M3:M175)</f>
        <v>3596</v>
      </c>
      <c r="N2" s="470">
        <f>SUM(N3:N175)</f>
        <v>2508</v>
      </c>
      <c r="O2" s="466">
        <f>SUM(O3:O175)</f>
        <v>2887</v>
      </c>
      <c r="P2" s="471">
        <f t="shared" ref="P2:P33" si="0">N2/M2</f>
        <v>0.69744160177975534</v>
      </c>
      <c r="Q2" s="472">
        <f t="shared" ref="Q2:Q33" si="1">O2/M2</f>
        <v>0.80283648498331484</v>
      </c>
    </row>
    <row r="3" spans="1:18" s="326" customFormat="1" ht="17.25" customHeight="1">
      <c r="A3" s="347">
        <v>1</v>
      </c>
      <c r="B3" s="257" t="s">
        <v>738</v>
      </c>
      <c r="C3" s="369" t="s">
        <v>520</v>
      </c>
      <c r="D3" s="369" t="s">
        <v>579</v>
      </c>
      <c r="E3" s="369" t="s">
        <v>502</v>
      </c>
      <c r="F3" s="369" t="s">
        <v>660</v>
      </c>
      <c r="G3" s="473" t="s">
        <v>754</v>
      </c>
      <c r="H3" s="369">
        <v>135</v>
      </c>
      <c r="I3" s="369">
        <v>600</v>
      </c>
      <c r="J3" s="370">
        <v>44572</v>
      </c>
      <c r="K3" s="370">
        <v>44775</v>
      </c>
      <c r="L3" s="371">
        <v>3310260</v>
      </c>
      <c r="M3" s="277">
        <v>20</v>
      </c>
      <c r="N3" s="277">
        <v>18</v>
      </c>
      <c r="O3" s="372">
        <v>21</v>
      </c>
      <c r="P3" s="319">
        <f t="shared" si="0"/>
        <v>0.9</v>
      </c>
      <c r="Q3" s="332">
        <f t="shared" si="1"/>
        <v>1.05</v>
      </c>
    </row>
    <row r="4" spans="1:18" s="326" customFormat="1" ht="17.25" customHeight="1">
      <c r="A4" s="418">
        <v>2</v>
      </c>
      <c r="B4" s="81" t="s">
        <v>738</v>
      </c>
      <c r="C4" s="250" t="s">
        <v>517</v>
      </c>
      <c r="D4" s="250" t="s">
        <v>525</v>
      </c>
      <c r="E4" s="250" t="s">
        <v>502</v>
      </c>
      <c r="F4" s="250" t="s">
        <v>648</v>
      </c>
      <c r="G4" s="89" t="s">
        <v>755</v>
      </c>
      <c r="H4" s="250">
        <v>118</v>
      </c>
      <c r="I4" s="250">
        <v>944</v>
      </c>
      <c r="J4" s="251">
        <v>44579</v>
      </c>
      <c r="K4" s="251">
        <v>44750</v>
      </c>
      <c r="L4" s="252">
        <v>8067420</v>
      </c>
      <c r="M4" s="254">
        <v>35</v>
      </c>
      <c r="N4" s="254">
        <v>32</v>
      </c>
      <c r="O4" s="322">
        <v>35</v>
      </c>
      <c r="P4" s="318">
        <f t="shared" si="0"/>
        <v>0.91428571428571426</v>
      </c>
      <c r="Q4" s="324">
        <f t="shared" si="1"/>
        <v>1</v>
      </c>
    </row>
    <row r="5" spans="1:18" s="326" customFormat="1" ht="17.25" customHeight="1">
      <c r="A5" s="418">
        <v>3</v>
      </c>
      <c r="B5" s="81" t="s">
        <v>738</v>
      </c>
      <c r="C5" s="250" t="s">
        <v>517</v>
      </c>
      <c r="D5" s="250" t="s">
        <v>525</v>
      </c>
      <c r="E5" s="250" t="s">
        <v>502</v>
      </c>
      <c r="F5" s="250"/>
      <c r="G5" s="89" t="s">
        <v>737</v>
      </c>
      <c r="H5" s="250">
        <v>104</v>
      </c>
      <c r="I5" s="250">
        <v>945</v>
      </c>
      <c r="J5" s="251">
        <v>44586</v>
      </c>
      <c r="K5" s="251">
        <v>44743</v>
      </c>
      <c r="L5" s="252">
        <v>5388980</v>
      </c>
      <c r="M5" s="254">
        <v>35</v>
      </c>
      <c r="N5" s="254">
        <v>32</v>
      </c>
      <c r="O5" s="322">
        <v>35</v>
      </c>
      <c r="P5" s="318">
        <f t="shared" si="0"/>
        <v>0.91428571428571426</v>
      </c>
      <c r="Q5" s="324">
        <f t="shared" si="1"/>
        <v>1</v>
      </c>
    </row>
    <row r="6" spans="1:18" ht="17.25" thickBot="1">
      <c r="A6" s="418">
        <v>4</v>
      </c>
      <c r="B6" s="437" t="s">
        <v>736</v>
      </c>
      <c r="C6" s="373" t="s">
        <v>537</v>
      </c>
      <c r="D6" s="373" t="s">
        <v>509</v>
      </c>
      <c r="E6" s="373" t="s">
        <v>529</v>
      </c>
      <c r="F6" s="373"/>
      <c r="G6" s="374" t="s">
        <v>735</v>
      </c>
      <c r="H6" s="373">
        <v>98</v>
      </c>
      <c r="I6" s="373">
        <v>875</v>
      </c>
      <c r="J6" s="375">
        <v>44588</v>
      </c>
      <c r="K6" s="375">
        <v>44754</v>
      </c>
      <c r="L6" s="376">
        <v>5579610</v>
      </c>
      <c r="M6" s="279">
        <v>30</v>
      </c>
      <c r="N6" s="279">
        <v>29</v>
      </c>
      <c r="O6" s="377">
        <v>30</v>
      </c>
      <c r="P6" s="330">
        <f t="shared" si="0"/>
        <v>0.96666666666666667</v>
      </c>
      <c r="Q6" s="331">
        <f t="shared" si="1"/>
        <v>1</v>
      </c>
      <c r="R6" s="281">
        <f>SUM(N3:N6)/SUM(M3:M6)</f>
        <v>0.92500000000000004</v>
      </c>
    </row>
    <row r="7" spans="1:18">
      <c r="A7" s="418">
        <v>5</v>
      </c>
      <c r="B7" s="257" t="s">
        <v>730</v>
      </c>
      <c r="C7" s="224" t="s">
        <v>624</v>
      </c>
      <c r="D7" s="224" t="s">
        <v>574</v>
      </c>
      <c r="E7" s="224" t="s">
        <v>498</v>
      </c>
      <c r="F7" s="224" t="s">
        <v>643</v>
      </c>
      <c r="G7" s="245" t="s">
        <v>666</v>
      </c>
      <c r="H7" s="224">
        <v>64</v>
      </c>
      <c r="I7" s="224">
        <v>320</v>
      </c>
      <c r="J7" s="225">
        <v>44606</v>
      </c>
      <c r="K7" s="225">
        <v>44699</v>
      </c>
      <c r="L7" s="112">
        <v>2069760</v>
      </c>
      <c r="M7" s="277">
        <v>17</v>
      </c>
      <c r="N7" s="259">
        <v>10</v>
      </c>
      <c r="O7" s="284">
        <v>12</v>
      </c>
      <c r="P7" s="319">
        <f t="shared" si="0"/>
        <v>0.58823529411764708</v>
      </c>
      <c r="Q7" s="323">
        <f t="shared" si="1"/>
        <v>0.70588235294117652</v>
      </c>
    </row>
    <row r="8" spans="1:18">
      <c r="A8" s="418">
        <v>6</v>
      </c>
      <c r="B8" s="81" t="s">
        <v>730</v>
      </c>
      <c r="C8" s="82" t="s">
        <v>517</v>
      </c>
      <c r="D8" s="82" t="s">
        <v>525</v>
      </c>
      <c r="E8" s="82" t="s">
        <v>502</v>
      </c>
      <c r="F8" s="82"/>
      <c r="G8" s="256" t="s">
        <v>734</v>
      </c>
      <c r="H8" s="82">
        <v>98</v>
      </c>
      <c r="I8" s="82">
        <v>782</v>
      </c>
      <c r="J8" s="84">
        <v>44607</v>
      </c>
      <c r="K8" s="84">
        <v>44747</v>
      </c>
      <c r="L8" s="86">
        <v>5151810</v>
      </c>
      <c r="M8" s="254">
        <v>21</v>
      </c>
      <c r="N8" s="254">
        <v>21</v>
      </c>
      <c r="O8" s="109">
        <v>21</v>
      </c>
      <c r="P8" s="318">
        <f t="shared" si="0"/>
        <v>1</v>
      </c>
      <c r="Q8" s="312">
        <f t="shared" si="1"/>
        <v>1</v>
      </c>
    </row>
    <row r="9" spans="1:18">
      <c r="A9" s="418">
        <v>7</v>
      </c>
      <c r="B9" s="81" t="s">
        <v>730</v>
      </c>
      <c r="C9" s="83" t="s">
        <v>568</v>
      </c>
      <c r="D9" s="83" t="s">
        <v>574</v>
      </c>
      <c r="E9" s="83" t="s">
        <v>502</v>
      </c>
      <c r="F9" s="83" t="s">
        <v>660</v>
      </c>
      <c r="G9" s="88" t="s">
        <v>756</v>
      </c>
      <c r="H9" s="83">
        <v>183</v>
      </c>
      <c r="I9" s="83">
        <v>870</v>
      </c>
      <c r="J9" s="85">
        <v>44617</v>
      </c>
      <c r="K9" s="85">
        <v>44881</v>
      </c>
      <c r="L9" s="87">
        <v>5420970</v>
      </c>
      <c r="M9" s="255">
        <v>20</v>
      </c>
      <c r="N9" s="255">
        <v>18</v>
      </c>
      <c r="O9" s="110">
        <v>27</v>
      </c>
      <c r="P9" s="318">
        <f t="shared" si="0"/>
        <v>0.9</v>
      </c>
      <c r="Q9" s="312">
        <f t="shared" si="1"/>
        <v>1.35</v>
      </c>
    </row>
    <row r="10" spans="1:18">
      <c r="A10" s="418">
        <v>8</v>
      </c>
      <c r="B10" s="81" t="s">
        <v>730</v>
      </c>
      <c r="C10" s="82" t="s">
        <v>517</v>
      </c>
      <c r="D10" s="82" t="s">
        <v>489</v>
      </c>
      <c r="E10" s="82" t="s">
        <v>502</v>
      </c>
      <c r="F10" s="82"/>
      <c r="G10" s="256" t="s">
        <v>733</v>
      </c>
      <c r="H10" s="82">
        <v>103</v>
      </c>
      <c r="I10" s="82">
        <v>820</v>
      </c>
      <c r="J10" s="84">
        <v>44620</v>
      </c>
      <c r="K10" s="84">
        <v>44791</v>
      </c>
      <c r="L10" s="86">
        <v>5402160</v>
      </c>
      <c r="M10" s="254">
        <v>30</v>
      </c>
      <c r="N10" s="254">
        <v>27</v>
      </c>
      <c r="O10" s="109">
        <v>28</v>
      </c>
      <c r="P10" s="318">
        <f t="shared" si="0"/>
        <v>0.9</v>
      </c>
      <c r="Q10" s="312">
        <f t="shared" si="1"/>
        <v>0.93333333333333335</v>
      </c>
    </row>
    <row r="11" spans="1:18">
      <c r="A11" s="418">
        <v>9</v>
      </c>
      <c r="B11" s="81" t="s">
        <v>730</v>
      </c>
      <c r="C11" s="83" t="s">
        <v>624</v>
      </c>
      <c r="D11" s="83" t="s">
        <v>604</v>
      </c>
      <c r="E11" s="83" t="s">
        <v>498</v>
      </c>
      <c r="F11" s="83"/>
      <c r="G11" s="90" t="s">
        <v>732</v>
      </c>
      <c r="H11" s="83">
        <v>44</v>
      </c>
      <c r="I11" s="83">
        <v>220</v>
      </c>
      <c r="J11" s="85">
        <v>44620</v>
      </c>
      <c r="K11" s="85">
        <v>44727</v>
      </c>
      <c r="L11" s="86">
        <v>1422960</v>
      </c>
      <c r="M11" s="255">
        <v>10</v>
      </c>
      <c r="N11" s="254">
        <v>5</v>
      </c>
      <c r="O11" s="110">
        <v>5</v>
      </c>
      <c r="P11" s="318">
        <f t="shared" si="0"/>
        <v>0.5</v>
      </c>
      <c r="Q11" s="312">
        <f t="shared" si="1"/>
        <v>0.5</v>
      </c>
    </row>
    <row r="12" spans="1:18" s="14" customFormat="1">
      <c r="A12" s="475">
        <v>10</v>
      </c>
      <c r="B12" s="422" t="s">
        <v>730</v>
      </c>
      <c r="C12" s="275" t="s">
        <v>495</v>
      </c>
      <c r="D12" s="275" t="s">
        <v>525</v>
      </c>
      <c r="E12" s="275" t="s">
        <v>498</v>
      </c>
      <c r="F12" s="275"/>
      <c r="G12" s="299" t="s">
        <v>731</v>
      </c>
      <c r="H12" s="275">
        <v>34</v>
      </c>
      <c r="I12" s="275">
        <v>135</v>
      </c>
      <c r="J12" s="300">
        <v>44618</v>
      </c>
      <c r="K12" s="300">
        <v>44710</v>
      </c>
      <c r="L12" s="301">
        <v>977630</v>
      </c>
      <c r="M12" s="302">
        <v>20</v>
      </c>
      <c r="N12" s="380">
        <v>9</v>
      </c>
      <c r="O12" s="402">
        <v>9</v>
      </c>
      <c r="P12" s="381">
        <f t="shared" si="0"/>
        <v>0.45</v>
      </c>
      <c r="Q12" s="403">
        <f t="shared" si="1"/>
        <v>0.45</v>
      </c>
    </row>
    <row r="13" spans="1:18" s="14" customFormat="1" ht="17.25" thickBot="1">
      <c r="A13" s="475">
        <v>11</v>
      </c>
      <c r="B13" s="413" t="s">
        <v>730</v>
      </c>
      <c r="C13" s="382" t="s">
        <v>495</v>
      </c>
      <c r="D13" s="382" t="s">
        <v>525</v>
      </c>
      <c r="E13" s="382" t="s">
        <v>498</v>
      </c>
      <c r="F13" s="382"/>
      <c r="G13" s="383" t="s">
        <v>729</v>
      </c>
      <c r="H13" s="382">
        <v>34</v>
      </c>
      <c r="I13" s="382">
        <v>135</v>
      </c>
      <c r="J13" s="384">
        <v>44613</v>
      </c>
      <c r="K13" s="384">
        <v>44734</v>
      </c>
      <c r="L13" s="340">
        <v>977630</v>
      </c>
      <c r="M13" s="385">
        <v>20</v>
      </c>
      <c r="N13" s="386">
        <v>7</v>
      </c>
      <c r="O13" s="298">
        <v>7</v>
      </c>
      <c r="P13" s="325">
        <f t="shared" si="0"/>
        <v>0.35</v>
      </c>
      <c r="Q13" s="321">
        <f t="shared" si="1"/>
        <v>0.35</v>
      </c>
      <c r="R13" s="476">
        <f>SUM(N7:N13)/SUM(M7:M13)</f>
        <v>0.70289855072463769</v>
      </c>
    </row>
    <row r="14" spans="1:18">
      <c r="A14" s="418">
        <v>12</v>
      </c>
      <c r="B14" s="257" t="s">
        <v>715</v>
      </c>
      <c r="C14" s="113" t="s">
        <v>537</v>
      </c>
      <c r="D14" s="113" t="s">
        <v>499</v>
      </c>
      <c r="E14" s="113" t="s">
        <v>502</v>
      </c>
      <c r="F14" s="113"/>
      <c r="G14" s="269" t="s">
        <v>728</v>
      </c>
      <c r="H14" s="113">
        <v>98</v>
      </c>
      <c r="I14" s="113">
        <v>782</v>
      </c>
      <c r="J14" s="264">
        <v>44623</v>
      </c>
      <c r="K14" s="264">
        <v>44767</v>
      </c>
      <c r="L14" s="112">
        <v>5151810</v>
      </c>
      <c r="M14" s="259">
        <v>35</v>
      </c>
      <c r="N14" s="259">
        <v>35</v>
      </c>
      <c r="O14" s="265">
        <v>35</v>
      </c>
      <c r="P14" s="319">
        <f t="shared" si="0"/>
        <v>1</v>
      </c>
      <c r="Q14" s="323">
        <f t="shared" si="1"/>
        <v>1</v>
      </c>
    </row>
    <row r="15" spans="1:18">
      <c r="A15" s="418">
        <v>13</v>
      </c>
      <c r="B15" s="81" t="s">
        <v>715</v>
      </c>
      <c r="C15" s="83" t="s">
        <v>600</v>
      </c>
      <c r="D15" s="83" t="s">
        <v>499</v>
      </c>
      <c r="E15" s="83" t="s">
        <v>529</v>
      </c>
      <c r="F15" s="83" t="s">
        <v>727</v>
      </c>
      <c r="G15" s="90" t="s">
        <v>757</v>
      </c>
      <c r="H15" s="83">
        <v>135</v>
      </c>
      <c r="I15" s="83">
        <v>675</v>
      </c>
      <c r="J15" s="85">
        <v>44623</v>
      </c>
      <c r="K15" s="85">
        <v>44818</v>
      </c>
      <c r="L15" s="86">
        <v>4417870</v>
      </c>
      <c r="M15" s="255">
        <v>20</v>
      </c>
      <c r="N15" s="254">
        <v>19</v>
      </c>
      <c r="O15" s="110">
        <v>19</v>
      </c>
      <c r="P15" s="318">
        <f t="shared" si="0"/>
        <v>0.95</v>
      </c>
      <c r="Q15" s="312">
        <f t="shared" si="1"/>
        <v>0.95</v>
      </c>
    </row>
    <row r="16" spans="1:18">
      <c r="A16" s="418">
        <v>14</v>
      </c>
      <c r="B16" s="81" t="s">
        <v>715</v>
      </c>
      <c r="C16" s="83" t="s">
        <v>533</v>
      </c>
      <c r="D16" s="83" t="s">
        <v>532</v>
      </c>
      <c r="E16" s="83" t="s">
        <v>543</v>
      </c>
      <c r="F16" s="83" t="s">
        <v>622</v>
      </c>
      <c r="G16" s="88" t="s">
        <v>726</v>
      </c>
      <c r="H16" s="83">
        <v>120</v>
      </c>
      <c r="I16" s="83">
        <v>360</v>
      </c>
      <c r="J16" s="85">
        <v>44630</v>
      </c>
      <c r="K16" s="85">
        <v>44803</v>
      </c>
      <c r="L16" s="87">
        <v>2243160</v>
      </c>
      <c r="M16" s="255">
        <v>12</v>
      </c>
      <c r="N16" s="255">
        <v>11</v>
      </c>
      <c r="O16" s="110">
        <v>11</v>
      </c>
      <c r="P16" s="318">
        <f t="shared" si="0"/>
        <v>0.91666666666666663</v>
      </c>
      <c r="Q16" s="312">
        <f t="shared" si="1"/>
        <v>0.91666666666666663</v>
      </c>
    </row>
    <row r="17" spans="1:18" s="1" customFormat="1" ht="17.25" customHeight="1">
      <c r="A17" s="418">
        <v>15</v>
      </c>
      <c r="B17" s="81" t="s">
        <v>715</v>
      </c>
      <c r="C17" s="82" t="s">
        <v>517</v>
      </c>
      <c r="D17" s="82" t="s">
        <v>628</v>
      </c>
      <c r="E17" s="82" t="s">
        <v>543</v>
      </c>
      <c r="F17" s="82" t="s">
        <v>643</v>
      </c>
      <c r="G17" s="280" t="s">
        <v>725</v>
      </c>
      <c r="H17" s="82">
        <v>70</v>
      </c>
      <c r="I17" s="82">
        <v>280</v>
      </c>
      <c r="J17" s="84">
        <v>44635</v>
      </c>
      <c r="K17" s="84">
        <v>44735</v>
      </c>
      <c r="L17" s="86">
        <v>1844640</v>
      </c>
      <c r="M17" s="254">
        <v>30</v>
      </c>
      <c r="N17" s="254">
        <v>16</v>
      </c>
      <c r="O17" s="109">
        <v>17</v>
      </c>
      <c r="P17" s="318">
        <f t="shared" si="0"/>
        <v>0.53333333333333333</v>
      </c>
      <c r="Q17" s="312">
        <f t="shared" si="1"/>
        <v>0.56666666666666665</v>
      </c>
    </row>
    <row r="18" spans="1:18">
      <c r="A18" s="418">
        <v>16</v>
      </c>
      <c r="B18" s="81" t="s">
        <v>715</v>
      </c>
      <c r="C18" s="82" t="s">
        <v>517</v>
      </c>
      <c r="D18" s="82" t="s">
        <v>509</v>
      </c>
      <c r="E18" s="82" t="s">
        <v>543</v>
      </c>
      <c r="F18" s="82"/>
      <c r="G18" s="256" t="s">
        <v>724</v>
      </c>
      <c r="H18" s="82">
        <v>38</v>
      </c>
      <c r="I18" s="82">
        <v>190</v>
      </c>
      <c r="J18" s="84">
        <v>44635</v>
      </c>
      <c r="K18" s="84">
        <v>44687</v>
      </c>
      <c r="L18" s="86">
        <v>1391560</v>
      </c>
      <c r="M18" s="254">
        <v>22</v>
      </c>
      <c r="N18" s="254">
        <v>9</v>
      </c>
      <c r="O18" s="109">
        <v>10</v>
      </c>
      <c r="P18" s="318">
        <f t="shared" si="0"/>
        <v>0.40909090909090912</v>
      </c>
      <c r="Q18" s="312">
        <f t="shared" si="1"/>
        <v>0.45454545454545453</v>
      </c>
    </row>
    <row r="19" spans="1:18">
      <c r="A19" s="418">
        <v>17</v>
      </c>
      <c r="B19" s="81" t="s">
        <v>715</v>
      </c>
      <c r="C19" s="83" t="s">
        <v>568</v>
      </c>
      <c r="D19" s="83" t="s">
        <v>509</v>
      </c>
      <c r="E19" s="83" t="s">
        <v>543</v>
      </c>
      <c r="F19" s="83"/>
      <c r="G19" s="88" t="s">
        <v>723</v>
      </c>
      <c r="H19" s="83">
        <v>124</v>
      </c>
      <c r="I19" s="83">
        <v>370</v>
      </c>
      <c r="J19" s="85">
        <v>44635</v>
      </c>
      <c r="K19" s="85">
        <v>44819</v>
      </c>
      <c r="L19" s="87">
        <v>2305470</v>
      </c>
      <c r="M19" s="255">
        <v>13</v>
      </c>
      <c r="N19" s="255">
        <v>13</v>
      </c>
      <c r="O19" s="110">
        <v>13</v>
      </c>
      <c r="P19" s="318">
        <f t="shared" si="0"/>
        <v>1</v>
      </c>
      <c r="Q19" s="312">
        <f t="shared" si="1"/>
        <v>1</v>
      </c>
    </row>
    <row r="20" spans="1:18">
      <c r="A20" s="418">
        <v>18</v>
      </c>
      <c r="B20" s="81" t="s">
        <v>715</v>
      </c>
      <c r="C20" s="360" t="s">
        <v>520</v>
      </c>
      <c r="D20" s="83" t="s">
        <v>499</v>
      </c>
      <c r="E20" s="83" t="s">
        <v>498</v>
      </c>
      <c r="F20" s="83" t="s">
        <v>622</v>
      </c>
      <c r="G20" s="90" t="s">
        <v>667</v>
      </c>
      <c r="H20" s="83">
        <v>75</v>
      </c>
      <c r="I20" s="83">
        <v>300</v>
      </c>
      <c r="J20" s="85">
        <v>44635</v>
      </c>
      <c r="K20" s="85">
        <v>44741</v>
      </c>
      <c r="L20" s="87">
        <v>1869300</v>
      </c>
      <c r="M20" s="255">
        <v>20</v>
      </c>
      <c r="N20" s="255">
        <v>8</v>
      </c>
      <c r="O20" s="110">
        <v>8</v>
      </c>
      <c r="P20" s="318">
        <f t="shared" si="0"/>
        <v>0.4</v>
      </c>
      <c r="Q20" s="312">
        <f t="shared" si="1"/>
        <v>0.4</v>
      </c>
    </row>
    <row r="21" spans="1:18">
      <c r="A21" s="418">
        <v>19</v>
      </c>
      <c r="B21" s="81" t="s">
        <v>715</v>
      </c>
      <c r="C21" s="360" t="s">
        <v>520</v>
      </c>
      <c r="D21" s="83" t="s">
        <v>579</v>
      </c>
      <c r="E21" s="83" t="s">
        <v>543</v>
      </c>
      <c r="F21" s="83" t="s">
        <v>622</v>
      </c>
      <c r="G21" s="88" t="s">
        <v>578</v>
      </c>
      <c r="H21" s="83">
        <v>80</v>
      </c>
      <c r="I21" s="83">
        <v>320</v>
      </c>
      <c r="J21" s="85">
        <v>44635</v>
      </c>
      <c r="K21" s="85">
        <v>44749</v>
      </c>
      <c r="L21" s="87">
        <v>2012160</v>
      </c>
      <c r="M21" s="255">
        <v>22</v>
      </c>
      <c r="N21" s="255">
        <v>10</v>
      </c>
      <c r="O21" s="110">
        <v>13</v>
      </c>
      <c r="P21" s="318">
        <f t="shared" si="0"/>
        <v>0.45454545454545453</v>
      </c>
      <c r="Q21" s="312">
        <f t="shared" si="1"/>
        <v>0.59090909090909094</v>
      </c>
    </row>
    <row r="22" spans="1:18">
      <c r="A22" s="418">
        <v>20</v>
      </c>
      <c r="B22" s="81" t="s">
        <v>719</v>
      </c>
      <c r="C22" s="82" t="s">
        <v>537</v>
      </c>
      <c r="D22" s="82" t="s">
        <v>574</v>
      </c>
      <c r="E22" s="82" t="s">
        <v>529</v>
      </c>
      <c r="F22" s="82"/>
      <c r="G22" s="256" t="s">
        <v>722</v>
      </c>
      <c r="H22" s="82">
        <v>117</v>
      </c>
      <c r="I22" s="82">
        <v>936</v>
      </c>
      <c r="J22" s="84">
        <v>44637</v>
      </c>
      <c r="K22" s="84">
        <v>44804</v>
      </c>
      <c r="L22" s="86">
        <v>6166360</v>
      </c>
      <c r="M22" s="254">
        <v>33</v>
      </c>
      <c r="N22" s="254">
        <v>33</v>
      </c>
      <c r="O22" s="109">
        <v>34</v>
      </c>
      <c r="P22" s="318">
        <f t="shared" si="0"/>
        <v>1</v>
      </c>
      <c r="Q22" s="312">
        <f t="shared" si="1"/>
        <v>1.0303030303030303</v>
      </c>
    </row>
    <row r="23" spans="1:18">
      <c r="A23" s="418">
        <v>21</v>
      </c>
      <c r="B23" s="81" t="s">
        <v>719</v>
      </c>
      <c r="C23" s="83" t="s">
        <v>533</v>
      </c>
      <c r="D23" s="83" t="s">
        <v>559</v>
      </c>
      <c r="E23" s="83" t="s">
        <v>498</v>
      </c>
      <c r="F23" s="83"/>
      <c r="G23" s="88" t="s">
        <v>721</v>
      </c>
      <c r="H23" s="83">
        <v>124</v>
      </c>
      <c r="I23" s="83">
        <v>370</v>
      </c>
      <c r="J23" s="85">
        <v>44638</v>
      </c>
      <c r="K23" s="85">
        <v>44823</v>
      </c>
      <c r="L23" s="87">
        <v>2305470</v>
      </c>
      <c r="M23" s="255">
        <v>13</v>
      </c>
      <c r="N23" s="255">
        <v>12</v>
      </c>
      <c r="O23" s="110">
        <v>14</v>
      </c>
      <c r="P23" s="318">
        <f t="shared" si="0"/>
        <v>0.92307692307692313</v>
      </c>
      <c r="Q23" s="312">
        <f t="shared" si="1"/>
        <v>1.0769230769230769</v>
      </c>
    </row>
    <row r="24" spans="1:18">
      <c r="A24" s="418">
        <v>22</v>
      </c>
      <c r="B24" s="81" t="s">
        <v>715</v>
      </c>
      <c r="C24" s="83" t="s">
        <v>626</v>
      </c>
      <c r="D24" s="83" t="s">
        <v>574</v>
      </c>
      <c r="E24" s="83" t="s">
        <v>543</v>
      </c>
      <c r="F24" s="83" t="s">
        <v>643</v>
      </c>
      <c r="G24" s="90" t="s">
        <v>644</v>
      </c>
      <c r="H24" s="83">
        <v>52</v>
      </c>
      <c r="I24" s="83">
        <v>260</v>
      </c>
      <c r="J24" s="85">
        <v>44641</v>
      </c>
      <c r="K24" s="85">
        <v>44735</v>
      </c>
      <c r="L24" s="86">
        <v>1681680</v>
      </c>
      <c r="M24" s="255">
        <v>10</v>
      </c>
      <c r="N24" s="254">
        <v>7</v>
      </c>
      <c r="O24" s="110">
        <v>8</v>
      </c>
      <c r="P24" s="318">
        <f t="shared" si="0"/>
        <v>0.7</v>
      </c>
      <c r="Q24" s="312">
        <f t="shared" si="1"/>
        <v>0.8</v>
      </c>
    </row>
    <row r="25" spans="1:18">
      <c r="A25" s="418">
        <v>23</v>
      </c>
      <c r="B25" s="81" t="s">
        <v>719</v>
      </c>
      <c r="C25" s="82" t="s">
        <v>537</v>
      </c>
      <c r="D25" s="82" t="s">
        <v>574</v>
      </c>
      <c r="E25" s="82" t="s">
        <v>502</v>
      </c>
      <c r="F25" s="82"/>
      <c r="G25" s="256" t="s">
        <v>580</v>
      </c>
      <c r="H25" s="82">
        <v>92</v>
      </c>
      <c r="I25" s="82">
        <v>736</v>
      </c>
      <c r="J25" s="84">
        <v>44644</v>
      </c>
      <c r="K25" s="84">
        <v>44775</v>
      </c>
      <c r="L25" s="86">
        <v>4848760</v>
      </c>
      <c r="M25" s="254">
        <v>20</v>
      </c>
      <c r="N25" s="254">
        <v>20</v>
      </c>
      <c r="O25" s="109">
        <v>26</v>
      </c>
      <c r="P25" s="318">
        <f t="shared" si="0"/>
        <v>1</v>
      </c>
      <c r="Q25" s="312">
        <f t="shared" si="1"/>
        <v>1.3</v>
      </c>
    </row>
    <row r="26" spans="1:18">
      <c r="A26" s="418">
        <v>24</v>
      </c>
      <c r="B26" s="81" t="s">
        <v>719</v>
      </c>
      <c r="C26" s="82" t="s">
        <v>517</v>
      </c>
      <c r="D26" s="82" t="s">
        <v>530</v>
      </c>
      <c r="E26" s="82" t="s">
        <v>529</v>
      </c>
      <c r="F26" s="82"/>
      <c r="G26" s="256" t="s">
        <v>720</v>
      </c>
      <c r="H26" s="82">
        <v>92</v>
      </c>
      <c r="I26" s="82">
        <v>736</v>
      </c>
      <c r="J26" s="84">
        <v>44649</v>
      </c>
      <c r="K26" s="84">
        <v>44778</v>
      </c>
      <c r="L26" s="86">
        <v>4838460</v>
      </c>
      <c r="M26" s="254">
        <v>20</v>
      </c>
      <c r="N26" s="254">
        <v>15</v>
      </c>
      <c r="O26" s="109">
        <v>16</v>
      </c>
      <c r="P26" s="318">
        <f t="shared" si="0"/>
        <v>0.75</v>
      </c>
      <c r="Q26" s="312">
        <f t="shared" si="1"/>
        <v>0.8</v>
      </c>
    </row>
    <row r="27" spans="1:18">
      <c r="A27" s="418">
        <v>25</v>
      </c>
      <c r="B27" s="81" t="s">
        <v>719</v>
      </c>
      <c r="C27" s="83" t="s">
        <v>600</v>
      </c>
      <c r="D27" s="83" t="s">
        <v>499</v>
      </c>
      <c r="E27" s="83" t="s">
        <v>498</v>
      </c>
      <c r="F27" s="83" t="s">
        <v>643</v>
      </c>
      <c r="G27" s="90" t="s">
        <v>718</v>
      </c>
      <c r="H27" s="83">
        <v>58</v>
      </c>
      <c r="I27" s="83">
        <v>290</v>
      </c>
      <c r="J27" s="85">
        <v>44649</v>
      </c>
      <c r="K27" s="85">
        <v>44733</v>
      </c>
      <c r="L27" s="86">
        <v>1806990</v>
      </c>
      <c r="M27" s="255">
        <v>20</v>
      </c>
      <c r="N27" s="254">
        <v>16</v>
      </c>
      <c r="O27" s="110">
        <v>18</v>
      </c>
      <c r="P27" s="318">
        <f t="shared" si="0"/>
        <v>0.8</v>
      </c>
      <c r="Q27" s="312">
        <f t="shared" si="1"/>
        <v>0.9</v>
      </c>
    </row>
    <row r="28" spans="1:18">
      <c r="A28" s="418">
        <v>26</v>
      </c>
      <c r="B28" s="81" t="s">
        <v>715</v>
      </c>
      <c r="C28" s="83" t="s">
        <v>626</v>
      </c>
      <c r="D28" s="83" t="s">
        <v>530</v>
      </c>
      <c r="E28" s="83" t="s">
        <v>543</v>
      </c>
      <c r="F28" s="83"/>
      <c r="G28" s="90" t="s">
        <v>717</v>
      </c>
      <c r="H28" s="83">
        <v>51</v>
      </c>
      <c r="I28" s="83">
        <v>255</v>
      </c>
      <c r="J28" s="85">
        <v>44650</v>
      </c>
      <c r="K28" s="85">
        <v>44757</v>
      </c>
      <c r="L28" s="86">
        <v>1649340</v>
      </c>
      <c r="M28" s="255">
        <v>13</v>
      </c>
      <c r="N28" s="254">
        <v>13</v>
      </c>
      <c r="O28" s="110">
        <v>15</v>
      </c>
      <c r="P28" s="318">
        <f t="shared" si="0"/>
        <v>1</v>
      </c>
      <c r="Q28" s="312">
        <f t="shared" si="1"/>
        <v>1.1538461538461537</v>
      </c>
    </row>
    <row r="29" spans="1:18">
      <c r="A29" s="418">
        <v>27</v>
      </c>
      <c r="B29" s="81" t="s">
        <v>715</v>
      </c>
      <c r="C29" s="83" t="s">
        <v>626</v>
      </c>
      <c r="D29" s="83" t="s">
        <v>530</v>
      </c>
      <c r="E29" s="83" t="s">
        <v>543</v>
      </c>
      <c r="F29" s="83"/>
      <c r="G29" s="90" t="s">
        <v>716</v>
      </c>
      <c r="H29" s="83">
        <v>54</v>
      </c>
      <c r="I29" s="83">
        <v>160</v>
      </c>
      <c r="J29" s="85">
        <v>44650</v>
      </c>
      <c r="K29" s="85">
        <v>44728</v>
      </c>
      <c r="L29" s="86">
        <v>1034880</v>
      </c>
      <c r="M29" s="255">
        <v>13</v>
      </c>
      <c r="N29" s="254">
        <v>9</v>
      </c>
      <c r="O29" s="110">
        <v>10</v>
      </c>
      <c r="P29" s="318">
        <f t="shared" si="0"/>
        <v>0.69230769230769229</v>
      </c>
      <c r="Q29" s="324">
        <f t="shared" si="1"/>
        <v>0.76923076923076927</v>
      </c>
    </row>
    <row r="30" spans="1:18" s="14" customFormat="1" ht="17.25" thickBot="1">
      <c r="A30" s="475">
        <v>28</v>
      </c>
      <c r="B30" s="413" t="s">
        <v>715</v>
      </c>
      <c r="C30" s="382" t="s">
        <v>553</v>
      </c>
      <c r="D30" s="382" t="s">
        <v>499</v>
      </c>
      <c r="E30" s="382" t="s">
        <v>498</v>
      </c>
      <c r="F30" s="382"/>
      <c r="G30" s="383" t="s">
        <v>714</v>
      </c>
      <c r="H30" s="382">
        <v>44</v>
      </c>
      <c r="I30" s="382">
        <v>130</v>
      </c>
      <c r="J30" s="384">
        <v>44627</v>
      </c>
      <c r="K30" s="384">
        <v>44690</v>
      </c>
      <c r="L30" s="340">
        <v>1026380</v>
      </c>
      <c r="M30" s="385">
        <v>20</v>
      </c>
      <c r="N30" s="386">
        <v>8</v>
      </c>
      <c r="O30" s="391">
        <v>8</v>
      </c>
      <c r="P30" s="398">
        <f t="shared" si="0"/>
        <v>0.4</v>
      </c>
      <c r="Q30" s="394">
        <f t="shared" si="1"/>
        <v>0.4</v>
      </c>
      <c r="R30" s="476">
        <f>SUM(N14:N30)/SUM(M14:M30)</f>
        <v>0.75595238095238093</v>
      </c>
    </row>
    <row r="31" spans="1:18">
      <c r="A31" s="418">
        <v>29</v>
      </c>
      <c r="B31" s="257" t="s">
        <v>696</v>
      </c>
      <c r="C31" s="224" t="s">
        <v>568</v>
      </c>
      <c r="D31" s="224" t="s">
        <v>614</v>
      </c>
      <c r="E31" s="224" t="s">
        <v>543</v>
      </c>
      <c r="F31" s="224"/>
      <c r="G31" s="285" t="s">
        <v>713</v>
      </c>
      <c r="H31" s="224">
        <v>93</v>
      </c>
      <c r="I31" s="224">
        <v>370</v>
      </c>
      <c r="J31" s="225">
        <v>44656</v>
      </c>
      <c r="K31" s="225">
        <v>44831</v>
      </c>
      <c r="L31" s="283">
        <v>2305470</v>
      </c>
      <c r="M31" s="277">
        <v>14</v>
      </c>
      <c r="N31" s="277">
        <v>10</v>
      </c>
      <c r="O31" s="284">
        <v>12</v>
      </c>
      <c r="P31" s="319">
        <f t="shared" si="0"/>
        <v>0.7142857142857143</v>
      </c>
      <c r="Q31" s="332">
        <f t="shared" si="1"/>
        <v>0.8571428571428571</v>
      </c>
    </row>
    <row r="32" spans="1:18">
      <c r="A32" s="418">
        <v>30</v>
      </c>
      <c r="B32" s="81" t="s">
        <v>698</v>
      </c>
      <c r="C32" s="83" t="s">
        <v>568</v>
      </c>
      <c r="D32" s="83" t="s">
        <v>567</v>
      </c>
      <c r="E32" s="83" t="s">
        <v>498</v>
      </c>
      <c r="F32" s="83"/>
      <c r="G32" s="88" t="s">
        <v>712</v>
      </c>
      <c r="H32" s="83">
        <v>93</v>
      </c>
      <c r="I32" s="83">
        <v>370</v>
      </c>
      <c r="J32" s="85">
        <v>44662</v>
      </c>
      <c r="K32" s="85">
        <v>44796</v>
      </c>
      <c r="L32" s="87">
        <v>2305470</v>
      </c>
      <c r="M32" s="255">
        <v>20</v>
      </c>
      <c r="N32" s="255">
        <v>12</v>
      </c>
      <c r="O32" s="110">
        <v>12</v>
      </c>
      <c r="P32" s="318">
        <f t="shared" si="0"/>
        <v>0.6</v>
      </c>
      <c r="Q32" s="324">
        <f t="shared" si="1"/>
        <v>0.6</v>
      </c>
    </row>
    <row r="33" spans="1:18">
      <c r="A33" s="418">
        <v>31</v>
      </c>
      <c r="B33" s="81" t="s">
        <v>696</v>
      </c>
      <c r="C33" s="360" t="s">
        <v>539</v>
      </c>
      <c r="D33" s="83" t="s">
        <v>561</v>
      </c>
      <c r="E33" s="83" t="s">
        <v>498</v>
      </c>
      <c r="F33" s="83"/>
      <c r="G33" s="88" t="s">
        <v>711</v>
      </c>
      <c r="H33" s="83">
        <v>64</v>
      </c>
      <c r="I33" s="83">
        <v>320</v>
      </c>
      <c r="J33" s="85">
        <v>44662</v>
      </c>
      <c r="K33" s="85">
        <v>44753</v>
      </c>
      <c r="L33" s="87">
        <v>2108160</v>
      </c>
      <c r="M33" s="255">
        <v>21</v>
      </c>
      <c r="N33" s="255">
        <v>5</v>
      </c>
      <c r="O33" s="110">
        <v>5</v>
      </c>
      <c r="P33" s="318">
        <f t="shared" si="0"/>
        <v>0.23809523809523808</v>
      </c>
      <c r="Q33" s="324">
        <f t="shared" si="1"/>
        <v>0.23809523809523808</v>
      </c>
    </row>
    <row r="34" spans="1:18">
      <c r="A34" s="418">
        <v>32</v>
      </c>
      <c r="B34" s="81" t="s">
        <v>696</v>
      </c>
      <c r="C34" s="82" t="s">
        <v>517</v>
      </c>
      <c r="D34" s="82" t="s">
        <v>628</v>
      </c>
      <c r="E34" s="82" t="s">
        <v>543</v>
      </c>
      <c r="F34" s="82" t="s">
        <v>643</v>
      </c>
      <c r="G34" s="280" t="s">
        <v>710</v>
      </c>
      <c r="H34" s="82">
        <v>70</v>
      </c>
      <c r="I34" s="82">
        <v>350</v>
      </c>
      <c r="J34" s="84">
        <v>44663</v>
      </c>
      <c r="K34" s="84">
        <v>44790</v>
      </c>
      <c r="L34" s="86">
        <v>2305800</v>
      </c>
      <c r="M34" s="254">
        <v>30</v>
      </c>
      <c r="N34" s="254">
        <v>15</v>
      </c>
      <c r="O34" s="109">
        <v>15</v>
      </c>
      <c r="P34" s="318">
        <f t="shared" ref="P34:P65" si="2">N34/M34</f>
        <v>0.5</v>
      </c>
      <c r="Q34" s="324">
        <f t="shared" ref="Q34:Q65" si="3">O34/M34</f>
        <v>0.5</v>
      </c>
      <c r="R34" s="1"/>
    </row>
    <row r="35" spans="1:18">
      <c r="A35" s="418">
        <v>33</v>
      </c>
      <c r="B35" s="81" t="s">
        <v>696</v>
      </c>
      <c r="C35" s="82" t="s">
        <v>517</v>
      </c>
      <c r="D35" s="82" t="s">
        <v>525</v>
      </c>
      <c r="E35" s="82" t="s">
        <v>502</v>
      </c>
      <c r="F35" s="82"/>
      <c r="G35" s="256" t="s">
        <v>709</v>
      </c>
      <c r="H35" s="82">
        <v>104</v>
      </c>
      <c r="I35" s="82">
        <v>945</v>
      </c>
      <c r="J35" s="84">
        <v>44663</v>
      </c>
      <c r="K35" s="84">
        <v>44818</v>
      </c>
      <c r="L35" s="86">
        <v>6001010</v>
      </c>
      <c r="M35" s="254">
        <v>21</v>
      </c>
      <c r="N35" s="254">
        <v>21</v>
      </c>
      <c r="O35" s="109">
        <v>26</v>
      </c>
      <c r="P35" s="318">
        <f t="shared" si="2"/>
        <v>1</v>
      </c>
      <c r="Q35" s="324">
        <f t="shared" si="3"/>
        <v>1.2380952380952381</v>
      </c>
    </row>
    <row r="36" spans="1:18">
      <c r="A36" s="418">
        <v>34</v>
      </c>
      <c r="B36" s="81" t="s">
        <v>698</v>
      </c>
      <c r="C36" s="83" t="s">
        <v>568</v>
      </c>
      <c r="D36" s="83" t="s">
        <v>519</v>
      </c>
      <c r="E36" s="83" t="s">
        <v>498</v>
      </c>
      <c r="F36" s="83"/>
      <c r="G36" s="88" t="s">
        <v>708</v>
      </c>
      <c r="H36" s="83">
        <v>120</v>
      </c>
      <c r="I36" s="83">
        <v>370</v>
      </c>
      <c r="J36" s="85">
        <v>44663</v>
      </c>
      <c r="K36" s="85">
        <v>44844</v>
      </c>
      <c r="L36" s="87">
        <v>2305470</v>
      </c>
      <c r="M36" s="255">
        <v>10</v>
      </c>
      <c r="N36" s="255">
        <v>10</v>
      </c>
      <c r="O36" s="110">
        <v>14</v>
      </c>
      <c r="P36" s="318">
        <f t="shared" si="2"/>
        <v>1</v>
      </c>
      <c r="Q36" s="312">
        <f t="shared" si="3"/>
        <v>1.4</v>
      </c>
    </row>
    <row r="37" spans="1:18">
      <c r="A37" s="418">
        <v>35</v>
      </c>
      <c r="B37" s="81" t="s">
        <v>698</v>
      </c>
      <c r="C37" s="360" t="s">
        <v>520</v>
      </c>
      <c r="D37" s="83" t="s">
        <v>614</v>
      </c>
      <c r="E37" s="83" t="s">
        <v>502</v>
      </c>
      <c r="F37" s="83"/>
      <c r="G37" s="88" t="s">
        <v>707</v>
      </c>
      <c r="H37" s="83">
        <v>100</v>
      </c>
      <c r="I37" s="83">
        <v>600</v>
      </c>
      <c r="J37" s="85">
        <v>44663</v>
      </c>
      <c r="K37" s="85">
        <v>44812</v>
      </c>
      <c r="L37" s="87">
        <v>3371400</v>
      </c>
      <c r="M37" s="255">
        <v>20</v>
      </c>
      <c r="N37" s="255">
        <v>13</v>
      </c>
      <c r="O37" s="110">
        <v>13</v>
      </c>
      <c r="P37" s="318">
        <f t="shared" si="2"/>
        <v>0.65</v>
      </c>
      <c r="Q37" s="312">
        <f t="shared" si="3"/>
        <v>0.65</v>
      </c>
    </row>
    <row r="38" spans="1:18">
      <c r="A38" s="418">
        <v>36</v>
      </c>
      <c r="B38" s="81" t="s">
        <v>698</v>
      </c>
      <c r="C38" s="360" t="s">
        <v>520</v>
      </c>
      <c r="D38" s="83" t="s">
        <v>519</v>
      </c>
      <c r="E38" s="83" t="s">
        <v>498</v>
      </c>
      <c r="F38" s="83"/>
      <c r="G38" s="88" t="s">
        <v>706</v>
      </c>
      <c r="H38" s="83">
        <v>70</v>
      </c>
      <c r="I38" s="83">
        <v>348</v>
      </c>
      <c r="J38" s="85">
        <v>44663</v>
      </c>
      <c r="K38" s="85">
        <v>44771</v>
      </c>
      <c r="L38" s="87">
        <v>2292624</v>
      </c>
      <c r="M38" s="255">
        <v>20</v>
      </c>
      <c r="N38" s="255">
        <v>10</v>
      </c>
      <c r="O38" s="110">
        <v>10</v>
      </c>
      <c r="P38" s="318">
        <f t="shared" si="2"/>
        <v>0.5</v>
      </c>
      <c r="Q38" s="312">
        <f t="shared" si="3"/>
        <v>0.5</v>
      </c>
    </row>
    <row r="39" spans="1:18">
      <c r="A39" s="418">
        <v>37</v>
      </c>
      <c r="B39" s="81" t="s">
        <v>696</v>
      </c>
      <c r="C39" s="360" t="s">
        <v>539</v>
      </c>
      <c r="D39" s="83" t="s">
        <v>579</v>
      </c>
      <c r="E39" s="83" t="s">
        <v>502</v>
      </c>
      <c r="F39" s="83"/>
      <c r="G39" s="88" t="s">
        <v>705</v>
      </c>
      <c r="H39" s="83">
        <v>120</v>
      </c>
      <c r="I39" s="83">
        <v>676</v>
      </c>
      <c r="J39" s="85">
        <v>44663</v>
      </c>
      <c r="K39" s="85">
        <v>44845</v>
      </c>
      <c r="L39" s="87">
        <v>3721000</v>
      </c>
      <c r="M39" s="255">
        <v>20</v>
      </c>
      <c r="N39" s="255">
        <v>19</v>
      </c>
      <c r="O39" s="110">
        <v>36</v>
      </c>
      <c r="P39" s="318">
        <f t="shared" si="2"/>
        <v>0.95</v>
      </c>
      <c r="Q39" s="312">
        <f t="shared" si="3"/>
        <v>1.8</v>
      </c>
    </row>
    <row r="40" spans="1:18">
      <c r="A40" s="418">
        <v>38</v>
      </c>
      <c r="B40" s="81" t="s">
        <v>698</v>
      </c>
      <c r="C40" s="82" t="s">
        <v>537</v>
      </c>
      <c r="D40" s="82" t="s">
        <v>489</v>
      </c>
      <c r="E40" s="82" t="s">
        <v>502</v>
      </c>
      <c r="F40" s="82"/>
      <c r="G40" s="256" t="s">
        <v>704</v>
      </c>
      <c r="H40" s="82">
        <v>113</v>
      </c>
      <c r="I40" s="82">
        <v>900</v>
      </c>
      <c r="J40" s="84">
        <v>44664</v>
      </c>
      <c r="K40" s="84">
        <v>44830</v>
      </c>
      <c r="L40" s="86">
        <v>5736360</v>
      </c>
      <c r="M40" s="254">
        <v>30</v>
      </c>
      <c r="N40" s="254">
        <v>26</v>
      </c>
      <c r="O40" s="109">
        <v>26</v>
      </c>
      <c r="P40" s="318">
        <f t="shared" si="2"/>
        <v>0.8666666666666667</v>
      </c>
      <c r="Q40" s="312">
        <f t="shared" si="3"/>
        <v>0.8666666666666667</v>
      </c>
    </row>
    <row r="41" spans="1:18">
      <c r="A41" s="418">
        <v>39</v>
      </c>
      <c r="B41" s="81" t="s">
        <v>696</v>
      </c>
      <c r="C41" s="83" t="s">
        <v>624</v>
      </c>
      <c r="D41" s="83" t="s">
        <v>574</v>
      </c>
      <c r="E41" s="83" t="s">
        <v>498</v>
      </c>
      <c r="F41" s="83"/>
      <c r="G41" s="90" t="s">
        <v>703</v>
      </c>
      <c r="H41" s="83">
        <v>60</v>
      </c>
      <c r="I41" s="83">
        <v>300</v>
      </c>
      <c r="J41" s="85">
        <v>44664</v>
      </c>
      <c r="K41" s="85">
        <v>44774</v>
      </c>
      <c r="L41" s="86">
        <v>1940400</v>
      </c>
      <c r="M41" s="255">
        <v>14</v>
      </c>
      <c r="N41" s="254">
        <v>13</v>
      </c>
      <c r="O41" s="110">
        <v>15</v>
      </c>
      <c r="P41" s="318">
        <f t="shared" si="2"/>
        <v>0.9285714285714286</v>
      </c>
      <c r="Q41" s="312">
        <f t="shared" si="3"/>
        <v>1.0714285714285714</v>
      </c>
    </row>
    <row r="42" spans="1:18">
      <c r="A42" s="418">
        <v>40</v>
      </c>
      <c r="B42" s="81" t="s">
        <v>698</v>
      </c>
      <c r="C42" s="82" t="s">
        <v>517</v>
      </c>
      <c r="D42" s="82" t="s">
        <v>574</v>
      </c>
      <c r="E42" s="82" t="s">
        <v>502</v>
      </c>
      <c r="F42" s="82"/>
      <c r="G42" s="256" t="s">
        <v>702</v>
      </c>
      <c r="H42" s="82">
        <v>115</v>
      </c>
      <c r="I42" s="82">
        <v>737</v>
      </c>
      <c r="J42" s="84">
        <v>44665</v>
      </c>
      <c r="K42" s="84">
        <v>44805</v>
      </c>
      <c r="L42" s="86">
        <v>4060700</v>
      </c>
      <c r="M42" s="254">
        <v>20</v>
      </c>
      <c r="N42" s="254">
        <v>17</v>
      </c>
      <c r="O42" s="109">
        <v>17</v>
      </c>
      <c r="P42" s="318">
        <f t="shared" si="2"/>
        <v>0.85</v>
      </c>
      <c r="Q42" s="312">
        <f t="shared" si="3"/>
        <v>0.85</v>
      </c>
    </row>
    <row r="43" spans="1:18">
      <c r="A43" s="418">
        <v>41</v>
      </c>
      <c r="B43" s="81" t="s">
        <v>698</v>
      </c>
      <c r="C43" s="82" t="s">
        <v>517</v>
      </c>
      <c r="D43" s="82" t="s">
        <v>525</v>
      </c>
      <c r="E43" s="82" t="s">
        <v>502</v>
      </c>
      <c r="F43" s="82"/>
      <c r="G43" s="256" t="s">
        <v>701</v>
      </c>
      <c r="H43" s="82">
        <v>98</v>
      </c>
      <c r="I43" s="82">
        <v>782</v>
      </c>
      <c r="J43" s="84">
        <v>44673</v>
      </c>
      <c r="K43" s="84">
        <v>44827</v>
      </c>
      <c r="L43" s="86">
        <v>5151810</v>
      </c>
      <c r="M43" s="254">
        <v>21</v>
      </c>
      <c r="N43" s="254">
        <v>21</v>
      </c>
      <c r="O43" s="109">
        <v>21</v>
      </c>
      <c r="P43" s="318">
        <f t="shared" si="2"/>
        <v>1</v>
      </c>
      <c r="Q43" s="312">
        <f t="shared" si="3"/>
        <v>1</v>
      </c>
    </row>
    <row r="44" spans="1:18">
      <c r="A44" s="418">
        <v>42</v>
      </c>
      <c r="B44" s="81" t="s">
        <v>698</v>
      </c>
      <c r="C44" s="83" t="s">
        <v>600</v>
      </c>
      <c r="D44" s="83" t="s">
        <v>489</v>
      </c>
      <c r="E44" s="83" t="s">
        <v>498</v>
      </c>
      <c r="F44" s="83"/>
      <c r="G44" s="90" t="s">
        <v>700</v>
      </c>
      <c r="H44" s="83">
        <v>60</v>
      </c>
      <c r="I44" s="83">
        <v>300</v>
      </c>
      <c r="J44" s="85">
        <v>44673</v>
      </c>
      <c r="K44" s="85">
        <v>44760</v>
      </c>
      <c r="L44" s="86">
        <v>1869300</v>
      </c>
      <c r="M44" s="255">
        <v>21</v>
      </c>
      <c r="N44" s="254">
        <v>12</v>
      </c>
      <c r="O44" s="110">
        <v>12</v>
      </c>
      <c r="P44" s="318">
        <f t="shared" si="2"/>
        <v>0.5714285714285714</v>
      </c>
      <c r="Q44" s="312">
        <f t="shared" si="3"/>
        <v>0.5714285714285714</v>
      </c>
    </row>
    <row r="45" spans="1:18">
      <c r="A45" s="418">
        <v>43</v>
      </c>
      <c r="B45" s="81" t="s">
        <v>698</v>
      </c>
      <c r="C45" s="83" t="s">
        <v>624</v>
      </c>
      <c r="D45" s="83" t="s">
        <v>559</v>
      </c>
      <c r="E45" s="83" t="s">
        <v>498</v>
      </c>
      <c r="F45" s="83"/>
      <c r="G45" s="90" t="s">
        <v>699</v>
      </c>
      <c r="H45" s="83">
        <v>60</v>
      </c>
      <c r="I45" s="83">
        <v>300</v>
      </c>
      <c r="J45" s="85">
        <v>44676</v>
      </c>
      <c r="K45" s="85">
        <v>44804</v>
      </c>
      <c r="L45" s="86">
        <v>1649340</v>
      </c>
      <c r="M45" s="255">
        <v>12</v>
      </c>
      <c r="N45" s="254">
        <v>5</v>
      </c>
      <c r="O45" s="110">
        <v>5</v>
      </c>
      <c r="P45" s="318">
        <f t="shared" si="2"/>
        <v>0.41666666666666669</v>
      </c>
      <c r="Q45" s="312">
        <f t="shared" si="3"/>
        <v>0.41666666666666669</v>
      </c>
    </row>
    <row r="46" spans="1:18">
      <c r="A46" s="418">
        <v>44</v>
      </c>
      <c r="B46" s="81" t="s">
        <v>698</v>
      </c>
      <c r="C46" s="83" t="s">
        <v>520</v>
      </c>
      <c r="D46" s="83" t="s">
        <v>567</v>
      </c>
      <c r="E46" s="83" t="s">
        <v>498</v>
      </c>
      <c r="F46" s="83" t="s">
        <v>643</v>
      </c>
      <c r="G46" s="88" t="s">
        <v>612</v>
      </c>
      <c r="H46" s="83">
        <v>64</v>
      </c>
      <c r="I46" s="83">
        <v>320</v>
      </c>
      <c r="J46" s="85">
        <v>44678</v>
      </c>
      <c r="K46" s="85">
        <v>44775</v>
      </c>
      <c r="L46" s="87">
        <v>2012160</v>
      </c>
      <c r="M46" s="255">
        <v>20</v>
      </c>
      <c r="N46" s="255">
        <v>12</v>
      </c>
      <c r="O46" s="110">
        <v>15</v>
      </c>
      <c r="P46" s="318">
        <f t="shared" si="2"/>
        <v>0.6</v>
      </c>
      <c r="Q46" s="312">
        <f t="shared" si="3"/>
        <v>0.75</v>
      </c>
    </row>
    <row r="47" spans="1:18">
      <c r="A47" s="418">
        <v>45</v>
      </c>
      <c r="B47" s="81" t="s">
        <v>698</v>
      </c>
      <c r="C47" s="83" t="s">
        <v>568</v>
      </c>
      <c r="D47" s="83" t="s">
        <v>525</v>
      </c>
      <c r="E47" s="83" t="s">
        <v>502</v>
      </c>
      <c r="F47" s="83"/>
      <c r="G47" s="88" t="s">
        <v>697</v>
      </c>
      <c r="H47" s="83">
        <v>146</v>
      </c>
      <c r="I47" s="83">
        <v>870</v>
      </c>
      <c r="J47" s="85">
        <v>44679</v>
      </c>
      <c r="K47" s="85">
        <v>44890</v>
      </c>
      <c r="L47" s="87">
        <v>5275810</v>
      </c>
      <c r="M47" s="255">
        <v>20</v>
      </c>
      <c r="N47" s="255">
        <v>20</v>
      </c>
      <c r="O47" s="110">
        <v>20</v>
      </c>
      <c r="P47" s="318">
        <f t="shared" si="2"/>
        <v>1</v>
      </c>
      <c r="Q47" s="312">
        <f t="shared" si="3"/>
        <v>1</v>
      </c>
    </row>
    <row r="48" spans="1:18" s="14" customFormat="1" ht="17.25" thickBot="1">
      <c r="A48" s="475">
        <v>46</v>
      </c>
      <c r="B48" s="413" t="s">
        <v>696</v>
      </c>
      <c r="C48" s="382" t="s">
        <v>495</v>
      </c>
      <c r="D48" s="382" t="s">
        <v>525</v>
      </c>
      <c r="E48" s="382" t="s">
        <v>498</v>
      </c>
      <c r="F48" s="382"/>
      <c r="G48" s="387" t="s">
        <v>695</v>
      </c>
      <c r="H48" s="382">
        <v>34</v>
      </c>
      <c r="I48" s="382">
        <v>135</v>
      </c>
      <c r="J48" s="384">
        <v>44667</v>
      </c>
      <c r="K48" s="384">
        <v>44786</v>
      </c>
      <c r="L48" s="388">
        <v>977630</v>
      </c>
      <c r="M48" s="385">
        <v>20</v>
      </c>
      <c r="N48" s="385">
        <v>9</v>
      </c>
      <c r="O48" s="391">
        <v>9</v>
      </c>
      <c r="P48" s="398">
        <f t="shared" si="2"/>
        <v>0.45</v>
      </c>
      <c r="Q48" s="395">
        <f t="shared" si="3"/>
        <v>0.45</v>
      </c>
      <c r="R48" s="476">
        <f>SUM(N31:N48)/SUM(M31:M48)</f>
        <v>0.70621468926553677</v>
      </c>
    </row>
    <row r="49" spans="1:17">
      <c r="A49" s="418">
        <v>47</v>
      </c>
      <c r="B49" s="257" t="s">
        <v>673</v>
      </c>
      <c r="C49" s="224" t="s">
        <v>520</v>
      </c>
      <c r="D49" s="224" t="s">
        <v>574</v>
      </c>
      <c r="E49" s="224" t="s">
        <v>502</v>
      </c>
      <c r="F49" s="224"/>
      <c r="G49" s="285" t="s">
        <v>694</v>
      </c>
      <c r="H49" s="224">
        <v>166</v>
      </c>
      <c r="I49" s="224">
        <v>661</v>
      </c>
      <c r="J49" s="225">
        <v>44683</v>
      </c>
      <c r="K49" s="225">
        <v>44928</v>
      </c>
      <c r="L49" s="283">
        <v>3714150</v>
      </c>
      <c r="M49" s="277">
        <v>20</v>
      </c>
      <c r="N49" s="277">
        <v>16</v>
      </c>
      <c r="O49" s="284">
        <v>20</v>
      </c>
      <c r="P49" s="319">
        <f t="shared" si="2"/>
        <v>0.8</v>
      </c>
      <c r="Q49" s="323">
        <f t="shared" si="3"/>
        <v>1</v>
      </c>
    </row>
    <row r="50" spans="1:17">
      <c r="A50" s="418">
        <v>48</v>
      </c>
      <c r="B50" s="81" t="s">
        <v>673</v>
      </c>
      <c r="C50" s="83" t="s">
        <v>520</v>
      </c>
      <c r="D50" s="83" t="s">
        <v>532</v>
      </c>
      <c r="E50" s="83" t="s">
        <v>498</v>
      </c>
      <c r="F50" s="83"/>
      <c r="G50" s="88" t="s">
        <v>693</v>
      </c>
      <c r="H50" s="83">
        <v>70</v>
      </c>
      <c r="I50" s="83">
        <v>280</v>
      </c>
      <c r="J50" s="85">
        <v>44684</v>
      </c>
      <c r="K50" s="85">
        <v>44784</v>
      </c>
      <c r="L50" s="87">
        <v>1832600</v>
      </c>
      <c r="M50" s="255">
        <v>12</v>
      </c>
      <c r="N50" s="255">
        <v>5</v>
      </c>
      <c r="O50" s="110">
        <v>6</v>
      </c>
      <c r="P50" s="318">
        <f t="shared" si="2"/>
        <v>0.41666666666666669</v>
      </c>
      <c r="Q50" s="312">
        <f t="shared" si="3"/>
        <v>0.5</v>
      </c>
    </row>
    <row r="51" spans="1:17">
      <c r="A51" s="418">
        <v>49</v>
      </c>
      <c r="B51" s="81" t="s">
        <v>673</v>
      </c>
      <c r="C51" s="83" t="s">
        <v>520</v>
      </c>
      <c r="D51" s="83" t="s">
        <v>574</v>
      </c>
      <c r="E51" s="83" t="s">
        <v>543</v>
      </c>
      <c r="F51" s="83"/>
      <c r="G51" s="88" t="s">
        <v>692</v>
      </c>
      <c r="H51" s="83">
        <v>75</v>
      </c>
      <c r="I51" s="83">
        <v>300</v>
      </c>
      <c r="J51" s="85">
        <v>44691</v>
      </c>
      <c r="K51" s="85">
        <v>44802</v>
      </c>
      <c r="L51" s="87">
        <v>1869300</v>
      </c>
      <c r="M51" s="255">
        <v>20</v>
      </c>
      <c r="N51" s="255">
        <v>17</v>
      </c>
      <c r="O51" s="110">
        <v>20</v>
      </c>
      <c r="P51" s="318">
        <f t="shared" si="2"/>
        <v>0.85</v>
      </c>
      <c r="Q51" s="312">
        <f t="shared" si="3"/>
        <v>1</v>
      </c>
    </row>
    <row r="52" spans="1:17">
      <c r="A52" s="418">
        <v>50</v>
      </c>
      <c r="B52" s="81" t="s">
        <v>673</v>
      </c>
      <c r="C52" s="83" t="s">
        <v>568</v>
      </c>
      <c r="D52" s="83" t="s">
        <v>525</v>
      </c>
      <c r="E52" s="83" t="s">
        <v>498</v>
      </c>
      <c r="F52" s="83"/>
      <c r="G52" s="88" t="s">
        <v>691</v>
      </c>
      <c r="H52" s="83">
        <v>84</v>
      </c>
      <c r="I52" s="83">
        <v>335</v>
      </c>
      <c r="J52" s="85">
        <v>44692</v>
      </c>
      <c r="K52" s="85">
        <v>44818</v>
      </c>
      <c r="L52" s="87">
        <v>2087380</v>
      </c>
      <c r="M52" s="255">
        <v>20</v>
      </c>
      <c r="N52" s="255">
        <v>7</v>
      </c>
      <c r="O52" s="110">
        <v>7</v>
      </c>
      <c r="P52" s="318">
        <f t="shared" si="2"/>
        <v>0.35</v>
      </c>
      <c r="Q52" s="312">
        <f t="shared" si="3"/>
        <v>0.35</v>
      </c>
    </row>
    <row r="53" spans="1:17">
      <c r="A53" s="418">
        <v>51</v>
      </c>
      <c r="B53" s="81" t="s">
        <v>673</v>
      </c>
      <c r="C53" s="83" t="s">
        <v>533</v>
      </c>
      <c r="D53" s="83" t="s">
        <v>628</v>
      </c>
      <c r="E53" s="83" t="s">
        <v>498</v>
      </c>
      <c r="F53" s="83"/>
      <c r="G53" s="88" t="s">
        <v>690</v>
      </c>
      <c r="H53" s="83">
        <v>120</v>
      </c>
      <c r="I53" s="83">
        <v>370</v>
      </c>
      <c r="J53" s="85">
        <v>44692</v>
      </c>
      <c r="K53" s="85">
        <v>44872</v>
      </c>
      <c r="L53" s="87">
        <v>2305470</v>
      </c>
      <c r="M53" s="255">
        <v>10</v>
      </c>
      <c r="N53" s="255">
        <v>10</v>
      </c>
      <c r="O53" s="110">
        <v>10</v>
      </c>
      <c r="P53" s="318">
        <f t="shared" si="2"/>
        <v>1</v>
      </c>
      <c r="Q53" s="312">
        <f t="shared" si="3"/>
        <v>1</v>
      </c>
    </row>
    <row r="54" spans="1:17">
      <c r="A54" s="418">
        <v>52</v>
      </c>
      <c r="B54" s="81" t="s">
        <v>673</v>
      </c>
      <c r="C54" s="83" t="s">
        <v>533</v>
      </c>
      <c r="D54" s="83" t="s">
        <v>609</v>
      </c>
      <c r="E54" s="83" t="s">
        <v>498</v>
      </c>
      <c r="F54" s="83"/>
      <c r="G54" s="88" t="s">
        <v>689</v>
      </c>
      <c r="H54" s="83">
        <v>124</v>
      </c>
      <c r="I54" s="83">
        <v>370</v>
      </c>
      <c r="J54" s="85">
        <v>44692</v>
      </c>
      <c r="K54" s="85">
        <v>44869</v>
      </c>
      <c r="L54" s="87">
        <v>2305470</v>
      </c>
      <c r="M54" s="255">
        <v>12</v>
      </c>
      <c r="N54" s="255">
        <v>9</v>
      </c>
      <c r="O54" s="110">
        <v>10</v>
      </c>
      <c r="P54" s="318">
        <f t="shared" si="2"/>
        <v>0.75</v>
      </c>
      <c r="Q54" s="312">
        <f t="shared" si="3"/>
        <v>0.83333333333333337</v>
      </c>
    </row>
    <row r="55" spans="1:17">
      <c r="A55" s="418">
        <v>53</v>
      </c>
      <c r="B55" s="81" t="s">
        <v>673</v>
      </c>
      <c r="C55" s="82" t="s">
        <v>571</v>
      </c>
      <c r="D55" s="82" t="s">
        <v>525</v>
      </c>
      <c r="E55" s="82" t="s">
        <v>498</v>
      </c>
      <c r="F55" s="82"/>
      <c r="G55" s="280" t="s">
        <v>688</v>
      </c>
      <c r="H55" s="82">
        <v>58</v>
      </c>
      <c r="I55" s="82">
        <v>290</v>
      </c>
      <c r="J55" s="84">
        <v>44692</v>
      </c>
      <c r="K55" s="84">
        <v>44775</v>
      </c>
      <c r="L55" s="86">
        <v>1806990</v>
      </c>
      <c r="M55" s="254">
        <v>20</v>
      </c>
      <c r="N55" s="254">
        <v>14</v>
      </c>
      <c r="O55" s="109">
        <v>17</v>
      </c>
      <c r="P55" s="318">
        <f t="shared" si="2"/>
        <v>0.7</v>
      </c>
      <c r="Q55" s="312">
        <f t="shared" si="3"/>
        <v>0.85</v>
      </c>
    </row>
    <row r="56" spans="1:17">
      <c r="A56" s="418">
        <v>54</v>
      </c>
      <c r="B56" s="81" t="s">
        <v>673</v>
      </c>
      <c r="C56" s="83" t="s">
        <v>539</v>
      </c>
      <c r="D56" s="83" t="s">
        <v>574</v>
      </c>
      <c r="E56" s="83" t="s">
        <v>502</v>
      </c>
      <c r="F56" s="83"/>
      <c r="G56" s="88" t="s">
        <v>687</v>
      </c>
      <c r="H56" s="83">
        <v>164</v>
      </c>
      <c r="I56" s="83">
        <v>753</v>
      </c>
      <c r="J56" s="85">
        <v>44692</v>
      </c>
      <c r="K56" s="85">
        <v>44908</v>
      </c>
      <c r="L56" s="87">
        <v>4131240</v>
      </c>
      <c r="M56" s="255">
        <v>25</v>
      </c>
      <c r="N56" s="255">
        <v>24</v>
      </c>
      <c r="O56" s="110">
        <v>25</v>
      </c>
      <c r="P56" s="318">
        <f t="shared" si="2"/>
        <v>0.96</v>
      </c>
      <c r="Q56" s="312">
        <f t="shared" si="3"/>
        <v>1</v>
      </c>
    </row>
    <row r="57" spans="1:17">
      <c r="A57" s="418">
        <v>55</v>
      </c>
      <c r="B57" s="81" t="s">
        <v>676</v>
      </c>
      <c r="C57" s="83" t="s">
        <v>539</v>
      </c>
      <c r="D57" s="83" t="s">
        <v>546</v>
      </c>
      <c r="E57" s="83" t="s">
        <v>498</v>
      </c>
      <c r="F57" s="83" t="s">
        <v>594</v>
      </c>
      <c r="G57" s="88" t="s">
        <v>578</v>
      </c>
      <c r="H57" s="83">
        <v>80</v>
      </c>
      <c r="I57" s="83">
        <v>320</v>
      </c>
      <c r="J57" s="85">
        <v>44692</v>
      </c>
      <c r="K57" s="85">
        <v>44811</v>
      </c>
      <c r="L57" s="87">
        <v>2012160</v>
      </c>
      <c r="M57" s="255">
        <v>22</v>
      </c>
      <c r="N57" s="255">
        <v>16</v>
      </c>
      <c r="O57" s="110">
        <v>16</v>
      </c>
      <c r="P57" s="318">
        <f t="shared" si="2"/>
        <v>0.72727272727272729</v>
      </c>
      <c r="Q57" s="312">
        <f t="shared" si="3"/>
        <v>0.72727272727272729</v>
      </c>
    </row>
    <row r="58" spans="1:17">
      <c r="A58" s="418">
        <v>56</v>
      </c>
      <c r="B58" s="81" t="s">
        <v>676</v>
      </c>
      <c r="C58" s="83" t="s">
        <v>539</v>
      </c>
      <c r="D58" s="83" t="s">
        <v>559</v>
      </c>
      <c r="E58" s="83" t="s">
        <v>502</v>
      </c>
      <c r="F58" s="83"/>
      <c r="G58" s="88" t="s">
        <v>686</v>
      </c>
      <c r="H58" s="83">
        <v>131</v>
      </c>
      <c r="I58" s="83">
        <v>650</v>
      </c>
      <c r="J58" s="85">
        <v>44693</v>
      </c>
      <c r="K58" s="85">
        <v>44888</v>
      </c>
      <c r="L58" s="87">
        <v>4282200</v>
      </c>
      <c r="M58" s="255">
        <v>20</v>
      </c>
      <c r="N58" s="255">
        <v>20</v>
      </c>
      <c r="O58" s="110">
        <v>43</v>
      </c>
      <c r="P58" s="318">
        <f t="shared" si="2"/>
        <v>1</v>
      </c>
      <c r="Q58" s="312">
        <f t="shared" si="3"/>
        <v>2.15</v>
      </c>
    </row>
    <row r="59" spans="1:17">
      <c r="A59" s="418">
        <v>57</v>
      </c>
      <c r="B59" s="81" t="s">
        <v>673</v>
      </c>
      <c r="C59" s="83" t="s">
        <v>539</v>
      </c>
      <c r="D59" s="83" t="s">
        <v>685</v>
      </c>
      <c r="E59" s="83" t="s">
        <v>498</v>
      </c>
      <c r="F59" s="83"/>
      <c r="G59" s="88" t="s">
        <v>684</v>
      </c>
      <c r="H59" s="83">
        <v>80</v>
      </c>
      <c r="I59" s="83">
        <v>400</v>
      </c>
      <c r="J59" s="85">
        <v>44701</v>
      </c>
      <c r="K59" s="85">
        <v>44823</v>
      </c>
      <c r="L59" s="87">
        <v>2618000</v>
      </c>
      <c r="M59" s="255">
        <v>20</v>
      </c>
      <c r="N59" s="255">
        <v>8</v>
      </c>
      <c r="O59" s="110">
        <v>8</v>
      </c>
      <c r="P59" s="318">
        <f t="shared" si="2"/>
        <v>0.4</v>
      </c>
      <c r="Q59" s="312">
        <f t="shared" si="3"/>
        <v>0.4</v>
      </c>
    </row>
    <row r="60" spans="1:17">
      <c r="A60" s="418">
        <v>58</v>
      </c>
      <c r="B60" s="81" t="s">
        <v>676</v>
      </c>
      <c r="C60" s="82" t="s">
        <v>517</v>
      </c>
      <c r="D60" s="82" t="s">
        <v>489</v>
      </c>
      <c r="E60" s="82" t="s">
        <v>502</v>
      </c>
      <c r="F60" s="82"/>
      <c r="G60" s="256" t="s">
        <v>683</v>
      </c>
      <c r="H60" s="82">
        <v>114</v>
      </c>
      <c r="I60" s="82">
        <v>912</v>
      </c>
      <c r="J60" s="84">
        <v>44704</v>
      </c>
      <c r="K60" s="84">
        <v>44872</v>
      </c>
      <c r="L60" s="86">
        <v>5825360</v>
      </c>
      <c r="M60" s="254">
        <v>22</v>
      </c>
      <c r="N60" s="254">
        <v>18</v>
      </c>
      <c r="O60" s="109">
        <v>22</v>
      </c>
      <c r="P60" s="318">
        <f t="shared" si="2"/>
        <v>0.81818181818181823</v>
      </c>
      <c r="Q60" s="312">
        <f t="shared" si="3"/>
        <v>1</v>
      </c>
    </row>
    <row r="61" spans="1:17">
      <c r="A61" s="418">
        <v>59</v>
      </c>
      <c r="B61" s="81" t="s">
        <v>673</v>
      </c>
      <c r="C61" s="82" t="s">
        <v>537</v>
      </c>
      <c r="D61" s="82" t="s">
        <v>525</v>
      </c>
      <c r="E61" s="82" t="s">
        <v>502</v>
      </c>
      <c r="F61" s="82"/>
      <c r="G61" s="256" t="s">
        <v>682</v>
      </c>
      <c r="H61" s="82">
        <v>119</v>
      </c>
      <c r="I61" s="82">
        <v>712</v>
      </c>
      <c r="J61" s="84">
        <v>44705</v>
      </c>
      <c r="K61" s="84">
        <v>44889</v>
      </c>
      <c r="L61" s="86">
        <v>4680680</v>
      </c>
      <c r="M61" s="254">
        <v>35</v>
      </c>
      <c r="N61" s="254">
        <v>19</v>
      </c>
      <c r="O61" s="109">
        <v>19</v>
      </c>
      <c r="P61" s="318">
        <f t="shared" si="2"/>
        <v>0.54285714285714282</v>
      </c>
      <c r="Q61" s="312">
        <f t="shared" si="3"/>
        <v>0.54285714285714282</v>
      </c>
    </row>
    <row r="62" spans="1:17">
      <c r="A62" s="418">
        <v>60</v>
      </c>
      <c r="B62" s="81" t="s">
        <v>676</v>
      </c>
      <c r="C62" s="82" t="s">
        <v>537</v>
      </c>
      <c r="D62" s="82" t="s">
        <v>499</v>
      </c>
      <c r="E62" s="82" t="s">
        <v>502</v>
      </c>
      <c r="F62" s="82"/>
      <c r="G62" s="256" t="s">
        <v>681</v>
      </c>
      <c r="H62" s="82">
        <v>89</v>
      </c>
      <c r="I62" s="82">
        <v>712</v>
      </c>
      <c r="J62" s="84">
        <v>44705</v>
      </c>
      <c r="K62" s="84">
        <v>44844</v>
      </c>
      <c r="L62" s="86">
        <v>4690650</v>
      </c>
      <c r="M62" s="254">
        <v>35</v>
      </c>
      <c r="N62" s="254">
        <v>34</v>
      </c>
      <c r="O62" s="109">
        <v>35</v>
      </c>
      <c r="P62" s="318">
        <f t="shared" si="2"/>
        <v>0.97142857142857142</v>
      </c>
      <c r="Q62" s="312">
        <f t="shared" si="3"/>
        <v>1</v>
      </c>
    </row>
    <row r="63" spans="1:17">
      <c r="A63" s="418">
        <v>61</v>
      </c>
      <c r="B63" s="81" t="s">
        <v>676</v>
      </c>
      <c r="C63" s="82" t="s">
        <v>600</v>
      </c>
      <c r="D63" s="82" t="s">
        <v>499</v>
      </c>
      <c r="E63" s="82" t="s">
        <v>529</v>
      </c>
      <c r="F63" s="82"/>
      <c r="G63" s="256" t="s">
        <v>680</v>
      </c>
      <c r="H63" s="82">
        <v>85</v>
      </c>
      <c r="I63" s="82">
        <v>675</v>
      </c>
      <c r="J63" s="84">
        <v>44705</v>
      </c>
      <c r="K63" s="84">
        <v>44830</v>
      </c>
      <c r="L63" s="86">
        <v>4417870</v>
      </c>
      <c r="M63" s="254">
        <v>20</v>
      </c>
      <c r="N63" s="254">
        <v>14</v>
      </c>
      <c r="O63" s="109">
        <v>17</v>
      </c>
      <c r="P63" s="318">
        <f t="shared" si="2"/>
        <v>0.7</v>
      </c>
      <c r="Q63" s="312">
        <f t="shared" si="3"/>
        <v>0.85</v>
      </c>
    </row>
    <row r="64" spans="1:17">
      <c r="A64" s="418">
        <v>62</v>
      </c>
      <c r="B64" s="81" t="s">
        <v>673</v>
      </c>
      <c r="C64" s="83" t="s">
        <v>539</v>
      </c>
      <c r="D64" s="83" t="s">
        <v>559</v>
      </c>
      <c r="E64" s="83" t="s">
        <v>498</v>
      </c>
      <c r="F64" s="83"/>
      <c r="G64" s="88" t="s">
        <v>679</v>
      </c>
      <c r="H64" s="83">
        <v>105</v>
      </c>
      <c r="I64" s="83">
        <v>420</v>
      </c>
      <c r="J64" s="85">
        <v>44707</v>
      </c>
      <c r="K64" s="85">
        <v>44867</v>
      </c>
      <c r="L64" s="87">
        <v>2748900</v>
      </c>
      <c r="M64" s="255">
        <v>20</v>
      </c>
      <c r="N64" s="255">
        <v>17</v>
      </c>
      <c r="O64" s="110">
        <v>19</v>
      </c>
      <c r="P64" s="318">
        <f t="shared" si="2"/>
        <v>0.85</v>
      </c>
      <c r="Q64" s="312">
        <f t="shared" si="3"/>
        <v>0.95</v>
      </c>
    </row>
    <row r="65" spans="1:18">
      <c r="A65" s="418">
        <v>63</v>
      </c>
      <c r="B65" s="81" t="s">
        <v>676</v>
      </c>
      <c r="C65" s="83" t="s">
        <v>520</v>
      </c>
      <c r="D65" s="83" t="s">
        <v>519</v>
      </c>
      <c r="E65" s="83" t="s">
        <v>502</v>
      </c>
      <c r="F65" s="83"/>
      <c r="G65" s="88" t="s">
        <v>678</v>
      </c>
      <c r="H65" s="83">
        <v>120</v>
      </c>
      <c r="I65" s="83">
        <v>600</v>
      </c>
      <c r="J65" s="85">
        <v>44707</v>
      </c>
      <c r="K65" s="85">
        <v>44897</v>
      </c>
      <c r="L65" s="87">
        <v>3772800</v>
      </c>
      <c r="M65" s="255">
        <v>20</v>
      </c>
      <c r="N65" s="255">
        <v>15</v>
      </c>
      <c r="O65" s="110">
        <v>16</v>
      </c>
      <c r="P65" s="318">
        <f t="shared" si="2"/>
        <v>0.75</v>
      </c>
      <c r="Q65" s="312">
        <f t="shared" si="3"/>
        <v>0.8</v>
      </c>
    </row>
    <row r="66" spans="1:18">
      <c r="A66" s="418">
        <v>64</v>
      </c>
      <c r="B66" s="81" t="s">
        <v>673</v>
      </c>
      <c r="C66" s="83" t="s">
        <v>600</v>
      </c>
      <c r="D66" s="83" t="s">
        <v>509</v>
      </c>
      <c r="E66" s="83" t="s">
        <v>498</v>
      </c>
      <c r="F66" s="83"/>
      <c r="G66" s="90" t="s">
        <v>677</v>
      </c>
      <c r="H66" s="83">
        <v>57</v>
      </c>
      <c r="I66" s="83">
        <v>317</v>
      </c>
      <c r="J66" s="85">
        <v>44711</v>
      </c>
      <c r="K66" s="85">
        <v>44797</v>
      </c>
      <c r="L66" s="86">
        <v>1939280</v>
      </c>
      <c r="M66" s="255">
        <v>21</v>
      </c>
      <c r="N66" s="254">
        <v>6</v>
      </c>
      <c r="O66" s="110">
        <v>6</v>
      </c>
      <c r="P66" s="318">
        <f t="shared" ref="P66:P97" si="4">N66/M66</f>
        <v>0.2857142857142857</v>
      </c>
      <c r="Q66" s="312">
        <f t="shared" ref="Q66:Q97" si="5">O66/M66</f>
        <v>0.2857142857142857</v>
      </c>
    </row>
    <row r="67" spans="1:18">
      <c r="A67" s="418">
        <v>65</v>
      </c>
      <c r="B67" s="81" t="s">
        <v>676</v>
      </c>
      <c r="C67" s="83" t="s">
        <v>520</v>
      </c>
      <c r="D67" s="83" t="s">
        <v>661</v>
      </c>
      <c r="E67" s="83" t="s">
        <v>543</v>
      </c>
      <c r="F67" s="83"/>
      <c r="G67" s="88" t="s">
        <v>675</v>
      </c>
      <c r="H67" s="83">
        <v>70</v>
      </c>
      <c r="I67" s="83">
        <v>280</v>
      </c>
      <c r="J67" s="85">
        <v>44711</v>
      </c>
      <c r="K67" s="85">
        <v>44820</v>
      </c>
      <c r="L67" s="87">
        <v>1832600</v>
      </c>
      <c r="M67" s="255">
        <v>14</v>
      </c>
      <c r="N67" s="255">
        <v>12</v>
      </c>
      <c r="O67" s="110">
        <v>13</v>
      </c>
      <c r="P67" s="318">
        <f t="shared" si="4"/>
        <v>0.8571428571428571</v>
      </c>
      <c r="Q67" s="312">
        <f t="shared" si="5"/>
        <v>0.9285714285714286</v>
      </c>
    </row>
    <row r="68" spans="1:18" s="14" customFormat="1">
      <c r="A68" s="475">
        <v>66</v>
      </c>
      <c r="B68" s="422" t="s">
        <v>673</v>
      </c>
      <c r="C68" s="275" t="s">
        <v>495</v>
      </c>
      <c r="D68" s="275" t="s">
        <v>499</v>
      </c>
      <c r="E68" s="275" t="s">
        <v>543</v>
      </c>
      <c r="F68" s="275"/>
      <c r="G68" s="344" t="s">
        <v>674</v>
      </c>
      <c r="H68" s="275">
        <v>44</v>
      </c>
      <c r="I68" s="275">
        <v>130</v>
      </c>
      <c r="J68" s="300">
        <v>44683</v>
      </c>
      <c r="K68" s="300">
        <v>44729</v>
      </c>
      <c r="L68" s="304">
        <v>1026380</v>
      </c>
      <c r="M68" s="302">
        <v>20</v>
      </c>
      <c r="N68" s="302">
        <v>10</v>
      </c>
      <c r="O68" s="303">
        <v>10</v>
      </c>
      <c r="P68" s="315">
        <f t="shared" si="4"/>
        <v>0.5</v>
      </c>
      <c r="Q68" s="311">
        <f t="shared" si="5"/>
        <v>0.5</v>
      </c>
    </row>
    <row r="69" spans="1:18" s="14" customFormat="1" ht="17.25" thickBot="1">
      <c r="A69" s="475">
        <v>67</v>
      </c>
      <c r="B69" s="413" t="s">
        <v>673</v>
      </c>
      <c r="C69" s="382" t="s">
        <v>495</v>
      </c>
      <c r="D69" s="382" t="s">
        <v>525</v>
      </c>
      <c r="E69" s="382" t="s">
        <v>498</v>
      </c>
      <c r="F69" s="382"/>
      <c r="G69" s="387" t="s">
        <v>672</v>
      </c>
      <c r="H69" s="382">
        <v>34</v>
      </c>
      <c r="I69" s="382">
        <v>135</v>
      </c>
      <c r="J69" s="384">
        <v>44704</v>
      </c>
      <c r="K69" s="384">
        <v>44750</v>
      </c>
      <c r="L69" s="388">
        <v>977630</v>
      </c>
      <c r="M69" s="385">
        <v>20</v>
      </c>
      <c r="N69" s="385">
        <v>10</v>
      </c>
      <c r="O69" s="391">
        <v>10</v>
      </c>
      <c r="P69" s="398">
        <f t="shared" si="4"/>
        <v>0.5</v>
      </c>
      <c r="Q69" s="395">
        <f t="shared" si="5"/>
        <v>0.5</v>
      </c>
      <c r="R69" s="476">
        <f>SUM(N49:N69)/SUM(M49:M69)</f>
        <v>0.70327102803738317</v>
      </c>
    </row>
    <row r="70" spans="1:18" ht="16.5" customHeight="1">
      <c r="A70" s="418">
        <v>68</v>
      </c>
      <c r="B70" s="257" t="s">
        <v>671</v>
      </c>
      <c r="C70" s="224" t="s">
        <v>539</v>
      </c>
      <c r="D70" s="224" t="s">
        <v>525</v>
      </c>
      <c r="E70" s="224" t="s">
        <v>498</v>
      </c>
      <c r="F70" s="224" t="s">
        <v>643</v>
      </c>
      <c r="G70" s="285" t="s">
        <v>670</v>
      </c>
      <c r="H70" s="224">
        <v>87</v>
      </c>
      <c r="I70" s="224">
        <v>348</v>
      </c>
      <c r="J70" s="225">
        <v>44713</v>
      </c>
      <c r="K70" s="225">
        <v>44846</v>
      </c>
      <c r="L70" s="283">
        <v>2292620</v>
      </c>
      <c r="M70" s="277">
        <v>20</v>
      </c>
      <c r="N70" s="277">
        <v>13</v>
      </c>
      <c r="O70" s="284">
        <v>13</v>
      </c>
      <c r="P70" s="319">
        <f t="shared" si="4"/>
        <v>0.65</v>
      </c>
      <c r="Q70" s="323">
        <f t="shared" si="5"/>
        <v>0.65</v>
      </c>
    </row>
    <row r="71" spans="1:18">
      <c r="A71" s="418">
        <v>69</v>
      </c>
      <c r="B71" s="81" t="s">
        <v>364</v>
      </c>
      <c r="C71" s="83" t="s">
        <v>520</v>
      </c>
      <c r="D71" s="83" t="s">
        <v>567</v>
      </c>
      <c r="E71" s="83" t="s">
        <v>498</v>
      </c>
      <c r="F71" s="83" t="s">
        <v>643</v>
      </c>
      <c r="G71" s="88" t="s">
        <v>669</v>
      </c>
      <c r="H71" s="83">
        <v>73</v>
      </c>
      <c r="I71" s="83">
        <v>290</v>
      </c>
      <c r="J71" s="85">
        <v>44714</v>
      </c>
      <c r="K71" s="85">
        <v>44820</v>
      </c>
      <c r="L71" s="87">
        <v>1629510</v>
      </c>
      <c r="M71" s="255">
        <v>17</v>
      </c>
      <c r="N71" s="255">
        <v>8</v>
      </c>
      <c r="O71" s="110">
        <v>9</v>
      </c>
      <c r="P71" s="318">
        <f t="shared" si="4"/>
        <v>0.47058823529411764</v>
      </c>
      <c r="Q71" s="312">
        <f t="shared" si="5"/>
        <v>0.52941176470588236</v>
      </c>
    </row>
    <row r="72" spans="1:18">
      <c r="A72" s="418">
        <v>70</v>
      </c>
      <c r="B72" s="81" t="s">
        <v>364</v>
      </c>
      <c r="C72" s="82" t="s">
        <v>517</v>
      </c>
      <c r="D72" s="82" t="s">
        <v>499</v>
      </c>
      <c r="E72" s="82" t="s">
        <v>502</v>
      </c>
      <c r="F72" s="82"/>
      <c r="G72" s="256" t="s">
        <v>668</v>
      </c>
      <c r="H72" s="82">
        <v>98</v>
      </c>
      <c r="I72" s="82">
        <v>782</v>
      </c>
      <c r="J72" s="84">
        <v>44719</v>
      </c>
      <c r="K72" s="84">
        <v>44866</v>
      </c>
      <c r="L72" s="86">
        <v>5151810</v>
      </c>
      <c r="M72" s="254">
        <v>35</v>
      </c>
      <c r="N72" s="254">
        <v>32</v>
      </c>
      <c r="O72" s="109">
        <v>35</v>
      </c>
      <c r="P72" s="318">
        <f t="shared" si="4"/>
        <v>0.91428571428571426</v>
      </c>
      <c r="Q72" s="312">
        <f t="shared" si="5"/>
        <v>1</v>
      </c>
    </row>
    <row r="73" spans="1:18">
      <c r="A73" s="418">
        <v>71</v>
      </c>
      <c r="B73" s="81" t="s">
        <v>364</v>
      </c>
      <c r="C73" s="83" t="s">
        <v>520</v>
      </c>
      <c r="D73" s="83" t="s">
        <v>525</v>
      </c>
      <c r="E73" s="83" t="s">
        <v>498</v>
      </c>
      <c r="F73" s="83" t="s">
        <v>594</v>
      </c>
      <c r="G73" s="88" t="s">
        <v>667</v>
      </c>
      <c r="H73" s="83">
        <v>75</v>
      </c>
      <c r="I73" s="83">
        <v>300</v>
      </c>
      <c r="J73" s="85">
        <v>44721</v>
      </c>
      <c r="K73" s="85">
        <v>44833</v>
      </c>
      <c r="L73" s="87">
        <v>1869300</v>
      </c>
      <c r="M73" s="255">
        <v>20</v>
      </c>
      <c r="N73" s="255">
        <v>13</v>
      </c>
      <c r="O73" s="110">
        <v>13</v>
      </c>
      <c r="P73" s="318">
        <f t="shared" si="4"/>
        <v>0.65</v>
      </c>
      <c r="Q73" s="312">
        <f t="shared" si="5"/>
        <v>0.65</v>
      </c>
    </row>
    <row r="74" spans="1:18">
      <c r="A74" s="418">
        <v>72</v>
      </c>
      <c r="B74" s="81" t="s">
        <v>364</v>
      </c>
      <c r="C74" s="83" t="s">
        <v>624</v>
      </c>
      <c r="D74" s="83" t="s">
        <v>574</v>
      </c>
      <c r="E74" s="83" t="s">
        <v>498</v>
      </c>
      <c r="F74" s="83" t="s">
        <v>594</v>
      </c>
      <c r="G74" s="90" t="s">
        <v>666</v>
      </c>
      <c r="H74" s="83">
        <v>64</v>
      </c>
      <c r="I74" s="83">
        <v>320</v>
      </c>
      <c r="J74" s="85">
        <v>44725</v>
      </c>
      <c r="K74" s="85">
        <v>44881</v>
      </c>
      <c r="L74" s="86">
        <v>2069760</v>
      </c>
      <c r="M74" s="255">
        <v>17</v>
      </c>
      <c r="N74" s="254">
        <v>17</v>
      </c>
      <c r="O74" s="110">
        <v>17</v>
      </c>
      <c r="P74" s="318">
        <f t="shared" si="4"/>
        <v>1</v>
      </c>
      <c r="Q74" s="312">
        <f t="shared" si="5"/>
        <v>1</v>
      </c>
    </row>
    <row r="75" spans="1:18">
      <c r="A75" s="418">
        <v>73</v>
      </c>
      <c r="B75" s="81" t="s">
        <v>364</v>
      </c>
      <c r="C75" s="83" t="s">
        <v>520</v>
      </c>
      <c r="D75" s="83" t="s">
        <v>519</v>
      </c>
      <c r="E75" s="83" t="s">
        <v>498</v>
      </c>
      <c r="F75" s="83"/>
      <c r="G75" s="88" t="s">
        <v>665</v>
      </c>
      <c r="H75" s="83">
        <v>75</v>
      </c>
      <c r="I75" s="83">
        <v>300</v>
      </c>
      <c r="J75" s="85">
        <v>44725</v>
      </c>
      <c r="K75" s="85">
        <v>44847</v>
      </c>
      <c r="L75" s="87">
        <v>1886400</v>
      </c>
      <c r="M75" s="255">
        <v>20</v>
      </c>
      <c r="N75" s="255">
        <v>6</v>
      </c>
      <c r="O75" s="110">
        <v>6</v>
      </c>
      <c r="P75" s="318">
        <f t="shared" si="4"/>
        <v>0.3</v>
      </c>
      <c r="Q75" s="312">
        <f t="shared" si="5"/>
        <v>0.3</v>
      </c>
    </row>
    <row r="76" spans="1:18">
      <c r="A76" s="418">
        <v>74</v>
      </c>
      <c r="B76" s="81" t="s">
        <v>364</v>
      </c>
      <c r="C76" s="83" t="s">
        <v>520</v>
      </c>
      <c r="D76" s="83" t="s">
        <v>574</v>
      </c>
      <c r="E76" s="83" t="s">
        <v>502</v>
      </c>
      <c r="F76" s="83"/>
      <c r="G76" s="88" t="s">
        <v>664</v>
      </c>
      <c r="H76" s="83">
        <v>164</v>
      </c>
      <c r="I76" s="83">
        <v>753</v>
      </c>
      <c r="J76" s="85">
        <v>44728</v>
      </c>
      <c r="K76" s="85">
        <v>44971</v>
      </c>
      <c r="L76" s="87">
        <v>4131240</v>
      </c>
      <c r="M76" s="255">
        <v>25</v>
      </c>
      <c r="N76" s="255">
        <v>14</v>
      </c>
      <c r="O76" s="110">
        <v>25</v>
      </c>
      <c r="P76" s="318">
        <f t="shared" si="4"/>
        <v>0.56000000000000005</v>
      </c>
      <c r="Q76" s="312">
        <f t="shared" si="5"/>
        <v>1</v>
      </c>
    </row>
    <row r="77" spans="1:18">
      <c r="A77" s="418">
        <v>75</v>
      </c>
      <c r="B77" s="81" t="s">
        <v>364</v>
      </c>
      <c r="C77" s="83" t="s">
        <v>520</v>
      </c>
      <c r="D77" s="83" t="s">
        <v>530</v>
      </c>
      <c r="E77" s="83" t="s">
        <v>502</v>
      </c>
      <c r="F77" s="83"/>
      <c r="G77" s="88" t="s">
        <v>663</v>
      </c>
      <c r="H77" s="83">
        <v>166</v>
      </c>
      <c r="I77" s="83">
        <v>661</v>
      </c>
      <c r="J77" s="85">
        <v>44728</v>
      </c>
      <c r="K77" s="85">
        <v>44973</v>
      </c>
      <c r="L77" s="87">
        <v>3714150</v>
      </c>
      <c r="M77" s="255">
        <v>20</v>
      </c>
      <c r="N77" s="255">
        <v>20</v>
      </c>
      <c r="O77" s="110">
        <v>31</v>
      </c>
      <c r="P77" s="318">
        <f t="shared" si="4"/>
        <v>1</v>
      </c>
      <c r="Q77" s="312">
        <f t="shared" si="5"/>
        <v>1.55</v>
      </c>
    </row>
    <row r="78" spans="1:18">
      <c r="A78" s="418">
        <v>76</v>
      </c>
      <c r="B78" s="81" t="s">
        <v>364</v>
      </c>
      <c r="C78" s="83" t="s">
        <v>626</v>
      </c>
      <c r="D78" s="83" t="s">
        <v>623</v>
      </c>
      <c r="E78" s="83" t="s">
        <v>498</v>
      </c>
      <c r="F78" s="83" t="s">
        <v>643</v>
      </c>
      <c r="G78" s="90" t="s">
        <v>662</v>
      </c>
      <c r="H78" s="83">
        <v>60</v>
      </c>
      <c r="I78" s="83">
        <v>300</v>
      </c>
      <c r="J78" s="85">
        <v>44732</v>
      </c>
      <c r="K78" s="85">
        <v>44818</v>
      </c>
      <c r="L78" s="86">
        <v>1940400</v>
      </c>
      <c r="M78" s="255">
        <v>11</v>
      </c>
      <c r="N78" s="254">
        <v>8</v>
      </c>
      <c r="O78" s="110">
        <v>13</v>
      </c>
      <c r="P78" s="318">
        <f t="shared" si="4"/>
        <v>0.72727272727272729</v>
      </c>
      <c r="Q78" s="312">
        <f t="shared" si="5"/>
        <v>1.1818181818181819</v>
      </c>
    </row>
    <row r="79" spans="1:18">
      <c r="A79" s="418">
        <v>77</v>
      </c>
      <c r="B79" s="81" t="s">
        <v>364</v>
      </c>
      <c r="C79" s="83" t="s">
        <v>520</v>
      </c>
      <c r="D79" s="83" t="s">
        <v>661</v>
      </c>
      <c r="E79" s="83" t="s">
        <v>502</v>
      </c>
      <c r="F79" s="83" t="s">
        <v>660</v>
      </c>
      <c r="G79" s="88" t="s">
        <v>758</v>
      </c>
      <c r="H79" s="83">
        <v>120</v>
      </c>
      <c r="I79" s="83">
        <v>600</v>
      </c>
      <c r="J79" s="85">
        <v>44732</v>
      </c>
      <c r="K79" s="85">
        <v>44911</v>
      </c>
      <c r="L79" s="87">
        <v>3371400</v>
      </c>
      <c r="M79" s="255">
        <v>12</v>
      </c>
      <c r="N79" s="255">
        <v>12</v>
      </c>
      <c r="O79" s="110">
        <v>12</v>
      </c>
      <c r="P79" s="318">
        <f t="shared" si="4"/>
        <v>1</v>
      </c>
      <c r="Q79" s="312">
        <f t="shared" si="5"/>
        <v>1</v>
      </c>
    </row>
    <row r="80" spans="1:18">
      <c r="A80" s="418">
        <v>78</v>
      </c>
      <c r="B80" s="81" t="s">
        <v>364</v>
      </c>
      <c r="C80" s="83" t="s">
        <v>568</v>
      </c>
      <c r="D80" s="83" t="s">
        <v>525</v>
      </c>
      <c r="E80" s="83" t="s">
        <v>498</v>
      </c>
      <c r="F80" s="83"/>
      <c r="G80" s="88" t="s">
        <v>659</v>
      </c>
      <c r="H80" s="83">
        <v>93</v>
      </c>
      <c r="I80" s="83">
        <v>370</v>
      </c>
      <c r="J80" s="85">
        <v>44735</v>
      </c>
      <c r="K80" s="85">
        <v>44875</v>
      </c>
      <c r="L80" s="87">
        <v>2305470</v>
      </c>
      <c r="M80" s="255">
        <v>20</v>
      </c>
      <c r="N80" s="255">
        <v>10</v>
      </c>
      <c r="O80" s="110">
        <v>10</v>
      </c>
      <c r="P80" s="318">
        <f t="shared" si="4"/>
        <v>0.5</v>
      </c>
      <c r="Q80" s="312">
        <f t="shared" si="5"/>
        <v>0.5</v>
      </c>
    </row>
    <row r="81" spans="1:18">
      <c r="A81" s="418">
        <v>79</v>
      </c>
      <c r="B81" s="81" t="s">
        <v>364</v>
      </c>
      <c r="C81" s="83" t="s">
        <v>568</v>
      </c>
      <c r="D81" s="83" t="s">
        <v>614</v>
      </c>
      <c r="E81" s="83" t="s">
        <v>498</v>
      </c>
      <c r="F81" s="83"/>
      <c r="G81" s="88" t="s">
        <v>658</v>
      </c>
      <c r="H81" s="83">
        <v>93</v>
      </c>
      <c r="I81" s="83">
        <v>370</v>
      </c>
      <c r="J81" s="85">
        <v>44740</v>
      </c>
      <c r="K81" s="85">
        <v>44914</v>
      </c>
      <c r="L81" s="87">
        <v>2305470</v>
      </c>
      <c r="M81" s="254">
        <v>20</v>
      </c>
      <c r="N81" s="255">
        <v>12</v>
      </c>
      <c r="O81" s="110">
        <v>15</v>
      </c>
      <c r="P81" s="318">
        <f t="shared" si="4"/>
        <v>0.6</v>
      </c>
      <c r="Q81" s="312">
        <f t="shared" si="5"/>
        <v>0.75</v>
      </c>
    </row>
    <row r="82" spans="1:18">
      <c r="A82" s="418">
        <v>80</v>
      </c>
      <c r="B82" s="81" t="s">
        <v>364</v>
      </c>
      <c r="C82" s="83" t="s">
        <v>568</v>
      </c>
      <c r="D82" s="83" t="s">
        <v>604</v>
      </c>
      <c r="E82" s="83" t="s">
        <v>502</v>
      </c>
      <c r="F82" s="83"/>
      <c r="G82" s="88" t="s">
        <v>657</v>
      </c>
      <c r="H82" s="83">
        <v>207</v>
      </c>
      <c r="I82" s="83">
        <v>870</v>
      </c>
      <c r="J82" s="85">
        <v>44741</v>
      </c>
      <c r="K82" s="85">
        <v>45054</v>
      </c>
      <c r="L82" s="87">
        <v>5266020</v>
      </c>
      <c r="M82" s="255">
        <v>20</v>
      </c>
      <c r="N82" s="255">
        <v>16</v>
      </c>
      <c r="O82" s="110">
        <v>30</v>
      </c>
      <c r="P82" s="318">
        <f t="shared" si="4"/>
        <v>0.8</v>
      </c>
      <c r="Q82" s="312">
        <f t="shared" si="5"/>
        <v>1.5</v>
      </c>
    </row>
    <row r="83" spans="1:18">
      <c r="A83" s="418">
        <v>81</v>
      </c>
      <c r="B83" s="81" t="s">
        <v>364</v>
      </c>
      <c r="C83" s="83" t="s">
        <v>568</v>
      </c>
      <c r="D83" s="83" t="s">
        <v>574</v>
      </c>
      <c r="E83" s="83" t="s">
        <v>502</v>
      </c>
      <c r="F83" s="83"/>
      <c r="G83" s="88" t="s">
        <v>656</v>
      </c>
      <c r="H83" s="83">
        <v>191</v>
      </c>
      <c r="I83" s="83">
        <v>870</v>
      </c>
      <c r="J83" s="85">
        <v>44742</v>
      </c>
      <c r="K83" s="85">
        <v>45023</v>
      </c>
      <c r="L83" s="87">
        <v>5274180</v>
      </c>
      <c r="M83" s="255">
        <v>21</v>
      </c>
      <c r="N83" s="255">
        <v>12</v>
      </c>
      <c r="O83" s="110">
        <v>22</v>
      </c>
      <c r="P83" s="318">
        <f t="shared" si="4"/>
        <v>0.5714285714285714</v>
      </c>
      <c r="Q83" s="312">
        <f t="shared" si="5"/>
        <v>1.0476190476190477</v>
      </c>
    </row>
    <row r="84" spans="1:18" s="14" customFormat="1" ht="17.25" thickBot="1">
      <c r="A84" s="475">
        <v>82</v>
      </c>
      <c r="B84" s="413" t="s">
        <v>364</v>
      </c>
      <c r="C84" s="382" t="s">
        <v>495</v>
      </c>
      <c r="D84" s="382" t="s">
        <v>525</v>
      </c>
      <c r="E84" s="382" t="s">
        <v>498</v>
      </c>
      <c r="F84" s="382"/>
      <c r="G84" s="387" t="s">
        <v>655</v>
      </c>
      <c r="H84" s="382">
        <v>34</v>
      </c>
      <c r="I84" s="382">
        <v>135</v>
      </c>
      <c r="J84" s="384">
        <v>44725</v>
      </c>
      <c r="K84" s="384">
        <v>44790</v>
      </c>
      <c r="L84" s="388">
        <v>977630</v>
      </c>
      <c r="M84" s="385">
        <v>20</v>
      </c>
      <c r="N84" s="411">
        <v>11</v>
      </c>
      <c r="O84" s="391">
        <v>11</v>
      </c>
      <c r="P84" s="398">
        <f t="shared" si="4"/>
        <v>0.55000000000000004</v>
      </c>
      <c r="Q84" s="395">
        <f t="shared" si="5"/>
        <v>0.55000000000000004</v>
      </c>
      <c r="R84" s="476">
        <f>SUM(N70:N84)/SUM(M70:M84)</f>
        <v>0.68456375838926176</v>
      </c>
    </row>
    <row r="85" spans="1:18">
      <c r="A85" s="418">
        <v>83</v>
      </c>
      <c r="B85" s="257" t="s">
        <v>637</v>
      </c>
      <c r="C85" s="224" t="s">
        <v>571</v>
      </c>
      <c r="D85" s="224" t="s">
        <v>525</v>
      </c>
      <c r="E85" s="224" t="s">
        <v>502</v>
      </c>
      <c r="F85" s="224"/>
      <c r="G85" s="333" t="s">
        <v>654</v>
      </c>
      <c r="H85" s="224">
        <v>85</v>
      </c>
      <c r="I85" s="224">
        <v>675</v>
      </c>
      <c r="J85" s="225">
        <v>44749</v>
      </c>
      <c r="K85" s="225">
        <v>44874</v>
      </c>
      <c r="L85" s="112">
        <v>4417870</v>
      </c>
      <c r="M85" s="277">
        <v>20</v>
      </c>
      <c r="N85" s="259">
        <v>8</v>
      </c>
      <c r="O85" s="284">
        <v>11</v>
      </c>
      <c r="P85" s="319">
        <f t="shared" si="4"/>
        <v>0.4</v>
      </c>
      <c r="Q85" s="323">
        <f t="shared" si="5"/>
        <v>0.55000000000000004</v>
      </c>
    </row>
    <row r="86" spans="1:18">
      <c r="A86" s="418">
        <v>84</v>
      </c>
      <c r="B86" s="81" t="s">
        <v>635</v>
      </c>
      <c r="C86" s="83" t="s">
        <v>539</v>
      </c>
      <c r="D86" s="83" t="s">
        <v>530</v>
      </c>
      <c r="E86" s="83" t="s">
        <v>498</v>
      </c>
      <c r="F86" s="83"/>
      <c r="G86" s="293" t="s">
        <v>653</v>
      </c>
      <c r="H86" s="83">
        <v>70</v>
      </c>
      <c r="I86" s="83">
        <v>280</v>
      </c>
      <c r="J86" s="85">
        <v>44754</v>
      </c>
      <c r="K86" s="85">
        <v>44858</v>
      </c>
      <c r="L86" s="86">
        <v>1844640</v>
      </c>
      <c r="M86" s="255">
        <v>20</v>
      </c>
      <c r="N86" s="254">
        <v>12</v>
      </c>
      <c r="O86" s="110">
        <v>20</v>
      </c>
      <c r="P86" s="318">
        <f t="shared" si="4"/>
        <v>0.6</v>
      </c>
      <c r="Q86" s="312">
        <f t="shared" si="5"/>
        <v>1</v>
      </c>
    </row>
    <row r="87" spans="1:18">
      <c r="A87" s="418">
        <v>85</v>
      </c>
      <c r="B87" s="81" t="s">
        <v>635</v>
      </c>
      <c r="C87" s="83" t="s">
        <v>539</v>
      </c>
      <c r="D87" s="83" t="s">
        <v>559</v>
      </c>
      <c r="E87" s="83" t="s">
        <v>502</v>
      </c>
      <c r="F87" s="83"/>
      <c r="G87" s="293" t="s">
        <v>638</v>
      </c>
      <c r="H87" s="83">
        <v>131</v>
      </c>
      <c r="I87" s="83">
        <v>650</v>
      </c>
      <c r="J87" s="85">
        <v>44754</v>
      </c>
      <c r="K87" s="85">
        <v>44943</v>
      </c>
      <c r="L87" s="86">
        <v>4282200</v>
      </c>
      <c r="M87" s="255">
        <v>20</v>
      </c>
      <c r="N87" s="254">
        <v>19</v>
      </c>
      <c r="O87" s="110">
        <v>19</v>
      </c>
      <c r="P87" s="318">
        <f t="shared" si="4"/>
        <v>0.95</v>
      </c>
      <c r="Q87" s="312">
        <f t="shared" si="5"/>
        <v>0.95</v>
      </c>
    </row>
    <row r="88" spans="1:18" s="1" customFormat="1" ht="16.5" customHeight="1">
      <c r="A88" s="418">
        <v>86</v>
      </c>
      <c r="B88" s="81" t="s">
        <v>637</v>
      </c>
      <c r="C88" s="83" t="s">
        <v>568</v>
      </c>
      <c r="D88" s="83" t="s">
        <v>525</v>
      </c>
      <c r="E88" s="83" t="s">
        <v>498</v>
      </c>
      <c r="F88" s="83"/>
      <c r="G88" s="289" t="s">
        <v>652</v>
      </c>
      <c r="H88" s="83">
        <v>124</v>
      </c>
      <c r="I88" s="83">
        <v>370</v>
      </c>
      <c r="J88" s="290">
        <v>44754</v>
      </c>
      <c r="K88" s="290">
        <v>44932</v>
      </c>
      <c r="L88" s="86">
        <v>2305470</v>
      </c>
      <c r="M88" s="291">
        <v>20</v>
      </c>
      <c r="N88" s="292">
        <v>13</v>
      </c>
      <c r="O88" s="110">
        <v>14</v>
      </c>
      <c r="P88" s="318">
        <f t="shared" si="4"/>
        <v>0.65</v>
      </c>
      <c r="Q88" s="312">
        <f t="shared" si="5"/>
        <v>0.7</v>
      </c>
    </row>
    <row r="89" spans="1:18" s="1" customFormat="1" ht="16.5" customHeight="1">
      <c r="A89" s="418">
        <v>87</v>
      </c>
      <c r="B89" s="81" t="s">
        <v>635</v>
      </c>
      <c r="C89" s="83" t="s">
        <v>568</v>
      </c>
      <c r="D89" s="83" t="s">
        <v>559</v>
      </c>
      <c r="E89" s="83" t="s">
        <v>543</v>
      </c>
      <c r="F89" s="83"/>
      <c r="G89" s="289" t="s">
        <v>651</v>
      </c>
      <c r="H89" s="83">
        <v>124</v>
      </c>
      <c r="I89" s="83">
        <v>370</v>
      </c>
      <c r="J89" s="290">
        <v>44754</v>
      </c>
      <c r="K89" s="290">
        <v>44943</v>
      </c>
      <c r="L89" s="86">
        <v>2305470</v>
      </c>
      <c r="M89" s="291">
        <v>13</v>
      </c>
      <c r="N89" s="292">
        <v>11</v>
      </c>
      <c r="O89" s="110">
        <v>11</v>
      </c>
      <c r="P89" s="318">
        <f t="shared" si="4"/>
        <v>0.84615384615384615</v>
      </c>
      <c r="Q89" s="312">
        <f t="shared" si="5"/>
        <v>0.84615384615384615</v>
      </c>
    </row>
    <row r="90" spans="1:18" s="294" customFormat="1">
      <c r="A90" s="418">
        <v>88</v>
      </c>
      <c r="B90" s="81" t="s">
        <v>635</v>
      </c>
      <c r="C90" s="83" t="s">
        <v>533</v>
      </c>
      <c r="D90" s="83" t="s">
        <v>567</v>
      </c>
      <c r="E90" s="83" t="s">
        <v>543</v>
      </c>
      <c r="F90" s="83"/>
      <c r="G90" s="293" t="s">
        <v>650</v>
      </c>
      <c r="H90" s="83">
        <v>93</v>
      </c>
      <c r="I90" s="83">
        <v>370</v>
      </c>
      <c r="J90" s="85">
        <v>44754</v>
      </c>
      <c r="K90" s="85">
        <v>44889</v>
      </c>
      <c r="L90" s="86">
        <v>2305470</v>
      </c>
      <c r="M90" s="255">
        <v>15</v>
      </c>
      <c r="N90" s="254">
        <v>13</v>
      </c>
      <c r="O90" s="110">
        <v>13</v>
      </c>
      <c r="P90" s="318">
        <f t="shared" si="4"/>
        <v>0.8666666666666667</v>
      </c>
      <c r="Q90" s="312">
        <f t="shared" si="5"/>
        <v>0.8666666666666667</v>
      </c>
    </row>
    <row r="91" spans="1:18" s="294" customFormat="1">
      <c r="A91" s="418">
        <v>89</v>
      </c>
      <c r="B91" s="81" t="s">
        <v>637</v>
      </c>
      <c r="C91" s="82" t="s">
        <v>517</v>
      </c>
      <c r="D91" s="83" t="s">
        <v>525</v>
      </c>
      <c r="E91" s="83" t="s">
        <v>502</v>
      </c>
      <c r="F91" s="83"/>
      <c r="G91" s="293" t="s">
        <v>649</v>
      </c>
      <c r="H91" s="83">
        <v>112</v>
      </c>
      <c r="I91" s="83">
        <v>782</v>
      </c>
      <c r="J91" s="85">
        <v>44755</v>
      </c>
      <c r="K91" s="85">
        <v>44910</v>
      </c>
      <c r="L91" s="86">
        <v>5151810</v>
      </c>
      <c r="M91" s="255">
        <v>35</v>
      </c>
      <c r="N91" s="254">
        <v>32</v>
      </c>
      <c r="O91" s="110">
        <v>32</v>
      </c>
      <c r="P91" s="318">
        <f t="shared" si="4"/>
        <v>0.91428571428571426</v>
      </c>
      <c r="Q91" s="312">
        <f t="shared" si="5"/>
        <v>0.91428571428571426</v>
      </c>
    </row>
    <row r="92" spans="1:18" s="294" customFormat="1">
      <c r="A92" s="418">
        <v>90</v>
      </c>
      <c r="B92" s="81" t="s">
        <v>637</v>
      </c>
      <c r="C92" s="82" t="s">
        <v>517</v>
      </c>
      <c r="D92" s="83" t="s">
        <v>499</v>
      </c>
      <c r="E92" s="83" t="s">
        <v>529</v>
      </c>
      <c r="F92" s="83" t="s">
        <v>648</v>
      </c>
      <c r="G92" s="474" t="s">
        <v>647</v>
      </c>
      <c r="H92" s="82">
        <v>118</v>
      </c>
      <c r="I92" s="82">
        <v>944</v>
      </c>
      <c r="J92" s="84">
        <v>44755</v>
      </c>
      <c r="K92" s="84">
        <v>44925</v>
      </c>
      <c r="L92" s="86">
        <v>8067420</v>
      </c>
      <c r="M92" s="254">
        <v>35</v>
      </c>
      <c r="N92" s="254">
        <v>21</v>
      </c>
      <c r="O92" s="109">
        <v>21</v>
      </c>
      <c r="P92" s="317">
        <f t="shared" si="4"/>
        <v>0.6</v>
      </c>
      <c r="Q92" s="312">
        <f t="shared" si="5"/>
        <v>0.6</v>
      </c>
    </row>
    <row r="93" spans="1:18" s="294" customFormat="1">
      <c r="A93" s="418">
        <v>91</v>
      </c>
      <c r="B93" s="81" t="s">
        <v>637</v>
      </c>
      <c r="C93" s="82" t="s">
        <v>537</v>
      </c>
      <c r="D93" s="83" t="s">
        <v>525</v>
      </c>
      <c r="E93" s="83" t="s">
        <v>502</v>
      </c>
      <c r="F93" s="83"/>
      <c r="G93" s="256" t="s">
        <v>646</v>
      </c>
      <c r="H93" s="82">
        <v>98</v>
      </c>
      <c r="I93" s="82">
        <v>782</v>
      </c>
      <c r="J93" s="84">
        <v>44756</v>
      </c>
      <c r="K93" s="84">
        <v>44907</v>
      </c>
      <c r="L93" s="86">
        <v>5151810</v>
      </c>
      <c r="M93" s="254">
        <v>21</v>
      </c>
      <c r="N93" s="254">
        <v>20</v>
      </c>
      <c r="O93" s="109">
        <v>21</v>
      </c>
      <c r="P93" s="317">
        <f t="shared" si="4"/>
        <v>0.95238095238095233</v>
      </c>
      <c r="Q93" s="312">
        <f t="shared" si="5"/>
        <v>1</v>
      </c>
    </row>
    <row r="94" spans="1:18" s="294" customFormat="1">
      <c r="A94" s="418">
        <v>92</v>
      </c>
      <c r="B94" s="81" t="s">
        <v>635</v>
      </c>
      <c r="C94" s="82" t="s">
        <v>571</v>
      </c>
      <c r="D94" s="82" t="s">
        <v>525</v>
      </c>
      <c r="E94" s="82" t="s">
        <v>498</v>
      </c>
      <c r="F94" s="82" t="s">
        <v>643</v>
      </c>
      <c r="G94" s="256" t="s">
        <v>645</v>
      </c>
      <c r="H94" s="82">
        <v>58</v>
      </c>
      <c r="I94" s="82">
        <v>290</v>
      </c>
      <c r="J94" s="84">
        <v>44756</v>
      </c>
      <c r="K94" s="84">
        <v>44841</v>
      </c>
      <c r="L94" s="86">
        <v>1806990</v>
      </c>
      <c r="M94" s="254">
        <v>20</v>
      </c>
      <c r="N94" s="254">
        <v>11</v>
      </c>
      <c r="O94" s="109">
        <v>11</v>
      </c>
      <c r="P94" s="317">
        <f t="shared" si="4"/>
        <v>0.55000000000000004</v>
      </c>
      <c r="Q94" s="312">
        <f t="shared" si="5"/>
        <v>0.55000000000000004</v>
      </c>
    </row>
    <row r="95" spans="1:18" s="294" customFormat="1">
      <c r="A95" s="418">
        <v>93</v>
      </c>
      <c r="B95" s="81" t="s">
        <v>635</v>
      </c>
      <c r="C95" s="82" t="s">
        <v>626</v>
      </c>
      <c r="D95" s="82" t="s">
        <v>574</v>
      </c>
      <c r="E95" s="82" t="s">
        <v>498</v>
      </c>
      <c r="F95" s="82" t="s">
        <v>594</v>
      </c>
      <c r="G95" s="256" t="s">
        <v>644</v>
      </c>
      <c r="H95" s="82">
        <v>52</v>
      </c>
      <c r="I95" s="82">
        <v>260</v>
      </c>
      <c r="J95" s="84">
        <v>44760</v>
      </c>
      <c r="K95" s="84">
        <v>44861</v>
      </c>
      <c r="L95" s="86">
        <v>1681680</v>
      </c>
      <c r="M95" s="254">
        <v>10</v>
      </c>
      <c r="N95" s="254">
        <v>8</v>
      </c>
      <c r="O95" s="109">
        <v>11</v>
      </c>
      <c r="P95" s="317">
        <f t="shared" si="4"/>
        <v>0.8</v>
      </c>
      <c r="Q95" s="312">
        <f t="shared" si="5"/>
        <v>1.1000000000000001</v>
      </c>
    </row>
    <row r="96" spans="1:18" s="294" customFormat="1">
      <c r="A96" s="418">
        <v>94</v>
      </c>
      <c r="B96" s="81" t="s">
        <v>637</v>
      </c>
      <c r="C96" s="83" t="s">
        <v>520</v>
      </c>
      <c r="D96" s="83" t="s">
        <v>561</v>
      </c>
      <c r="E96" s="83" t="s">
        <v>498</v>
      </c>
      <c r="F96" s="83" t="s">
        <v>643</v>
      </c>
      <c r="G96" s="295" t="s">
        <v>642</v>
      </c>
      <c r="H96" s="83">
        <v>70</v>
      </c>
      <c r="I96" s="83">
        <v>350</v>
      </c>
      <c r="J96" s="85">
        <v>44761</v>
      </c>
      <c r="K96" s="85">
        <v>44865</v>
      </c>
      <c r="L96" s="86">
        <v>2305800</v>
      </c>
      <c r="M96" s="255">
        <v>21</v>
      </c>
      <c r="N96" s="254">
        <v>7</v>
      </c>
      <c r="O96" s="110">
        <v>7</v>
      </c>
      <c r="P96" s="317">
        <f t="shared" si="4"/>
        <v>0.33333333333333331</v>
      </c>
      <c r="Q96" s="312">
        <f t="shared" si="5"/>
        <v>0.33333333333333331</v>
      </c>
    </row>
    <row r="97" spans="1:18" s="294" customFormat="1" ht="16.5" customHeight="1">
      <c r="A97" s="418">
        <v>95</v>
      </c>
      <c r="B97" s="81" t="s">
        <v>637</v>
      </c>
      <c r="C97" s="83" t="s">
        <v>539</v>
      </c>
      <c r="D97" s="83" t="s">
        <v>546</v>
      </c>
      <c r="E97" s="83" t="s">
        <v>543</v>
      </c>
      <c r="F97" s="83" t="s">
        <v>641</v>
      </c>
      <c r="G97" s="293" t="s">
        <v>640</v>
      </c>
      <c r="H97" s="83">
        <v>80</v>
      </c>
      <c r="I97" s="83">
        <v>320</v>
      </c>
      <c r="J97" s="85">
        <v>44763</v>
      </c>
      <c r="K97" s="85">
        <v>44881</v>
      </c>
      <c r="L97" s="86">
        <v>2012160</v>
      </c>
      <c r="M97" s="255">
        <v>22</v>
      </c>
      <c r="N97" s="254">
        <v>10</v>
      </c>
      <c r="O97" s="110">
        <v>11</v>
      </c>
      <c r="P97" s="317">
        <f t="shared" si="4"/>
        <v>0.45454545454545453</v>
      </c>
      <c r="Q97" s="312">
        <f t="shared" si="5"/>
        <v>0.5</v>
      </c>
    </row>
    <row r="98" spans="1:18" s="294" customFormat="1">
      <c r="A98" s="418">
        <v>96</v>
      </c>
      <c r="B98" s="81" t="s">
        <v>637</v>
      </c>
      <c r="C98" s="82" t="s">
        <v>517</v>
      </c>
      <c r="D98" s="83" t="s">
        <v>628</v>
      </c>
      <c r="E98" s="83" t="s">
        <v>498</v>
      </c>
      <c r="F98" s="83" t="s">
        <v>591</v>
      </c>
      <c r="G98" s="293" t="s">
        <v>639</v>
      </c>
      <c r="H98" s="83">
        <v>70</v>
      </c>
      <c r="I98" s="83">
        <v>280</v>
      </c>
      <c r="J98" s="85">
        <v>44763</v>
      </c>
      <c r="K98" s="85">
        <v>44868</v>
      </c>
      <c r="L98" s="86">
        <v>1844640</v>
      </c>
      <c r="M98" s="255">
        <v>30</v>
      </c>
      <c r="N98" s="254">
        <v>29</v>
      </c>
      <c r="O98" s="110">
        <v>30</v>
      </c>
      <c r="P98" s="317">
        <f t="shared" ref="P98:P129" si="6">N98/M98</f>
        <v>0.96666666666666667</v>
      </c>
      <c r="Q98" s="312">
        <f t="shared" ref="Q98:Q129" si="7">O98/M98</f>
        <v>1</v>
      </c>
    </row>
    <row r="99" spans="1:18" s="294" customFormat="1" ht="16.5" customHeight="1">
      <c r="A99" s="418">
        <v>97</v>
      </c>
      <c r="B99" s="81" t="s">
        <v>635</v>
      </c>
      <c r="C99" s="82" t="s">
        <v>537</v>
      </c>
      <c r="D99" s="83" t="s">
        <v>509</v>
      </c>
      <c r="E99" s="83" t="s">
        <v>502</v>
      </c>
      <c r="F99" s="83"/>
      <c r="G99" s="293" t="s">
        <v>638</v>
      </c>
      <c r="H99" s="83">
        <v>110</v>
      </c>
      <c r="I99" s="83">
        <v>875</v>
      </c>
      <c r="J99" s="85">
        <v>44767</v>
      </c>
      <c r="K99" s="85">
        <v>44925</v>
      </c>
      <c r="L99" s="86">
        <v>5579610</v>
      </c>
      <c r="M99" s="255">
        <v>30</v>
      </c>
      <c r="N99" s="254">
        <v>13</v>
      </c>
      <c r="O99" s="110">
        <v>16</v>
      </c>
      <c r="P99" s="317">
        <f t="shared" si="6"/>
        <v>0.43333333333333335</v>
      </c>
      <c r="Q99" s="312">
        <f t="shared" si="7"/>
        <v>0.53333333333333333</v>
      </c>
    </row>
    <row r="100" spans="1:18" s="294" customFormat="1" ht="16.5" customHeight="1">
      <c r="A100" s="418">
        <v>98</v>
      </c>
      <c r="B100" s="81" t="s">
        <v>637</v>
      </c>
      <c r="C100" s="83" t="s">
        <v>537</v>
      </c>
      <c r="D100" s="83" t="s">
        <v>525</v>
      </c>
      <c r="E100" s="83" t="s">
        <v>529</v>
      </c>
      <c r="F100" s="83"/>
      <c r="G100" s="293" t="s">
        <v>636</v>
      </c>
      <c r="H100" s="83">
        <v>98</v>
      </c>
      <c r="I100" s="83">
        <v>875</v>
      </c>
      <c r="J100" s="85">
        <v>44768</v>
      </c>
      <c r="K100" s="85">
        <v>44914</v>
      </c>
      <c r="L100" s="86">
        <v>5579610</v>
      </c>
      <c r="M100" s="255">
        <v>35</v>
      </c>
      <c r="N100" s="254">
        <v>27</v>
      </c>
      <c r="O100" s="110">
        <v>31</v>
      </c>
      <c r="P100" s="317">
        <f t="shared" si="6"/>
        <v>0.77142857142857146</v>
      </c>
      <c r="Q100" s="312">
        <f t="shared" si="7"/>
        <v>0.88571428571428568</v>
      </c>
    </row>
    <row r="101" spans="1:18" s="305" customFormat="1" ht="17.25" thickBot="1">
      <c r="A101" s="475">
        <v>99</v>
      </c>
      <c r="B101" s="439" t="s">
        <v>635</v>
      </c>
      <c r="C101" s="276" t="s">
        <v>553</v>
      </c>
      <c r="D101" s="276" t="s">
        <v>499</v>
      </c>
      <c r="E101" s="276" t="s">
        <v>498</v>
      </c>
      <c r="F101" s="276"/>
      <c r="G101" s="389" t="s">
        <v>634</v>
      </c>
      <c r="H101" s="276">
        <v>44</v>
      </c>
      <c r="I101" s="276">
        <v>130</v>
      </c>
      <c r="J101" s="378">
        <v>44760</v>
      </c>
      <c r="K101" s="378">
        <v>44845</v>
      </c>
      <c r="L101" s="346">
        <v>1026380</v>
      </c>
      <c r="M101" s="379">
        <v>20</v>
      </c>
      <c r="N101" s="348">
        <v>14</v>
      </c>
      <c r="O101" s="393">
        <v>14</v>
      </c>
      <c r="P101" s="400">
        <f t="shared" si="6"/>
        <v>0.7</v>
      </c>
      <c r="Q101" s="397">
        <f t="shared" si="7"/>
        <v>0.7</v>
      </c>
      <c r="R101" s="476">
        <f>SUM(N85:N101)/SUM(M85:M101)</f>
        <v>0.69250645994832039</v>
      </c>
    </row>
    <row r="102" spans="1:18" s="294" customFormat="1" ht="16.5" customHeight="1">
      <c r="A102" s="418">
        <v>100</v>
      </c>
      <c r="B102" s="257" t="s">
        <v>633</v>
      </c>
      <c r="C102" s="113" t="s">
        <v>537</v>
      </c>
      <c r="D102" s="113" t="s">
        <v>499</v>
      </c>
      <c r="E102" s="113" t="s">
        <v>502</v>
      </c>
      <c r="F102" s="113"/>
      <c r="G102" s="269" t="s">
        <v>632</v>
      </c>
      <c r="H102" s="113">
        <v>98</v>
      </c>
      <c r="I102" s="113">
        <v>782</v>
      </c>
      <c r="J102" s="264">
        <v>44776</v>
      </c>
      <c r="K102" s="264">
        <v>44918</v>
      </c>
      <c r="L102" s="112">
        <v>5151810</v>
      </c>
      <c r="M102" s="259">
        <v>35</v>
      </c>
      <c r="N102" s="259">
        <v>34</v>
      </c>
      <c r="O102" s="265">
        <v>35</v>
      </c>
      <c r="P102" s="334">
        <f t="shared" si="6"/>
        <v>0.97142857142857142</v>
      </c>
      <c r="Q102" s="323">
        <f t="shared" si="7"/>
        <v>1</v>
      </c>
    </row>
    <row r="103" spans="1:18">
      <c r="A103" s="418">
        <v>101</v>
      </c>
      <c r="B103" s="81" t="s">
        <v>629</v>
      </c>
      <c r="C103" s="83" t="s">
        <v>520</v>
      </c>
      <c r="D103" s="83" t="s">
        <v>628</v>
      </c>
      <c r="E103" s="83" t="s">
        <v>529</v>
      </c>
      <c r="F103" s="83"/>
      <c r="G103" s="88" t="s">
        <v>631</v>
      </c>
      <c r="H103" s="83">
        <v>137</v>
      </c>
      <c r="I103" s="83">
        <v>546</v>
      </c>
      <c r="J103" s="85">
        <v>44784</v>
      </c>
      <c r="K103" s="85">
        <v>44999</v>
      </c>
      <c r="L103" s="87">
        <v>3067970</v>
      </c>
      <c r="M103" s="255">
        <v>20</v>
      </c>
      <c r="N103" s="255">
        <v>14</v>
      </c>
      <c r="O103" s="108">
        <v>14</v>
      </c>
      <c r="P103" s="335">
        <f t="shared" si="6"/>
        <v>0.7</v>
      </c>
      <c r="Q103" s="336">
        <f t="shared" si="7"/>
        <v>0.7</v>
      </c>
    </row>
    <row r="104" spans="1:18">
      <c r="A104" s="418">
        <v>102</v>
      </c>
      <c r="B104" s="81" t="s">
        <v>616</v>
      </c>
      <c r="C104" s="83" t="s">
        <v>520</v>
      </c>
      <c r="D104" s="83" t="s">
        <v>546</v>
      </c>
      <c r="E104" s="83" t="s">
        <v>502</v>
      </c>
      <c r="F104" s="83"/>
      <c r="G104" s="88" t="s">
        <v>630</v>
      </c>
      <c r="H104" s="83">
        <v>120</v>
      </c>
      <c r="I104" s="83">
        <v>676</v>
      </c>
      <c r="J104" s="85">
        <v>44789</v>
      </c>
      <c r="K104" s="85">
        <v>44964</v>
      </c>
      <c r="L104" s="87">
        <v>3721000</v>
      </c>
      <c r="M104" s="255">
        <v>20</v>
      </c>
      <c r="N104" s="255">
        <v>18</v>
      </c>
      <c r="O104" s="110">
        <v>21</v>
      </c>
      <c r="P104" s="317">
        <f t="shared" si="6"/>
        <v>0.9</v>
      </c>
      <c r="Q104" s="312">
        <f t="shared" si="7"/>
        <v>1.05</v>
      </c>
    </row>
    <row r="105" spans="1:18">
      <c r="A105" s="418">
        <v>103</v>
      </c>
      <c r="B105" s="81" t="s">
        <v>629</v>
      </c>
      <c r="C105" s="82" t="s">
        <v>517</v>
      </c>
      <c r="D105" s="82" t="s">
        <v>628</v>
      </c>
      <c r="E105" s="82" t="s">
        <v>498</v>
      </c>
      <c r="F105" s="82"/>
      <c r="G105" s="256" t="s">
        <v>627</v>
      </c>
      <c r="H105" s="82">
        <v>88</v>
      </c>
      <c r="I105" s="82">
        <v>350</v>
      </c>
      <c r="J105" s="84">
        <v>44795</v>
      </c>
      <c r="K105" s="84">
        <v>44921</v>
      </c>
      <c r="L105" s="86">
        <v>2305800</v>
      </c>
      <c r="M105" s="254">
        <v>20</v>
      </c>
      <c r="N105" s="254">
        <v>13</v>
      </c>
      <c r="O105" s="109">
        <v>15</v>
      </c>
      <c r="P105" s="317">
        <f t="shared" si="6"/>
        <v>0.65</v>
      </c>
      <c r="Q105" s="312">
        <f t="shared" si="7"/>
        <v>0.75</v>
      </c>
    </row>
    <row r="106" spans="1:18">
      <c r="A106" s="418">
        <v>104</v>
      </c>
      <c r="B106" s="81" t="s">
        <v>616</v>
      </c>
      <c r="C106" s="83" t="s">
        <v>626</v>
      </c>
      <c r="D106" s="83" t="s">
        <v>574</v>
      </c>
      <c r="E106" s="83" t="s">
        <v>498</v>
      </c>
      <c r="F106" s="83"/>
      <c r="G106" s="90" t="s">
        <v>625</v>
      </c>
      <c r="H106" s="83">
        <v>60</v>
      </c>
      <c r="I106" s="83">
        <v>300</v>
      </c>
      <c r="J106" s="85">
        <v>44795</v>
      </c>
      <c r="K106" s="85">
        <v>44902</v>
      </c>
      <c r="L106" s="86">
        <v>1940400</v>
      </c>
      <c r="M106" s="255">
        <v>14</v>
      </c>
      <c r="N106" s="254">
        <v>13</v>
      </c>
      <c r="O106" s="297">
        <v>14</v>
      </c>
      <c r="P106" s="317">
        <f t="shared" si="6"/>
        <v>0.9285714285714286</v>
      </c>
      <c r="Q106" s="312">
        <f t="shared" si="7"/>
        <v>1</v>
      </c>
    </row>
    <row r="107" spans="1:18">
      <c r="A107" s="418">
        <v>105</v>
      </c>
      <c r="B107" s="81" t="s">
        <v>616</v>
      </c>
      <c r="C107" s="83" t="s">
        <v>624</v>
      </c>
      <c r="D107" s="83" t="s">
        <v>623</v>
      </c>
      <c r="E107" s="83" t="s">
        <v>498</v>
      </c>
      <c r="F107" s="83" t="s">
        <v>622</v>
      </c>
      <c r="G107" s="90" t="s">
        <v>621</v>
      </c>
      <c r="H107" s="83">
        <v>60</v>
      </c>
      <c r="I107" s="83">
        <v>300</v>
      </c>
      <c r="J107" s="85">
        <v>44795</v>
      </c>
      <c r="K107" s="85">
        <v>44882</v>
      </c>
      <c r="L107" s="86">
        <v>1940400</v>
      </c>
      <c r="M107" s="255">
        <v>13</v>
      </c>
      <c r="N107" s="254">
        <v>9</v>
      </c>
      <c r="O107" s="110">
        <v>9</v>
      </c>
      <c r="P107" s="317">
        <f t="shared" si="6"/>
        <v>0.69230769230769229</v>
      </c>
      <c r="Q107" s="312">
        <f t="shared" si="7"/>
        <v>0.69230769230769229</v>
      </c>
    </row>
    <row r="108" spans="1:18">
      <c r="A108" s="418">
        <v>106</v>
      </c>
      <c r="B108" s="81" t="s">
        <v>616</v>
      </c>
      <c r="C108" s="82" t="s">
        <v>517</v>
      </c>
      <c r="D108" s="82" t="s">
        <v>574</v>
      </c>
      <c r="E108" s="82" t="s">
        <v>502</v>
      </c>
      <c r="F108" s="82"/>
      <c r="G108" s="256" t="s">
        <v>620</v>
      </c>
      <c r="H108" s="82">
        <v>122</v>
      </c>
      <c r="I108" s="82">
        <v>826</v>
      </c>
      <c r="J108" s="84">
        <v>44798</v>
      </c>
      <c r="K108" s="84">
        <v>44931</v>
      </c>
      <c r="L108" s="86">
        <v>5274690</v>
      </c>
      <c r="M108" s="254">
        <v>20</v>
      </c>
      <c r="N108" s="254">
        <v>20</v>
      </c>
      <c r="O108" s="109">
        <v>28</v>
      </c>
      <c r="P108" s="317">
        <f t="shared" si="6"/>
        <v>1</v>
      </c>
      <c r="Q108" s="312">
        <f t="shared" si="7"/>
        <v>1.4</v>
      </c>
    </row>
    <row r="109" spans="1:18">
      <c r="A109" s="418">
        <v>107</v>
      </c>
      <c r="B109" s="81" t="s">
        <v>616</v>
      </c>
      <c r="C109" s="83" t="s">
        <v>520</v>
      </c>
      <c r="D109" s="83" t="s">
        <v>519</v>
      </c>
      <c r="E109" s="83" t="s">
        <v>498</v>
      </c>
      <c r="F109" s="83"/>
      <c r="G109" s="88" t="s">
        <v>619</v>
      </c>
      <c r="H109" s="83">
        <v>73</v>
      </c>
      <c r="I109" s="83">
        <v>290</v>
      </c>
      <c r="J109" s="85">
        <v>44803</v>
      </c>
      <c r="K109" s="85">
        <v>44897</v>
      </c>
      <c r="L109" s="87">
        <v>1629510</v>
      </c>
      <c r="M109" s="255">
        <v>20</v>
      </c>
      <c r="N109" s="255">
        <v>14</v>
      </c>
      <c r="O109" s="110">
        <v>14</v>
      </c>
      <c r="P109" s="317">
        <f t="shared" si="6"/>
        <v>0.7</v>
      </c>
      <c r="Q109" s="312">
        <f t="shared" si="7"/>
        <v>0.7</v>
      </c>
    </row>
    <row r="110" spans="1:18">
      <c r="A110" s="418">
        <v>108</v>
      </c>
      <c r="B110" s="440" t="s">
        <v>616</v>
      </c>
      <c r="C110" s="365" t="s">
        <v>537</v>
      </c>
      <c r="D110" s="365" t="s">
        <v>509</v>
      </c>
      <c r="E110" s="365" t="s">
        <v>502</v>
      </c>
      <c r="F110" s="365"/>
      <c r="G110" s="366" t="s">
        <v>618</v>
      </c>
      <c r="H110" s="365">
        <v>117</v>
      </c>
      <c r="I110" s="365">
        <v>820</v>
      </c>
      <c r="J110" s="367">
        <v>44802</v>
      </c>
      <c r="K110" s="367">
        <v>44972</v>
      </c>
      <c r="L110" s="368">
        <v>5402160</v>
      </c>
      <c r="M110" s="365">
        <v>30</v>
      </c>
      <c r="N110" s="365">
        <v>23</v>
      </c>
      <c r="O110" s="341">
        <v>23</v>
      </c>
      <c r="P110" s="342">
        <f t="shared" si="6"/>
        <v>0.76666666666666672</v>
      </c>
      <c r="Q110" s="343">
        <f t="shared" si="7"/>
        <v>0.76666666666666672</v>
      </c>
    </row>
    <row r="111" spans="1:18" s="14" customFormat="1" ht="15.75" customHeight="1">
      <c r="A111" s="475">
        <v>109</v>
      </c>
      <c r="B111" s="422" t="s">
        <v>616</v>
      </c>
      <c r="C111" s="275" t="s">
        <v>495</v>
      </c>
      <c r="D111" s="275" t="s">
        <v>525</v>
      </c>
      <c r="E111" s="275" t="s">
        <v>498</v>
      </c>
      <c r="F111" s="275"/>
      <c r="G111" s="344" t="s">
        <v>617</v>
      </c>
      <c r="H111" s="275">
        <v>44</v>
      </c>
      <c r="I111" s="275">
        <v>130</v>
      </c>
      <c r="J111" s="300">
        <v>44781</v>
      </c>
      <c r="K111" s="300">
        <v>44832</v>
      </c>
      <c r="L111" s="304">
        <v>1026380</v>
      </c>
      <c r="M111" s="302">
        <v>20</v>
      </c>
      <c r="N111" s="302">
        <v>14</v>
      </c>
      <c r="O111" s="303">
        <v>14</v>
      </c>
      <c r="P111" s="316">
        <f t="shared" si="6"/>
        <v>0.7</v>
      </c>
      <c r="Q111" s="311">
        <f t="shared" si="7"/>
        <v>0.7</v>
      </c>
    </row>
    <row r="112" spans="1:18" s="14" customFormat="1" ht="15.75" customHeight="1" thickBot="1">
      <c r="A112" s="475">
        <v>110</v>
      </c>
      <c r="B112" s="413" t="s">
        <v>616</v>
      </c>
      <c r="C112" s="382" t="s">
        <v>495</v>
      </c>
      <c r="D112" s="382" t="s">
        <v>519</v>
      </c>
      <c r="E112" s="382" t="s">
        <v>498</v>
      </c>
      <c r="F112" s="382"/>
      <c r="G112" s="387" t="s">
        <v>615</v>
      </c>
      <c r="H112" s="382">
        <v>33</v>
      </c>
      <c r="I112" s="382">
        <v>130</v>
      </c>
      <c r="J112" s="384">
        <v>44776</v>
      </c>
      <c r="K112" s="384">
        <v>44825</v>
      </c>
      <c r="L112" s="388">
        <v>1026380</v>
      </c>
      <c r="M112" s="385">
        <v>20</v>
      </c>
      <c r="N112" s="385">
        <v>5</v>
      </c>
      <c r="O112" s="298">
        <v>5</v>
      </c>
      <c r="P112" s="320">
        <f t="shared" si="6"/>
        <v>0.25</v>
      </c>
      <c r="Q112" s="321">
        <f t="shared" si="7"/>
        <v>0.25</v>
      </c>
      <c r="R112" s="476">
        <f>SUM(N102:N112)/SUM(M102:M112)</f>
        <v>0.76293103448275867</v>
      </c>
    </row>
    <row r="113" spans="1:17" s="1" customFormat="1" ht="15.75" customHeight="1">
      <c r="A113" s="418">
        <v>111</v>
      </c>
      <c r="B113" s="257" t="s">
        <v>586</v>
      </c>
      <c r="C113" s="224" t="s">
        <v>568</v>
      </c>
      <c r="D113" s="224" t="s">
        <v>614</v>
      </c>
      <c r="E113" s="224" t="s">
        <v>498</v>
      </c>
      <c r="F113" s="269"/>
      <c r="G113" s="285" t="s">
        <v>613</v>
      </c>
      <c r="H113" s="224">
        <v>93</v>
      </c>
      <c r="I113" s="224">
        <v>370</v>
      </c>
      <c r="J113" s="225">
        <v>44817</v>
      </c>
      <c r="K113" s="225">
        <v>44979</v>
      </c>
      <c r="L113" s="283">
        <v>2305470</v>
      </c>
      <c r="M113" s="277">
        <v>10</v>
      </c>
      <c r="N113" s="277">
        <v>10</v>
      </c>
      <c r="O113" s="284">
        <v>11</v>
      </c>
      <c r="P113" s="351">
        <f t="shared" si="6"/>
        <v>1</v>
      </c>
      <c r="Q113" s="332">
        <f t="shared" si="7"/>
        <v>1.1000000000000001</v>
      </c>
    </row>
    <row r="114" spans="1:17" s="1" customFormat="1" ht="15.75" customHeight="1">
      <c r="A114" s="418">
        <v>112</v>
      </c>
      <c r="B114" s="81" t="s">
        <v>586</v>
      </c>
      <c r="C114" s="83" t="s">
        <v>520</v>
      </c>
      <c r="D114" s="83" t="s">
        <v>567</v>
      </c>
      <c r="E114" s="83" t="s">
        <v>498</v>
      </c>
      <c r="F114" s="83" t="s">
        <v>594</v>
      </c>
      <c r="G114" s="88" t="s">
        <v>612</v>
      </c>
      <c r="H114" s="83">
        <v>64</v>
      </c>
      <c r="I114" s="83">
        <v>320</v>
      </c>
      <c r="J114" s="85">
        <v>44817</v>
      </c>
      <c r="K114" s="85">
        <v>44908</v>
      </c>
      <c r="L114" s="87">
        <v>2012160</v>
      </c>
      <c r="M114" s="255">
        <v>20</v>
      </c>
      <c r="N114" s="255">
        <v>9</v>
      </c>
      <c r="O114" s="110">
        <v>12</v>
      </c>
      <c r="P114" s="352">
        <f t="shared" si="6"/>
        <v>0.45</v>
      </c>
      <c r="Q114" s="324">
        <f t="shared" si="7"/>
        <v>0.6</v>
      </c>
    </row>
    <row r="115" spans="1:17" s="1" customFormat="1" ht="15.75" customHeight="1">
      <c r="A115" s="418">
        <v>113</v>
      </c>
      <c r="B115" s="81" t="s">
        <v>586</v>
      </c>
      <c r="C115" s="83" t="s">
        <v>520</v>
      </c>
      <c r="D115" s="83" t="s">
        <v>609</v>
      </c>
      <c r="E115" s="83" t="s">
        <v>543</v>
      </c>
      <c r="F115" s="83"/>
      <c r="G115" s="88" t="s">
        <v>611</v>
      </c>
      <c r="H115" s="83">
        <v>70</v>
      </c>
      <c r="I115" s="83">
        <v>280</v>
      </c>
      <c r="J115" s="85">
        <v>44817</v>
      </c>
      <c r="K115" s="85">
        <v>44916</v>
      </c>
      <c r="L115" s="87">
        <v>1832600</v>
      </c>
      <c r="M115" s="255">
        <v>12</v>
      </c>
      <c r="N115" s="255">
        <v>11</v>
      </c>
      <c r="O115" s="110">
        <v>14</v>
      </c>
      <c r="P115" s="352">
        <f t="shared" si="6"/>
        <v>0.91666666666666663</v>
      </c>
      <c r="Q115" s="324">
        <f t="shared" si="7"/>
        <v>1.1666666666666667</v>
      </c>
    </row>
    <row r="116" spans="1:17" s="1" customFormat="1" ht="15.75" customHeight="1">
      <c r="A116" s="418">
        <v>114</v>
      </c>
      <c r="B116" s="81" t="s">
        <v>586</v>
      </c>
      <c r="C116" s="83" t="s">
        <v>568</v>
      </c>
      <c r="D116" s="83" t="s">
        <v>567</v>
      </c>
      <c r="E116" s="83" t="s">
        <v>498</v>
      </c>
      <c r="F116" s="83"/>
      <c r="G116" s="88" t="s">
        <v>610</v>
      </c>
      <c r="H116" s="83">
        <v>72</v>
      </c>
      <c r="I116" s="83">
        <v>360</v>
      </c>
      <c r="J116" s="85">
        <v>44818</v>
      </c>
      <c r="K116" s="85">
        <v>44921</v>
      </c>
      <c r="L116" s="87">
        <v>2243160</v>
      </c>
      <c r="M116" s="255">
        <v>20</v>
      </c>
      <c r="N116" s="255">
        <v>12</v>
      </c>
      <c r="O116" s="110">
        <v>12</v>
      </c>
      <c r="P116" s="352">
        <f t="shared" si="6"/>
        <v>0.6</v>
      </c>
      <c r="Q116" s="324">
        <f t="shared" si="7"/>
        <v>0.6</v>
      </c>
    </row>
    <row r="117" spans="1:17" s="1" customFormat="1" ht="15.75" customHeight="1">
      <c r="A117" s="418">
        <v>115</v>
      </c>
      <c r="B117" s="81" t="s">
        <v>586</v>
      </c>
      <c r="C117" s="83" t="s">
        <v>520</v>
      </c>
      <c r="D117" s="83" t="s">
        <v>609</v>
      </c>
      <c r="E117" s="83" t="s">
        <v>498</v>
      </c>
      <c r="F117" s="83"/>
      <c r="G117" s="88" t="s">
        <v>608</v>
      </c>
      <c r="H117" s="83">
        <v>70</v>
      </c>
      <c r="I117" s="83">
        <v>280</v>
      </c>
      <c r="J117" s="85">
        <v>44818</v>
      </c>
      <c r="K117" s="85">
        <v>44917</v>
      </c>
      <c r="L117" s="87">
        <v>1573320</v>
      </c>
      <c r="M117" s="255">
        <v>12</v>
      </c>
      <c r="N117" s="255">
        <v>11</v>
      </c>
      <c r="O117" s="110">
        <v>17</v>
      </c>
      <c r="P117" s="352">
        <f t="shared" si="6"/>
        <v>0.91666666666666663</v>
      </c>
      <c r="Q117" s="324">
        <f t="shared" si="7"/>
        <v>1.4166666666666667</v>
      </c>
    </row>
    <row r="118" spans="1:17" s="1" customFormat="1" ht="15.75" customHeight="1">
      <c r="A118" s="418">
        <v>116</v>
      </c>
      <c r="B118" s="81" t="s">
        <v>592</v>
      </c>
      <c r="C118" s="83" t="s">
        <v>539</v>
      </c>
      <c r="D118" s="83" t="s">
        <v>607</v>
      </c>
      <c r="E118" s="83" t="s">
        <v>502</v>
      </c>
      <c r="F118" s="83"/>
      <c r="G118" s="88" t="s">
        <v>606</v>
      </c>
      <c r="H118" s="83">
        <v>100</v>
      </c>
      <c r="I118" s="83">
        <v>600</v>
      </c>
      <c r="J118" s="85">
        <v>44819</v>
      </c>
      <c r="K118" s="85">
        <v>44601</v>
      </c>
      <c r="L118" s="87">
        <v>3371400</v>
      </c>
      <c r="M118" s="255">
        <v>20</v>
      </c>
      <c r="N118" s="255">
        <v>11</v>
      </c>
      <c r="O118" s="110">
        <v>11</v>
      </c>
      <c r="P118" s="352">
        <f t="shared" si="6"/>
        <v>0.55000000000000004</v>
      </c>
      <c r="Q118" s="324">
        <f t="shared" si="7"/>
        <v>0.55000000000000004</v>
      </c>
    </row>
    <row r="119" spans="1:17" s="1" customFormat="1" ht="15.75" customHeight="1">
      <c r="A119" s="418">
        <v>117</v>
      </c>
      <c r="B119" s="81" t="s">
        <v>592</v>
      </c>
      <c r="C119" s="82" t="s">
        <v>537</v>
      </c>
      <c r="D119" s="82" t="s">
        <v>530</v>
      </c>
      <c r="E119" s="82" t="s">
        <v>502</v>
      </c>
      <c r="F119" s="83"/>
      <c r="G119" s="256" t="s">
        <v>605</v>
      </c>
      <c r="H119" s="82">
        <v>92</v>
      </c>
      <c r="I119" s="82">
        <v>736</v>
      </c>
      <c r="J119" s="84">
        <v>44824</v>
      </c>
      <c r="K119" s="84">
        <v>44956</v>
      </c>
      <c r="L119" s="86">
        <v>4848760</v>
      </c>
      <c r="M119" s="254">
        <v>20</v>
      </c>
      <c r="N119" s="254">
        <v>15</v>
      </c>
      <c r="O119" s="109">
        <v>16</v>
      </c>
      <c r="P119" s="352">
        <f t="shared" si="6"/>
        <v>0.75</v>
      </c>
      <c r="Q119" s="324">
        <f t="shared" si="7"/>
        <v>0.8</v>
      </c>
    </row>
    <row r="120" spans="1:17" s="1" customFormat="1" ht="15.75" customHeight="1">
      <c r="A120" s="418">
        <v>118</v>
      </c>
      <c r="B120" s="81" t="s">
        <v>586</v>
      </c>
      <c r="C120" s="83" t="s">
        <v>520</v>
      </c>
      <c r="D120" s="83" t="s">
        <v>604</v>
      </c>
      <c r="E120" s="83" t="s">
        <v>502</v>
      </c>
      <c r="F120" s="256"/>
      <c r="G120" s="88" t="s">
        <v>603</v>
      </c>
      <c r="H120" s="83">
        <v>131</v>
      </c>
      <c r="I120" s="83">
        <v>650</v>
      </c>
      <c r="J120" s="85">
        <v>44824</v>
      </c>
      <c r="K120" s="85">
        <v>45013</v>
      </c>
      <c r="L120" s="87">
        <v>4282200</v>
      </c>
      <c r="M120" s="255">
        <v>20</v>
      </c>
      <c r="N120" s="255">
        <v>20</v>
      </c>
      <c r="O120" s="110">
        <v>35</v>
      </c>
      <c r="P120" s="352">
        <f t="shared" si="6"/>
        <v>1</v>
      </c>
      <c r="Q120" s="324">
        <f t="shared" si="7"/>
        <v>1.75</v>
      </c>
    </row>
    <row r="121" spans="1:17" s="1" customFormat="1" ht="15.75" customHeight="1">
      <c r="A121" s="418">
        <v>119</v>
      </c>
      <c r="B121" s="81" t="s">
        <v>586</v>
      </c>
      <c r="C121" s="83" t="s">
        <v>520</v>
      </c>
      <c r="D121" s="83" t="s">
        <v>519</v>
      </c>
      <c r="E121" s="83" t="s">
        <v>602</v>
      </c>
      <c r="F121" s="83" t="s">
        <v>602</v>
      </c>
      <c r="G121" s="88" t="s">
        <v>601</v>
      </c>
      <c r="H121" s="83">
        <v>60</v>
      </c>
      <c r="I121" s="83">
        <v>300</v>
      </c>
      <c r="J121" s="85">
        <v>44824</v>
      </c>
      <c r="K121" s="85">
        <v>44910</v>
      </c>
      <c r="L121" s="87">
        <v>1963500</v>
      </c>
      <c r="M121" s="255">
        <v>20</v>
      </c>
      <c r="N121" s="255">
        <v>13</v>
      </c>
      <c r="O121" s="110">
        <v>14</v>
      </c>
      <c r="P121" s="352">
        <f t="shared" si="6"/>
        <v>0.65</v>
      </c>
      <c r="Q121" s="324">
        <f t="shared" si="7"/>
        <v>0.7</v>
      </c>
    </row>
    <row r="122" spans="1:17" s="1" customFormat="1" ht="15.75" customHeight="1">
      <c r="A122" s="418">
        <v>120</v>
      </c>
      <c r="B122" s="81" t="s">
        <v>586</v>
      </c>
      <c r="C122" s="82" t="s">
        <v>600</v>
      </c>
      <c r="D122" s="82" t="s">
        <v>525</v>
      </c>
      <c r="E122" s="82" t="s">
        <v>498</v>
      </c>
      <c r="F122" s="82" t="s">
        <v>594</v>
      </c>
      <c r="G122" s="256" t="s">
        <v>599</v>
      </c>
      <c r="H122" s="82">
        <v>58</v>
      </c>
      <c r="I122" s="82">
        <v>290</v>
      </c>
      <c r="J122" s="84">
        <v>44825</v>
      </c>
      <c r="K122" s="84">
        <v>44908</v>
      </c>
      <c r="L122" s="86">
        <v>1806990</v>
      </c>
      <c r="M122" s="254">
        <v>20</v>
      </c>
      <c r="N122" s="254">
        <v>13</v>
      </c>
      <c r="O122" s="109">
        <v>12</v>
      </c>
      <c r="P122" s="352">
        <f t="shared" si="6"/>
        <v>0.65</v>
      </c>
      <c r="Q122" s="324">
        <f t="shared" si="7"/>
        <v>0.6</v>
      </c>
    </row>
    <row r="123" spans="1:17" s="1" customFormat="1" ht="15.75" customHeight="1">
      <c r="A123" s="418">
        <v>121</v>
      </c>
      <c r="B123" s="81" t="s">
        <v>586</v>
      </c>
      <c r="C123" s="83" t="s">
        <v>520</v>
      </c>
      <c r="D123" s="83" t="s">
        <v>532</v>
      </c>
      <c r="E123" s="83" t="s">
        <v>498</v>
      </c>
      <c r="F123" s="83"/>
      <c r="G123" s="88" t="s">
        <v>598</v>
      </c>
      <c r="H123" s="83">
        <v>50</v>
      </c>
      <c r="I123" s="83">
        <v>200</v>
      </c>
      <c r="J123" s="85">
        <v>44825</v>
      </c>
      <c r="K123" s="85">
        <v>44896</v>
      </c>
      <c r="L123" s="87">
        <v>1311000</v>
      </c>
      <c r="M123" s="255">
        <v>12</v>
      </c>
      <c r="N123" s="255">
        <v>7</v>
      </c>
      <c r="O123" s="110">
        <v>10</v>
      </c>
      <c r="P123" s="352">
        <f t="shared" si="6"/>
        <v>0.58333333333333337</v>
      </c>
      <c r="Q123" s="324">
        <f t="shared" si="7"/>
        <v>0.83333333333333337</v>
      </c>
    </row>
    <row r="124" spans="1:17" s="1" customFormat="1" ht="15.75" customHeight="1">
      <c r="A124" s="418">
        <v>122</v>
      </c>
      <c r="B124" s="81" t="s">
        <v>586</v>
      </c>
      <c r="C124" s="82" t="s">
        <v>517</v>
      </c>
      <c r="D124" s="82" t="s">
        <v>499</v>
      </c>
      <c r="E124" s="82" t="s">
        <v>502</v>
      </c>
      <c r="F124" s="256"/>
      <c r="G124" s="256" t="s">
        <v>597</v>
      </c>
      <c r="H124" s="82">
        <v>104</v>
      </c>
      <c r="I124" s="82">
        <v>945</v>
      </c>
      <c r="J124" s="84">
        <v>44826</v>
      </c>
      <c r="K124" s="84">
        <v>44980</v>
      </c>
      <c r="L124" s="86">
        <v>6001010</v>
      </c>
      <c r="M124" s="254">
        <v>21</v>
      </c>
      <c r="N124" s="254">
        <v>21</v>
      </c>
      <c r="O124" s="109">
        <v>30</v>
      </c>
      <c r="P124" s="352">
        <f t="shared" si="6"/>
        <v>1</v>
      </c>
      <c r="Q124" s="324">
        <f t="shared" si="7"/>
        <v>1.4285714285714286</v>
      </c>
    </row>
    <row r="125" spans="1:17" s="1" customFormat="1" ht="15.75" customHeight="1">
      <c r="A125" s="418">
        <v>123</v>
      </c>
      <c r="B125" s="81" t="s">
        <v>586</v>
      </c>
      <c r="C125" s="82" t="s">
        <v>517</v>
      </c>
      <c r="D125" s="82" t="s">
        <v>530</v>
      </c>
      <c r="E125" s="82" t="s">
        <v>502</v>
      </c>
      <c r="F125" s="83"/>
      <c r="G125" s="256" t="s">
        <v>596</v>
      </c>
      <c r="H125" s="82">
        <v>138</v>
      </c>
      <c r="I125" s="82">
        <v>924</v>
      </c>
      <c r="J125" s="84">
        <v>44826</v>
      </c>
      <c r="K125" s="84">
        <v>44977</v>
      </c>
      <c r="L125" s="86">
        <v>5892480</v>
      </c>
      <c r="M125" s="254">
        <v>33</v>
      </c>
      <c r="N125" s="254">
        <v>27</v>
      </c>
      <c r="O125" s="109">
        <v>27</v>
      </c>
      <c r="P125" s="352">
        <f t="shared" si="6"/>
        <v>0.81818181818181823</v>
      </c>
      <c r="Q125" s="324">
        <f t="shared" si="7"/>
        <v>0.81818181818181823</v>
      </c>
    </row>
    <row r="126" spans="1:17" s="1" customFormat="1" ht="15.75" customHeight="1">
      <c r="A126" s="418">
        <v>124</v>
      </c>
      <c r="B126" s="81" t="s">
        <v>586</v>
      </c>
      <c r="C126" s="83" t="s">
        <v>539</v>
      </c>
      <c r="D126" s="83" t="s">
        <v>567</v>
      </c>
      <c r="E126" s="83" t="s">
        <v>543</v>
      </c>
      <c r="F126" s="256"/>
      <c r="G126" s="88" t="s">
        <v>595</v>
      </c>
      <c r="H126" s="83">
        <v>63</v>
      </c>
      <c r="I126" s="83">
        <v>280</v>
      </c>
      <c r="J126" s="85">
        <v>44826</v>
      </c>
      <c r="K126" s="85">
        <v>44925</v>
      </c>
      <c r="L126" s="87">
        <v>1770360</v>
      </c>
      <c r="M126" s="255">
        <v>20</v>
      </c>
      <c r="N126" s="255">
        <v>7</v>
      </c>
      <c r="O126" s="110">
        <v>8</v>
      </c>
      <c r="P126" s="352">
        <f t="shared" si="6"/>
        <v>0.35</v>
      </c>
      <c r="Q126" s="324">
        <f t="shared" si="7"/>
        <v>0.4</v>
      </c>
    </row>
    <row r="127" spans="1:17" s="1" customFormat="1" ht="15.75" customHeight="1">
      <c r="A127" s="418">
        <v>125</v>
      </c>
      <c r="B127" s="81" t="s">
        <v>592</v>
      </c>
      <c r="C127" s="83" t="s">
        <v>539</v>
      </c>
      <c r="D127" s="83" t="s">
        <v>567</v>
      </c>
      <c r="E127" s="83" t="s">
        <v>543</v>
      </c>
      <c r="F127" s="83" t="s">
        <v>594</v>
      </c>
      <c r="G127" s="88" t="s">
        <v>593</v>
      </c>
      <c r="H127" s="83">
        <v>58</v>
      </c>
      <c r="I127" s="83">
        <v>290</v>
      </c>
      <c r="J127" s="85">
        <v>44826</v>
      </c>
      <c r="K127" s="85">
        <v>44909</v>
      </c>
      <c r="L127" s="87">
        <v>1629510</v>
      </c>
      <c r="M127" s="255">
        <v>17</v>
      </c>
      <c r="N127" s="255">
        <v>8</v>
      </c>
      <c r="O127" s="110">
        <v>12</v>
      </c>
      <c r="P127" s="352">
        <f t="shared" si="6"/>
        <v>0.47058823529411764</v>
      </c>
      <c r="Q127" s="324">
        <f t="shared" si="7"/>
        <v>0.70588235294117652</v>
      </c>
    </row>
    <row r="128" spans="1:17" s="1" customFormat="1" ht="15.75" customHeight="1">
      <c r="A128" s="418">
        <v>126</v>
      </c>
      <c r="B128" s="81" t="s">
        <v>592</v>
      </c>
      <c r="C128" s="83" t="s">
        <v>533</v>
      </c>
      <c r="D128" s="83" t="s">
        <v>532</v>
      </c>
      <c r="E128" s="83" t="s">
        <v>498</v>
      </c>
      <c r="F128" s="83" t="s">
        <v>591</v>
      </c>
      <c r="G128" s="88" t="s">
        <v>590</v>
      </c>
      <c r="H128" s="83">
        <v>120</v>
      </c>
      <c r="I128" s="83">
        <v>360</v>
      </c>
      <c r="J128" s="85">
        <v>44832</v>
      </c>
      <c r="K128" s="85">
        <v>44642</v>
      </c>
      <c r="L128" s="87">
        <v>2243160</v>
      </c>
      <c r="M128" s="255">
        <v>12</v>
      </c>
      <c r="N128" s="255">
        <v>10</v>
      </c>
      <c r="O128" s="110">
        <v>10</v>
      </c>
      <c r="P128" s="352">
        <f t="shared" si="6"/>
        <v>0.83333333333333337</v>
      </c>
      <c r="Q128" s="324">
        <f t="shared" si="7"/>
        <v>0.83333333333333337</v>
      </c>
    </row>
    <row r="129" spans="1:18" s="1" customFormat="1" ht="15.75" customHeight="1">
      <c r="A129" s="418">
        <v>127</v>
      </c>
      <c r="B129" s="81" t="s">
        <v>586</v>
      </c>
      <c r="C129" s="82" t="s">
        <v>517</v>
      </c>
      <c r="D129" s="82" t="s">
        <v>525</v>
      </c>
      <c r="E129" s="82" t="s">
        <v>502</v>
      </c>
      <c r="F129" s="256"/>
      <c r="G129" s="256" t="s">
        <v>589</v>
      </c>
      <c r="H129" s="82">
        <v>98</v>
      </c>
      <c r="I129" s="82">
        <v>875</v>
      </c>
      <c r="J129" s="84">
        <v>44833</v>
      </c>
      <c r="K129" s="84">
        <v>44981</v>
      </c>
      <c r="L129" s="86">
        <v>5579610</v>
      </c>
      <c r="M129" s="254">
        <v>21</v>
      </c>
      <c r="N129" s="254">
        <v>21</v>
      </c>
      <c r="O129" s="109">
        <v>39</v>
      </c>
      <c r="P129" s="352">
        <f t="shared" si="6"/>
        <v>1</v>
      </c>
      <c r="Q129" s="324">
        <f t="shared" si="7"/>
        <v>1.8571428571428572</v>
      </c>
    </row>
    <row r="130" spans="1:18" s="1" customFormat="1" ht="15.75" customHeight="1">
      <c r="A130" s="418">
        <v>128</v>
      </c>
      <c r="B130" s="81" t="s">
        <v>586</v>
      </c>
      <c r="C130" s="82" t="s">
        <v>517</v>
      </c>
      <c r="D130" s="82" t="s">
        <v>530</v>
      </c>
      <c r="E130" s="82" t="s">
        <v>502</v>
      </c>
      <c r="F130" s="82"/>
      <c r="G130" s="256" t="s">
        <v>588</v>
      </c>
      <c r="H130" s="82">
        <v>92</v>
      </c>
      <c r="I130" s="82">
        <v>736</v>
      </c>
      <c r="J130" s="84">
        <v>44833</v>
      </c>
      <c r="K130" s="84">
        <v>44966</v>
      </c>
      <c r="L130" s="86">
        <v>4838460</v>
      </c>
      <c r="M130" s="254">
        <v>20</v>
      </c>
      <c r="N130" s="254">
        <v>13</v>
      </c>
      <c r="O130" s="109">
        <v>13</v>
      </c>
      <c r="P130" s="352">
        <f t="shared" ref="P130:P161" si="8">N130/M130</f>
        <v>0.65</v>
      </c>
      <c r="Q130" s="324">
        <f t="shared" ref="Q130:Q161" si="9">O130/M130</f>
        <v>0.65</v>
      </c>
    </row>
    <row r="131" spans="1:18" s="1" customFormat="1" ht="15.75" customHeight="1">
      <c r="A131" s="418">
        <v>129</v>
      </c>
      <c r="B131" s="81" t="s">
        <v>586</v>
      </c>
      <c r="C131" s="82" t="s">
        <v>517</v>
      </c>
      <c r="D131" s="82" t="s">
        <v>489</v>
      </c>
      <c r="E131" s="82" t="s">
        <v>535</v>
      </c>
      <c r="F131" s="82" t="s">
        <v>587</v>
      </c>
      <c r="G131" s="256" t="s">
        <v>759</v>
      </c>
      <c r="H131" s="82">
        <v>119</v>
      </c>
      <c r="I131" s="82">
        <v>950</v>
      </c>
      <c r="J131" s="84">
        <v>44833</v>
      </c>
      <c r="K131" s="84">
        <v>45006</v>
      </c>
      <c r="L131" s="86">
        <v>8118700</v>
      </c>
      <c r="M131" s="254">
        <v>20</v>
      </c>
      <c r="N131" s="254">
        <v>12</v>
      </c>
      <c r="O131" s="109">
        <v>12</v>
      </c>
      <c r="P131" s="352">
        <f t="shared" si="8"/>
        <v>0.6</v>
      </c>
      <c r="Q131" s="324">
        <f t="shared" si="9"/>
        <v>0.6</v>
      </c>
    </row>
    <row r="132" spans="1:18" s="14" customFormat="1" ht="17.25" thickBot="1">
      <c r="A132" s="475">
        <v>130</v>
      </c>
      <c r="B132" s="439" t="s">
        <v>586</v>
      </c>
      <c r="C132" s="339" t="s">
        <v>553</v>
      </c>
      <c r="D132" s="339" t="s">
        <v>499</v>
      </c>
      <c r="E132" s="339" t="s">
        <v>543</v>
      </c>
      <c r="F132" s="339" t="s">
        <v>585</v>
      </c>
      <c r="G132" s="390" t="s">
        <v>584</v>
      </c>
      <c r="H132" s="339">
        <v>44</v>
      </c>
      <c r="I132" s="339">
        <v>130</v>
      </c>
      <c r="J132" s="345">
        <v>44824</v>
      </c>
      <c r="K132" s="345">
        <v>44901</v>
      </c>
      <c r="L132" s="346">
        <v>1026380</v>
      </c>
      <c r="M132" s="348">
        <v>20</v>
      </c>
      <c r="N132" s="348">
        <v>13</v>
      </c>
      <c r="O132" s="349">
        <v>13</v>
      </c>
      <c r="P132" s="401">
        <f t="shared" si="8"/>
        <v>0.65</v>
      </c>
      <c r="Q132" s="397">
        <f t="shared" si="9"/>
        <v>0.65</v>
      </c>
      <c r="R132" s="476">
        <f>SUM(N113:N132)/SUM(M113:M132)</f>
        <v>0.71351351351351355</v>
      </c>
    </row>
    <row r="133" spans="1:18">
      <c r="A133" s="418">
        <v>131</v>
      </c>
      <c r="B133" s="257" t="s">
        <v>576</v>
      </c>
      <c r="C133" s="91" t="s">
        <v>568</v>
      </c>
      <c r="D133" s="91" t="s">
        <v>519</v>
      </c>
      <c r="E133" s="91" t="s">
        <v>498</v>
      </c>
      <c r="F133" s="404"/>
      <c r="G133" s="92" t="s">
        <v>583</v>
      </c>
      <c r="H133" s="91">
        <v>120</v>
      </c>
      <c r="I133" s="91">
        <v>370</v>
      </c>
      <c r="J133" s="94">
        <v>44845</v>
      </c>
      <c r="K133" s="94">
        <v>45015</v>
      </c>
      <c r="L133" s="266">
        <v>2305470</v>
      </c>
      <c r="M133" s="253">
        <v>10</v>
      </c>
      <c r="N133" s="253">
        <v>9</v>
      </c>
      <c r="O133" s="108">
        <v>10</v>
      </c>
      <c r="P133" s="351">
        <f t="shared" si="8"/>
        <v>0.9</v>
      </c>
      <c r="Q133" s="405">
        <f t="shared" si="9"/>
        <v>1</v>
      </c>
    </row>
    <row r="134" spans="1:18">
      <c r="A134" s="418">
        <v>132</v>
      </c>
      <c r="B134" s="81" t="s">
        <v>581</v>
      </c>
      <c r="C134" s="83" t="s">
        <v>533</v>
      </c>
      <c r="D134" s="83" t="s">
        <v>489</v>
      </c>
      <c r="E134" s="83" t="s">
        <v>498</v>
      </c>
      <c r="F134" s="256"/>
      <c r="G134" s="88" t="s">
        <v>582</v>
      </c>
      <c r="H134" s="83">
        <v>127</v>
      </c>
      <c r="I134" s="83">
        <v>370</v>
      </c>
      <c r="J134" s="85">
        <v>44853</v>
      </c>
      <c r="K134" s="85">
        <v>44998</v>
      </c>
      <c r="L134" s="87">
        <v>2305470</v>
      </c>
      <c r="M134" s="255">
        <v>13</v>
      </c>
      <c r="N134" s="255">
        <v>6</v>
      </c>
      <c r="O134" s="110">
        <v>24</v>
      </c>
      <c r="P134" s="352">
        <f t="shared" si="8"/>
        <v>0.46153846153846156</v>
      </c>
      <c r="Q134" s="406">
        <f t="shared" si="9"/>
        <v>1.8461538461538463</v>
      </c>
    </row>
    <row r="135" spans="1:18">
      <c r="A135" s="418">
        <v>133</v>
      </c>
      <c r="B135" s="81" t="s">
        <v>581</v>
      </c>
      <c r="C135" s="82" t="s">
        <v>517</v>
      </c>
      <c r="D135" s="82" t="s">
        <v>525</v>
      </c>
      <c r="E135" s="82" t="s">
        <v>502</v>
      </c>
      <c r="F135" s="256"/>
      <c r="G135" s="256" t="s">
        <v>580</v>
      </c>
      <c r="H135" s="82">
        <v>89</v>
      </c>
      <c r="I135" s="82">
        <v>712</v>
      </c>
      <c r="J135" s="84">
        <v>44854</v>
      </c>
      <c r="K135" s="84">
        <v>45029</v>
      </c>
      <c r="L135" s="86">
        <v>4690650</v>
      </c>
      <c r="M135" s="254">
        <v>35</v>
      </c>
      <c r="N135" s="254">
        <v>24</v>
      </c>
      <c r="O135" s="109">
        <v>30</v>
      </c>
      <c r="P135" s="352">
        <f t="shared" si="8"/>
        <v>0.68571428571428572</v>
      </c>
      <c r="Q135" s="406">
        <f t="shared" si="9"/>
        <v>0.8571428571428571</v>
      </c>
    </row>
    <row r="136" spans="1:18">
      <c r="A136" s="418">
        <v>134</v>
      </c>
      <c r="B136" s="81" t="s">
        <v>576</v>
      </c>
      <c r="C136" s="83" t="s">
        <v>520</v>
      </c>
      <c r="D136" s="83" t="s">
        <v>579</v>
      </c>
      <c r="E136" s="83" t="s">
        <v>498</v>
      </c>
      <c r="F136" s="256"/>
      <c r="G136" s="88" t="s">
        <v>578</v>
      </c>
      <c r="H136" s="83">
        <v>80</v>
      </c>
      <c r="I136" s="83">
        <v>320</v>
      </c>
      <c r="J136" s="85">
        <v>44854</v>
      </c>
      <c r="K136" s="85">
        <v>44967</v>
      </c>
      <c r="L136" s="87">
        <v>2012160</v>
      </c>
      <c r="M136" s="255">
        <v>22</v>
      </c>
      <c r="N136" s="255">
        <v>9</v>
      </c>
      <c r="O136" s="110">
        <v>16</v>
      </c>
      <c r="P136" s="352">
        <f t="shared" si="8"/>
        <v>0.40909090909090912</v>
      </c>
      <c r="Q136" s="406">
        <f t="shared" si="9"/>
        <v>0.72727272727272729</v>
      </c>
    </row>
    <row r="137" spans="1:18">
      <c r="A137" s="418">
        <v>135</v>
      </c>
      <c r="B137" s="81" t="s">
        <v>576</v>
      </c>
      <c r="C137" s="82" t="s">
        <v>571</v>
      </c>
      <c r="D137" s="82" t="s">
        <v>525</v>
      </c>
      <c r="E137" s="82" t="s">
        <v>502</v>
      </c>
      <c r="F137" s="256"/>
      <c r="G137" s="256" t="s">
        <v>577</v>
      </c>
      <c r="H137" s="82">
        <v>146</v>
      </c>
      <c r="I137" s="82">
        <v>737</v>
      </c>
      <c r="J137" s="84">
        <v>44859</v>
      </c>
      <c r="K137" s="84">
        <v>45068</v>
      </c>
      <c r="L137" s="86">
        <v>4673900</v>
      </c>
      <c r="M137" s="254">
        <v>20</v>
      </c>
      <c r="N137" s="254">
        <v>7</v>
      </c>
      <c r="O137" s="109">
        <v>9</v>
      </c>
      <c r="P137" s="352">
        <f t="shared" si="8"/>
        <v>0.35</v>
      </c>
      <c r="Q137" s="406">
        <f t="shared" si="9"/>
        <v>0.45</v>
      </c>
    </row>
    <row r="138" spans="1:18" s="14" customFormat="1" ht="17.25" thickBot="1">
      <c r="A138" s="475">
        <v>136</v>
      </c>
      <c r="B138" s="441" t="s">
        <v>576</v>
      </c>
      <c r="C138" s="407" t="s">
        <v>495</v>
      </c>
      <c r="D138" s="407" t="s">
        <v>525</v>
      </c>
      <c r="E138" s="407" t="s">
        <v>498</v>
      </c>
      <c r="F138" s="407"/>
      <c r="G138" s="408" t="s">
        <v>575</v>
      </c>
      <c r="H138" s="407">
        <v>44</v>
      </c>
      <c r="I138" s="407">
        <v>130</v>
      </c>
      <c r="J138" s="409">
        <v>44856</v>
      </c>
      <c r="K138" s="409">
        <v>44969</v>
      </c>
      <c r="L138" s="410">
        <v>1026380</v>
      </c>
      <c r="M138" s="411">
        <v>20</v>
      </c>
      <c r="N138" s="411">
        <v>14</v>
      </c>
      <c r="O138" s="298">
        <v>14</v>
      </c>
      <c r="P138" s="400">
        <f t="shared" si="8"/>
        <v>0.7</v>
      </c>
      <c r="Q138" s="412">
        <f t="shared" si="9"/>
        <v>0.7</v>
      </c>
      <c r="R138" s="476">
        <f>SUM(N133:N138)/SUM(M133:M138)</f>
        <v>0.57499999999999996</v>
      </c>
    </row>
    <row r="139" spans="1:18" s="1" customFormat="1" ht="16.5" customHeight="1">
      <c r="A139" s="418">
        <v>137</v>
      </c>
      <c r="B139" s="257" t="s">
        <v>563</v>
      </c>
      <c r="C139" s="113" t="s">
        <v>517</v>
      </c>
      <c r="D139" s="113" t="s">
        <v>574</v>
      </c>
      <c r="E139" s="113" t="s">
        <v>502</v>
      </c>
      <c r="F139" s="269"/>
      <c r="G139" s="269" t="s">
        <v>573</v>
      </c>
      <c r="H139" s="113">
        <v>215</v>
      </c>
      <c r="I139" s="113">
        <v>924</v>
      </c>
      <c r="J139" s="264">
        <v>44868</v>
      </c>
      <c r="K139" s="264">
        <v>45106</v>
      </c>
      <c r="L139" s="112">
        <v>5892480</v>
      </c>
      <c r="M139" s="259">
        <v>20</v>
      </c>
      <c r="N139" s="259">
        <v>20</v>
      </c>
      <c r="O139" s="421">
        <v>22</v>
      </c>
      <c r="P139" s="417">
        <f t="shared" si="8"/>
        <v>1</v>
      </c>
      <c r="Q139" s="405">
        <f t="shared" si="9"/>
        <v>1.1000000000000001</v>
      </c>
    </row>
    <row r="140" spans="1:18" s="1" customFormat="1" ht="16.5" customHeight="1">
      <c r="A140" s="418">
        <v>138</v>
      </c>
      <c r="B140" s="81" t="s">
        <v>563</v>
      </c>
      <c r="C140" s="82" t="s">
        <v>517</v>
      </c>
      <c r="D140" s="82" t="s">
        <v>525</v>
      </c>
      <c r="E140" s="82" t="s">
        <v>502</v>
      </c>
      <c r="F140" s="256"/>
      <c r="G140" s="256" t="s">
        <v>572</v>
      </c>
      <c r="H140" s="82">
        <v>98</v>
      </c>
      <c r="I140" s="82">
        <v>782</v>
      </c>
      <c r="J140" s="84">
        <v>44873</v>
      </c>
      <c r="K140" s="84">
        <v>45015</v>
      </c>
      <c r="L140" s="86">
        <v>5151810</v>
      </c>
      <c r="M140" s="254">
        <v>35</v>
      </c>
      <c r="N140" s="254">
        <v>27</v>
      </c>
      <c r="O140" s="415">
        <v>31</v>
      </c>
      <c r="P140" s="416">
        <f t="shared" si="8"/>
        <v>0.77142857142857146</v>
      </c>
      <c r="Q140" s="406">
        <f t="shared" si="9"/>
        <v>0.88571428571428568</v>
      </c>
    </row>
    <row r="141" spans="1:18" s="1" customFormat="1" ht="16.5" customHeight="1">
      <c r="A141" s="418">
        <v>139</v>
      </c>
      <c r="B141" s="81" t="s">
        <v>563</v>
      </c>
      <c r="C141" s="82" t="s">
        <v>571</v>
      </c>
      <c r="D141" s="82" t="s">
        <v>525</v>
      </c>
      <c r="E141" s="82" t="s">
        <v>498</v>
      </c>
      <c r="F141" s="256"/>
      <c r="G141" s="256" t="s">
        <v>570</v>
      </c>
      <c r="H141" s="82">
        <v>58</v>
      </c>
      <c r="I141" s="82">
        <v>290</v>
      </c>
      <c r="J141" s="84">
        <v>44874</v>
      </c>
      <c r="K141" s="84">
        <v>44957</v>
      </c>
      <c r="L141" s="86">
        <v>1806990</v>
      </c>
      <c r="M141" s="254">
        <v>20</v>
      </c>
      <c r="N141" s="254">
        <v>8</v>
      </c>
      <c r="O141" s="415">
        <v>11</v>
      </c>
      <c r="P141" s="416">
        <f t="shared" si="8"/>
        <v>0.4</v>
      </c>
      <c r="Q141" s="406">
        <f t="shared" si="9"/>
        <v>0.55000000000000004</v>
      </c>
    </row>
    <row r="142" spans="1:18" s="1" customFormat="1" ht="16.5" customHeight="1">
      <c r="A142" s="418">
        <v>140</v>
      </c>
      <c r="B142" s="81" t="s">
        <v>563</v>
      </c>
      <c r="C142" s="83" t="s">
        <v>520</v>
      </c>
      <c r="D142" s="83" t="s">
        <v>525</v>
      </c>
      <c r="E142" s="83" t="s">
        <v>498</v>
      </c>
      <c r="F142" s="256"/>
      <c r="G142" s="88" t="s">
        <v>569</v>
      </c>
      <c r="H142" s="83">
        <v>87</v>
      </c>
      <c r="I142" s="83">
        <v>348</v>
      </c>
      <c r="J142" s="85">
        <v>44875</v>
      </c>
      <c r="K142" s="85">
        <v>45000</v>
      </c>
      <c r="L142" s="87">
        <v>2292620</v>
      </c>
      <c r="M142" s="255">
        <v>20</v>
      </c>
      <c r="N142" s="255">
        <v>7</v>
      </c>
      <c r="O142" s="414">
        <v>8</v>
      </c>
      <c r="P142" s="416">
        <f t="shared" si="8"/>
        <v>0.35</v>
      </c>
      <c r="Q142" s="406">
        <f t="shared" si="9"/>
        <v>0.4</v>
      </c>
    </row>
    <row r="143" spans="1:18" s="1" customFormat="1" ht="16.5" customHeight="1">
      <c r="A143" s="418">
        <v>141</v>
      </c>
      <c r="B143" s="81" t="s">
        <v>563</v>
      </c>
      <c r="C143" s="83" t="s">
        <v>568</v>
      </c>
      <c r="D143" s="83" t="s">
        <v>567</v>
      </c>
      <c r="E143" s="83" t="s">
        <v>498</v>
      </c>
      <c r="F143" s="256"/>
      <c r="G143" s="88" t="s">
        <v>566</v>
      </c>
      <c r="H143" s="83">
        <v>72</v>
      </c>
      <c r="I143" s="83">
        <v>357</v>
      </c>
      <c r="J143" s="85">
        <v>44875</v>
      </c>
      <c r="K143" s="85">
        <v>44978</v>
      </c>
      <c r="L143" s="87">
        <v>2224460</v>
      </c>
      <c r="M143" s="255">
        <v>15</v>
      </c>
      <c r="N143" s="255">
        <v>10</v>
      </c>
      <c r="O143" s="414">
        <v>11</v>
      </c>
      <c r="P143" s="416">
        <f t="shared" si="8"/>
        <v>0.66666666666666663</v>
      </c>
      <c r="Q143" s="406">
        <f t="shared" si="9"/>
        <v>0.73333333333333328</v>
      </c>
    </row>
    <row r="144" spans="1:18" s="1" customFormat="1" ht="16.5" customHeight="1">
      <c r="A144" s="418">
        <v>142</v>
      </c>
      <c r="B144" s="81" t="s">
        <v>563</v>
      </c>
      <c r="C144" s="82" t="s">
        <v>517</v>
      </c>
      <c r="D144" s="82" t="s">
        <v>519</v>
      </c>
      <c r="E144" s="82" t="s">
        <v>498</v>
      </c>
      <c r="F144" s="256"/>
      <c r="G144" s="256" t="s">
        <v>565</v>
      </c>
      <c r="H144" s="82">
        <v>70</v>
      </c>
      <c r="I144" s="82">
        <v>280</v>
      </c>
      <c r="J144" s="84">
        <v>44875</v>
      </c>
      <c r="K144" s="84">
        <v>44974</v>
      </c>
      <c r="L144" s="86">
        <v>1844640</v>
      </c>
      <c r="M144" s="254">
        <v>20</v>
      </c>
      <c r="N144" s="254">
        <v>20</v>
      </c>
      <c r="O144" s="415">
        <v>20</v>
      </c>
      <c r="P144" s="416">
        <f t="shared" si="8"/>
        <v>1</v>
      </c>
      <c r="Q144" s="406">
        <f t="shared" si="9"/>
        <v>1</v>
      </c>
    </row>
    <row r="145" spans="1:18" s="1" customFormat="1" ht="16.5" customHeight="1">
      <c r="A145" s="418">
        <v>143</v>
      </c>
      <c r="B145" s="81" t="s">
        <v>563</v>
      </c>
      <c r="C145" s="83" t="s">
        <v>520</v>
      </c>
      <c r="D145" s="83" t="s">
        <v>519</v>
      </c>
      <c r="E145" s="83" t="s">
        <v>502</v>
      </c>
      <c r="F145" s="256"/>
      <c r="G145" s="88" t="s">
        <v>564</v>
      </c>
      <c r="H145" s="83">
        <v>155</v>
      </c>
      <c r="I145" s="83">
        <v>620</v>
      </c>
      <c r="J145" s="85">
        <v>44880</v>
      </c>
      <c r="K145" s="85">
        <v>45128</v>
      </c>
      <c r="L145" s="87">
        <v>3898560</v>
      </c>
      <c r="M145" s="255">
        <v>20</v>
      </c>
      <c r="N145" s="255">
        <v>8</v>
      </c>
      <c r="O145" s="414">
        <v>8</v>
      </c>
      <c r="P145" s="416">
        <f t="shared" si="8"/>
        <v>0.4</v>
      </c>
      <c r="Q145" s="406">
        <f t="shared" si="9"/>
        <v>0.4</v>
      </c>
    </row>
    <row r="146" spans="1:18" s="1" customFormat="1" ht="16.5" customHeight="1">
      <c r="A146" s="418">
        <v>144</v>
      </c>
      <c r="B146" s="81" t="s">
        <v>563</v>
      </c>
      <c r="C146" s="82" t="s">
        <v>517</v>
      </c>
      <c r="D146" s="82" t="s">
        <v>489</v>
      </c>
      <c r="E146" s="82" t="s">
        <v>502</v>
      </c>
      <c r="F146" s="256"/>
      <c r="G146" s="256" t="s">
        <v>562</v>
      </c>
      <c r="H146" s="82">
        <v>108</v>
      </c>
      <c r="I146" s="82">
        <v>858</v>
      </c>
      <c r="J146" s="84">
        <v>44882</v>
      </c>
      <c r="K146" s="84">
        <v>45036</v>
      </c>
      <c r="L146" s="86">
        <v>5459660</v>
      </c>
      <c r="M146" s="254">
        <v>30</v>
      </c>
      <c r="N146" s="254">
        <v>12</v>
      </c>
      <c r="O146" s="415">
        <v>11</v>
      </c>
      <c r="P146" s="416">
        <f t="shared" si="8"/>
        <v>0.4</v>
      </c>
      <c r="Q146" s="406">
        <f t="shared" si="9"/>
        <v>0.36666666666666664</v>
      </c>
    </row>
    <row r="147" spans="1:18" s="1" customFormat="1" ht="16.5" customHeight="1">
      <c r="A147" s="418">
        <v>145</v>
      </c>
      <c r="B147" s="81" t="s">
        <v>556</v>
      </c>
      <c r="C147" s="83" t="s">
        <v>539</v>
      </c>
      <c r="D147" s="83" t="s">
        <v>561</v>
      </c>
      <c r="E147" s="83" t="s">
        <v>498</v>
      </c>
      <c r="F147" s="256"/>
      <c r="G147" s="88" t="s">
        <v>560</v>
      </c>
      <c r="H147" s="83">
        <v>70</v>
      </c>
      <c r="I147" s="83">
        <v>350</v>
      </c>
      <c r="J147" s="85">
        <v>44887</v>
      </c>
      <c r="K147" s="85">
        <v>44987</v>
      </c>
      <c r="L147" s="87">
        <v>2305800</v>
      </c>
      <c r="M147" s="255">
        <v>21</v>
      </c>
      <c r="N147" s="255">
        <v>9</v>
      </c>
      <c r="O147" s="414">
        <v>9</v>
      </c>
      <c r="P147" s="416">
        <f t="shared" si="8"/>
        <v>0.42857142857142855</v>
      </c>
      <c r="Q147" s="406">
        <f t="shared" si="9"/>
        <v>0.42857142857142855</v>
      </c>
    </row>
    <row r="148" spans="1:18" s="1" customFormat="1" ht="16.5" customHeight="1">
      <c r="A148" s="418">
        <v>146</v>
      </c>
      <c r="B148" s="81" t="s">
        <v>556</v>
      </c>
      <c r="C148" s="83" t="s">
        <v>539</v>
      </c>
      <c r="D148" s="83" t="s">
        <v>559</v>
      </c>
      <c r="E148" s="83" t="s">
        <v>529</v>
      </c>
      <c r="F148" s="256"/>
      <c r="G148" s="88" t="s">
        <v>558</v>
      </c>
      <c r="H148" s="83">
        <v>130</v>
      </c>
      <c r="I148" s="83">
        <v>650</v>
      </c>
      <c r="J148" s="85">
        <v>44894</v>
      </c>
      <c r="K148" s="85">
        <v>45084</v>
      </c>
      <c r="L148" s="87">
        <v>4282200</v>
      </c>
      <c r="M148" s="255">
        <v>20</v>
      </c>
      <c r="N148" s="255">
        <v>20</v>
      </c>
      <c r="O148" s="414">
        <v>21</v>
      </c>
      <c r="P148" s="416">
        <f t="shared" si="8"/>
        <v>1</v>
      </c>
      <c r="Q148" s="406">
        <f t="shared" si="9"/>
        <v>1.05</v>
      </c>
    </row>
    <row r="149" spans="1:18" s="1" customFormat="1" ht="16.5" customHeight="1">
      <c r="A149" s="418">
        <v>147</v>
      </c>
      <c r="B149" s="81" t="s">
        <v>556</v>
      </c>
      <c r="C149" s="82" t="s">
        <v>537</v>
      </c>
      <c r="D149" s="82" t="s">
        <v>499</v>
      </c>
      <c r="E149" s="82" t="s">
        <v>529</v>
      </c>
      <c r="F149" s="256"/>
      <c r="G149" s="256" t="s">
        <v>557</v>
      </c>
      <c r="H149" s="82">
        <v>119</v>
      </c>
      <c r="I149" s="82">
        <v>712</v>
      </c>
      <c r="J149" s="84">
        <v>44894</v>
      </c>
      <c r="K149" s="84">
        <v>45065</v>
      </c>
      <c r="L149" s="86">
        <v>4680680</v>
      </c>
      <c r="M149" s="254">
        <v>21</v>
      </c>
      <c r="N149" s="254">
        <v>17</v>
      </c>
      <c r="O149" s="415">
        <v>17</v>
      </c>
      <c r="P149" s="416">
        <f t="shared" si="8"/>
        <v>0.80952380952380953</v>
      </c>
      <c r="Q149" s="406">
        <f t="shared" si="9"/>
        <v>0.80952380952380953</v>
      </c>
    </row>
    <row r="150" spans="1:18" s="1" customFormat="1" ht="16.5" customHeight="1">
      <c r="A150" s="418">
        <v>148</v>
      </c>
      <c r="B150" s="81" t="s">
        <v>556</v>
      </c>
      <c r="C150" s="83" t="s">
        <v>506</v>
      </c>
      <c r="D150" s="83" t="s">
        <v>494</v>
      </c>
      <c r="E150" s="83" t="s">
        <v>508</v>
      </c>
      <c r="F150" s="256"/>
      <c r="G150" s="88" t="s">
        <v>555</v>
      </c>
      <c r="H150" s="83">
        <v>145</v>
      </c>
      <c r="I150" s="83">
        <v>870</v>
      </c>
      <c r="J150" s="85">
        <v>44895</v>
      </c>
      <c r="K150" s="85">
        <v>45104</v>
      </c>
      <c r="L150" s="87">
        <v>5420970</v>
      </c>
      <c r="M150" s="255">
        <v>20</v>
      </c>
      <c r="N150" s="255">
        <v>20</v>
      </c>
      <c r="O150" s="414">
        <v>34</v>
      </c>
      <c r="P150" s="352">
        <f t="shared" si="8"/>
        <v>1</v>
      </c>
      <c r="Q150" s="406">
        <f t="shared" si="9"/>
        <v>1.7</v>
      </c>
    </row>
    <row r="151" spans="1:18" s="419" customFormat="1" ht="16.5" customHeight="1" thickBot="1">
      <c r="A151" s="475">
        <v>149</v>
      </c>
      <c r="B151" s="442" t="s">
        <v>554</v>
      </c>
      <c r="C151" s="423" t="s">
        <v>553</v>
      </c>
      <c r="D151" s="423" t="s">
        <v>527</v>
      </c>
      <c r="E151" s="423" t="s">
        <v>493</v>
      </c>
      <c r="F151" s="424"/>
      <c r="G151" s="425" t="s">
        <v>552</v>
      </c>
      <c r="H151" s="423">
        <v>33</v>
      </c>
      <c r="I151" s="423">
        <v>130</v>
      </c>
      <c r="J151" s="426">
        <v>44879</v>
      </c>
      <c r="K151" s="426">
        <v>44925</v>
      </c>
      <c r="L151" s="427">
        <v>926380</v>
      </c>
      <c r="M151" s="420">
        <v>20</v>
      </c>
      <c r="N151" s="420">
        <v>5</v>
      </c>
      <c r="O151" s="428">
        <v>5</v>
      </c>
      <c r="P151" s="429">
        <f t="shared" si="8"/>
        <v>0.25</v>
      </c>
      <c r="Q151" s="430">
        <f t="shared" si="9"/>
        <v>0.25</v>
      </c>
      <c r="R151" s="476">
        <f>SUM(N139:N151)/SUM(M139:M151)</f>
        <v>0.64893617021276595</v>
      </c>
    </row>
    <row r="152" spans="1:18">
      <c r="A152" s="453">
        <v>137</v>
      </c>
      <c r="B152" s="257" t="s">
        <v>521</v>
      </c>
      <c r="C152" s="224" t="s">
        <v>533</v>
      </c>
      <c r="D152" s="224" t="s">
        <v>509</v>
      </c>
      <c r="E152" s="224" t="s">
        <v>493</v>
      </c>
      <c r="F152" s="269"/>
      <c r="G152" s="285" t="s">
        <v>551</v>
      </c>
      <c r="H152" s="224">
        <v>124</v>
      </c>
      <c r="I152" s="224">
        <v>370</v>
      </c>
      <c r="J152" s="225">
        <v>44900</v>
      </c>
      <c r="K152" s="225">
        <v>45078</v>
      </c>
      <c r="L152" s="283">
        <v>2305470</v>
      </c>
      <c r="M152" s="353">
        <v>13</v>
      </c>
      <c r="N152" s="277">
        <v>6</v>
      </c>
      <c r="O152" s="284">
        <v>9</v>
      </c>
      <c r="P152" s="351">
        <f t="shared" si="8"/>
        <v>0.46153846153846156</v>
      </c>
      <c r="Q152" s="332">
        <f t="shared" si="9"/>
        <v>0.69230769230769229</v>
      </c>
    </row>
    <row r="153" spans="1:18">
      <c r="A153" s="453">
        <v>138</v>
      </c>
      <c r="B153" s="81" t="s">
        <v>521</v>
      </c>
      <c r="C153" s="83" t="s">
        <v>533</v>
      </c>
      <c r="D153" s="83" t="s">
        <v>527</v>
      </c>
      <c r="E153" s="83" t="s">
        <v>493</v>
      </c>
      <c r="F153" s="256"/>
      <c r="G153" s="88" t="s">
        <v>550</v>
      </c>
      <c r="H153" s="83">
        <v>120</v>
      </c>
      <c r="I153" s="83">
        <v>370</v>
      </c>
      <c r="J153" s="85">
        <v>44903</v>
      </c>
      <c r="K153" s="85">
        <v>45075</v>
      </c>
      <c r="L153" s="87">
        <v>2305470</v>
      </c>
      <c r="M153" s="354">
        <v>10</v>
      </c>
      <c r="N153" s="255">
        <v>8</v>
      </c>
      <c r="O153" s="110">
        <v>9</v>
      </c>
      <c r="P153" s="352">
        <f t="shared" si="8"/>
        <v>0.8</v>
      </c>
      <c r="Q153" s="324">
        <f t="shared" si="9"/>
        <v>0.9</v>
      </c>
    </row>
    <row r="154" spans="1:18">
      <c r="A154" s="453">
        <v>139</v>
      </c>
      <c r="B154" s="81" t="s">
        <v>521</v>
      </c>
      <c r="C154" s="83" t="s">
        <v>539</v>
      </c>
      <c r="D154" s="83" t="s">
        <v>549</v>
      </c>
      <c r="E154" s="83" t="s">
        <v>493</v>
      </c>
      <c r="F154" s="256"/>
      <c r="G154" s="88" t="s">
        <v>548</v>
      </c>
      <c r="H154" s="83">
        <v>87</v>
      </c>
      <c r="I154" s="83">
        <v>350</v>
      </c>
      <c r="J154" s="85">
        <v>44903</v>
      </c>
      <c r="K154" s="85">
        <v>45028</v>
      </c>
      <c r="L154" s="87">
        <v>2305800</v>
      </c>
      <c r="M154" s="354">
        <v>22</v>
      </c>
      <c r="N154" s="255">
        <v>11</v>
      </c>
      <c r="O154" s="110">
        <v>15</v>
      </c>
      <c r="P154" s="352">
        <f t="shared" si="8"/>
        <v>0.5</v>
      </c>
      <c r="Q154" s="324">
        <f t="shared" si="9"/>
        <v>0.68181818181818177</v>
      </c>
    </row>
    <row r="155" spans="1:18">
      <c r="A155" s="453">
        <v>140</v>
      </c>
      <c r="B155" s="81" t="s">
        <v>521</v>
      </c>
      <c r="C155" s="83" t="s">
        <v>547</v>
      </c>
      <c r="D155" s="83" t="s">
        <v>546</v>
      </c>
      <c r="E155" s="83" t="s">
        <v>543</v>
      </c>
      <c r="F155" s="256"/>
      <c r="G155" s="88" t="s">
        <v>545</v>
      </c>
      <c r="H155" s="83">
        <v>80</v>
      </c>
      <c r="I155" s="83">
        <v>320</v>
      </c>
      <c r="J155" s="85">
        <v>44903</v>
      </c>
      <c r="K155" s="85">
        <v>45019</v>
      </c>
      <c r="L155" s="87">
        <v>2012160</v>
      </c>
      <c r="M155" s="354">
        <v>22</v>
      </c>
      <c r="N155" s="255">
        <v>11</v>
      </c>
      <c r="O155" s="110">
        <v>14</v>
      </c>
      <c r="P155" s="352">
        <f t="shared" si="8"/>
        <v>0.5</v>
      </c>
      <c r="Q155" s="324">
        <f t="shared" si="9"/>
        <v>0.63636363636363635</v>
      </c>
    </row>
    <row r="156" spans="1:18">
      <c r="A156" s="453">
        <v>141</v>
      </c>
      <c r="B156" s="81" t="s">
        <v>496</v>
      </c>
      <c r="C156" s="83" t="s">
        <v>533</v>
      </c>
      <c r="D156" s="83" t="s">
        <v>499</v>
      </c>
      <c r="E156" s="83" t="s">
        <v>508</v>
      </c>
      <c r="F156" s="256"/>
      <c r="G156" s="88" t="s">
        <v>544</v>
      </c>
      <c r="H156" s="83">
        <v>145</v>
      </c>
      <c r="I156" s="83">
        <v>870</v>
      </c>
      <c r="J156" s="85">
        <v>44910</v>
      </c>
      <c r="K156" s="85">
        <v>45119</v>
      </c>
      <c r="L156" s="87">
        <v>5420970</v>
      </c>
      <c r="M156" s="354">
        <v>20</v>
      </c>
      <c r="N156" s="255">
        <v>10</v>
      </c>
      <c r="O156" s="110">
        <v>15</v>
      </c>
      <c r="P156" s="352">
        <f t="shared" si="8"/>
        <v>0.5</v>
      </c>
      <c r="Q156" s="324">
        <f t="shared" si="9"/>
        <v>0.75</v>
      </c>
    </row>
    <row r="157" spans="1:18">
      <c r="A157" s="453">
        <v>142</v>
      </c>
      <c r="B157" s="81" t="s">
        <v>496</v>
      </c>
      <c r="C157" s="83" t="s">
        <v>533</v>
      </c>
      <c r="D157" s="83" t="s">
        <v>499</v>
      </c>
      <c r="E157" s="83" t="s">
        <v>543</v>
      </c>
      <c r="F157" s="256"/>
      <c r="G157" s="88" t="s">
        <v>542</v>
      </c>
      <c r="H157" s="83">
        <v>124</v>
      </c>
      <c r="I157" s="83">
        <v>370</v>
      </c>
      <c r="J157" s="85">
        <v>44914</v>
      </c>
      <c r="K157" s="85">
        <v>45093</v>
      </c>
      <c r="L157" s="87">
        <v>2305470</v>
      </c>
      <c r="M157" s="354">
        <v>20</v>
      </c>
      <c r="N157" s="255">
        <v>9</v>
      </c>
      <c r="O157" s="110">
        <v>9</v>
      </c>
      <c r="P157" s="352">
        <f t="shared" si="8"/>
        <v>0.45</v>
      </c>
      <c r="Q157" s="324">
        <f t="shared" si="9"/>
        <v>0.45</v>
      </c>
    </row>
    <row r="158" spans="1:18">
      <c r="A158" s="453">
        <v>143</v>
      </c>
      <c r="B158" s="81" t="s">
        <v>496</v>
      </c>
      <c r="C158" s="82" t="s">
        <v>537</v>
      </c>
      <c r="D158" s="82" t="s">
        <v>499</v>
      </c>
      <c r="E158" s="82" t="s">
        <v>508</v>
      </c>
      <c r="F158" s="256"/>
      <c r="G158" s="256" t="s">
        <v>541</v>
      </c>
      <c r="H158" s="82">
        <v>157</v>
      </c>
      <c r="I158" s="82">
        <v>875</v>
      </c>
      <c r="J158" s="84">
        <v>44915</v>
      </c>
      <c r="K158" s="84">
        <v>45152</v>
      </c>
      <c r="L158" s="86">
        <v>5579610</v>
      </c>
      <c r="M158" s="355">
        <v>21</v>
      </c>
      <c r="N158" s="254">
        <v>16</v>
      </c>
      <c r="O158" s="109">
        <v>16</v>
      </c>
      <c r="P158" s="352">
        <f t="shared" si="8"/>
        <v>0.76190476190476186</v>
      </c>
      <c r="Q158" s="324">
        <f t="shared" si="9"/>
        <v>0.76190476190476186</v>
      </c>
    </row>
    <row r="159" spans="1:18">
      <c r="A159" s="453">
        <v>144</v>
      </c>
      <c r="B159" s="81" t="s">
        <v>521</v>
      </c>
      <c r="C159" s="82" t="s">
        <v>510</v>
      </c>
      <c r="D159" s="82" t="s">
        <v>494</v>
      </c>
      <c r="E159" s="82" t="s">
        <v>508</v>
      </c>
      <c r="F159" s="256"/>
      <c r="G159" s="256" t="s">
        <v>540</v>
      </c>
      <c r="H159" s="82">
        <v>157</v>
      </c>
      <c r="I159" s="82">
        <v>875</v>
      </c>
      <c r="J159" s="84">
        <v>44915</v>
      </c>
      <c r="K159" s="84">
        <v>45152</v>
      </c>
      <c r="L159" s="86">
        <v>5579610</v>
      </c>
      <c r="M159" s="355">
        <v>21</v>
      </c>
      <c r="N159" s="254">
        <v>7</v>
      </c>
      <c r="O159" s="109">
        <v>7</v>
      </c>
      <c r="P159" s="352">
        <f t="shared" si="8"/>
        <v>0.33333333333333331</v>
      </c>
      <c r="Q159" s="324">
        <f t="shared" si="9"/>
        <v>0.33333333333333331</v>
      </c>
    </row>
    <row r="160" spans="1:18">
      <c r="A160" s="453">
        <v>145</v>
      </c>
      <c r="B160" s="81" t="s">
        <v>496</v>
      </c>
      <c r="C160" s="83" t="s">
        <v>539</v>
      </c>
      <c r="D160" s="83" t="s">
        <v>519</v>
      </c>
      <c r="E160" s="83" t="s">
        <v>508</v>
      </c>
      <c r="F160" s="256"/>
      <c r="G160" s="88" t="s">
        <v>538</v>
      </c>
      <c r="H160" s="83">
        <v>120</v>
      </c>
      <c r="I160" s="83">
        <v>620</v>
      </c>
      <c r="J160" s="85">
        <v>44915</v>
      </c>
      <c r="K160" s="85">
        <v>45113</v>
      </c>
      <c r="L160" s="87">
        <v>3898560</v>
      </c>
      <c r="M160" s="354">
        <v>20</v>
      </c>
      <c r="N160" s="255">
        <v>16</v>
      </c>
      <c r="O160" s="110">
        <v>19</v>
      </c>
      <c r="P160" s="352">
        <f t="shared" si="8"/>
        <v>0.8</v>
      </c>
      <c r="Q160" s="324">
        <f t="shared" si="9"/>
        <v>0.95</v>
      </c>
    </row>
    <row r="161" spans="1:18">
      <c r="A161" s="453">
        <v>146</v>
      </c>
      <c r="B161" s="81" t="s">
        <v>521</v>
      </c>
      <c r="C161" s="82" t="s">
        <v>537</v>
      </c>
      <c r="D161" s="82" t="s">
        <v>536</v>
      </c>
      <c r="E161" s="82" t="s">
        <v>535</v>
      </c>
      <c r="F161" s="256"/>
      <c r="G161" s="256" t="s">
        <v>534</v>
      </c>
      <c r="H161" s="82">
        <v>121</v>
      </c>
      <c r="I161" s="82">
        <v>820</v>
      </c>
      <c r="J161" s="84">
        <v>44917</v>
      </c>
      <c r="K161" s="84">
        <v>45093</v>
      </c>
      <c r="L161" s="86">
        <v>5402160</v>
      </c>
      <c r="M161" s="355">
        <v>20</v>
      </c>
      <c r="N161" s="254">
        <v>20</v>
      </c>
      <c r="O161" s="109">
        <v>22</v>
      </c>
      <c r="P161" s="352">
        <f t="shared" si="8"/>
        <v>1</v>
      </c>
      <c r="Q161" s="324">
        <f t="shared" si="9"/>
        <v>1.1000000000000001</v>
      </c>
    </row>
    <row r="162" spans="1:18">
      <c r="A162" s="453">
        <v>147</v>
      </c>
      <c r="B162" s="81" t="s">
        <v>496</v>
      </c>
      <c r="C162" s="83" t="s">
        <v>533</v>
      </c>
      <c r="D162" s="83" t="s">
        <v>532</v>
      </c>
      <c r="E162" s="83" t="s">
        <v>493</v>
      </c>
      <c r="F162" s="256"/>
      <c r="G162" s="88" t="s">
        <v>531</v>
      </c>
      <c r="H162" s="83">
        <v>124</v>
      </c>
      <c r="I162" s="83">
        <v>370</v>
      </c>
      <c r="J162" s="85">
        <v>44921</v>
      </c>
      <c r="K162" s="85">
        <v>45099</v>
      </c>
      <c r="L162" s="87">
        <v>2305470</v>
      </c>
      <c r="M162" s="354">
        <v>12</v>
      </c>
      <c r="N162" s="255">
        <v>9</v>
      </c>
      <c r="O162" s="110">
        <v>9</v>
      </c>
      <c r="P162" s="352">
        <f t="shared" ref="P162:P175" si="10">N162/M162</f>
        <v>0.75</v>
      </c>
      <c r="Q162" s="324">
        <f t="shared" ref="Q162:Q175" si="11">O162/M162</f>
        <v>0.75</v>
      </c>
    </row>
    <row r="163" spans="1:18">
      <c r="A163" s="453">
        <v>148</v>
      </c>
      <c r="B163" s="81" t="s">
        <v>521</v>
      </c>
      <c r="C163" s="83" t="s">
        <v>520</v>
      </c>
      <c r="D163" s="83" t="s">
        <v>530</v>
      </c>
      <c r="E163" s="83" t="s">
        <v>529</v>
      </c>
      <c r="F163" s="256"/>
      <c r="G163" s="88" t="s">
        <v>528</v>
      </c>
      <c r="H163" s="83">
        <v>110</v>
      </c>
      <c r="I163" s="83">
        <v>753</v>
      </c>
      <c r="J163" s="85">
        <v>44921</v>
      </c>
      <c r="K163" s="85">
        <v>45078</v>
      </c>
      <c r="L163" s="87">
        <v>4131240</v>
      </c>
      <c r="M163" s="354">
        <v>25</v>
      </c>
      <c r="N163" s="255">
        <v>17</v>
      </c>
      <c r="O163" s="110">
        <v>25</v>
      </c>
      <c r="P163" s="352">
        <f t="shared" si="10"/>
        <v>0.68</v>
      </c>
      <c r="Q163" s="324">
        <f t="shared" si="11"/>
        <v>1</v>
      </c>
    </row>
    <row r="164" spans="1:18">
      <c r="A164" s="453">
        <v>149</v>
      </c>
      <c r="B164" s="81" t="s">
        <v>521</v>
      </c>
      <c r="C164" s="82" t="s">
        <v>510</v>
      </c>
      <c r="D164" s="82" t="s">
        <v>527</v>
      </c>
      <c r="E164" s="82" t="s">
        <v>516</v>
      </c>
      <c r="F164" s="256"/>
      <c r="G164" s="256" t="s">
        <v>526</v>
      </c>
      <c r="H164" s="82">
        <v>110</v>
      </c>
      <c r="I164" s="82">
        <v>880</v>
      </c>
      <c r="J164" s="84">
        <v>44923</v>
      </c>
      <c r="K164" s="84">
        <v>45082</v>
      </c>
      <c r="L164" s="86">
        <v>7536320</v>
      </c>
      <c r="M164" s="355">
        <v>30</v>
      </c>
      <c r="N164" s="254">
        <v>28</v>
      </c>
      <c r="O164" s="109">
        <v>28</v>
      </c>
      <c r="P164" s="352">
        <f t="shared" si="10"/>
        <v>0.93333333333333335</v>
      </c>
      <c r="Q164" s="324">
        <f t="shared" si="11"/>
        <v>0.93333333333333335</v>
      </c>
    </row>
    <row r="165" spans="1:18">
      <c r="A165" s="453">
        <v>150</v>
      </c>
      <c r="B165" s="81" t="s">
        <v>496</v>
      </c>
      <c r="C165" s="82" t="s">
        <v>510</v>
      </c>
      <c r="D165" s="82" t="s">
        <v>525</v>
      </c>
      <c r="E165" s="82" t="s">
        <v>508</v>
      </c>
      <c r="F165" s="256"/>
      <c r="G165" s="256" t="s">
        <v>524</v>
      </c>
      <c r="H165" s="82">
        <v>104</v>
      </c>
      <c r="I165" s="82">
        <v>945</v>
      </c>
      <c r="J165" s="84">
        <v>44924</v>
      </c>
      <c r="K165" s="84">
        <v>45076</v>
      </c>
      <c r="L165" s="86">
        <v>6001010</v>
      </c>
      <c r="M165" s="355">
        <v>35</v>
      </c>
      <c r="N165" s="254">
        <v>30</v>
      </c>
      <c r="O165" s="109">
        <v>31</v>
      </c>
      <c r="P165" s="352">
        <f t="shared" si="10"/>
        <v>0.8571428571428571</v>
      </c>
      <c r="Q165" s="324">
        <f t="shared" si="11"/>
        <v>0.88571428571428568</v>
      </c>
    </row>
    <row r="166" spans="1:18">
      <c r="A166" s="453">
        <v>151</v>
      </c>
      <c r="B166" s="81" t="s">
        <v>503</v>
      </c>
      <c r="C166" s="82" t="s">
        <v>517</v>
      </c>
      <c r="D166" s="82" t="s">
        <v>494</v>
      </c>
      <c r="E166" s="82" t="s">
        <v>508</v>
      </c>
      <c r="F166" s="256"/>
      <c r="G166" s="256" t="s">
        <v>523</v>
      </c>
      <c r="H166" s="82">
        <v>157</v>
      </c>
      <c r="I166" s="82">
        <v>875</v>
      </c>
      <c r="J166" s="84">
        <v>44924</v>
      </c>
      <c r="K166" s="84">
        <v>45161</v>
      </c>
      <c r="L166" s="86">
        <v>5579610</v>
      </c>
      <c r="M166" s="355">
        <v>35</v>
      </c>
      <c r="N166" s="480">
        <v>9</v>
      </c>
      <c r="O166" s="109">
        <v>10</v>
      </c>
      <c r="P166" s="352">
        <f t="shared" si="10"/>
        <v>0.25714285714285712</v>
      </c>
      <c r="Q166" s="324">
        <f t="shared" si="11"/>
        <v>0.2857142857142857</v>
      </c>
    </row>
    <row r="167" spans="1:18">
      <c r="A167" s="453">
        <v>152</v>
      </c>
      <c r="B167" s="81" t="s">
        <v>496</v>
      </c>
      <c r="C167" s="82" t="s">
        <v>517</v>
      </c>
      <c r="D167" s="82" t="s">
        <v>494</v>
      </c>
      <c r="E167" s="82" t="s">
        <v>508</v>
      </c>
      <c r="F167" s="256"/>
      <c r="G167" s="256" t="s">
        <v>522</v>
      </c>
      <c r="H167" s="82">
        <v>104</v>
      </c>
      <c r="I167" s="82">
        <v>945</v>
      </c>
      <c r="J167" s="84">
        <v>44924</v>
      </c>
      <c r="K167" s="84">
        <v>45161</v>
      </c>
      <c r="L167" s="86">
        <v>5579610</v>
      </c>
      <c r="M167" s="355">
        <v>35</v>
      </c>
      <c r="N167" s="254">
        <v>26</v>
      </c>
      <c r="O167" s="109">
        <v>26</v>
      </c>
      <c r="P167" s="352">
        <f t="shared" si="10"/>
        <v>0.74285714285714288</v>
      </c>
      <c r="Q167" s="324">
        <f t="shared" si="11"/>
        <v>0.74285714285714288</v>
      </c>
    </row>
    <row r="168" spans="1:18">
      <c r="A168" s="453">
        <v>153</v>
      </c>
      <c r="B168" s="81" t="s">
        <v>521</v>
      </c>
      <c r="C168" s="83" t="s">
        <v>520</v>
      </c>
      <c r="D168" s="83" t="s">
        <v>519</v>
      </c>
      <c r="E168" s="83" t="s">
        <v>508</v>
      </c>
      <c r="F168" s="256"/>
      <c r="G168" s="88" t="s">
        <v>518</v>
      </c>
      <c r="H168" s="83">
        <v>137</v>
      </c>
      <c r="I168" s="83">
        <v>668</v>
      </c>
      <c r="J168" s="85">
        <v>44924</v>
      </c>
      <c r="K168" s="85">
        <v>45139</v>
      </c>
      <c r="L168" s="87">
        <v>3753492</v>
      </c>
      <c r="M168" s="354">
        <v>20</v>
      </c>
      <c r="N168" s="255">
        <v>12</v>
      </c>
      <c r="O168" s="110">
        <v>12</v>
      </c>
      <c r="P168" s="352">
        <f t="shared" si="10"/>
        <v>0.6</v>
      </c>
      <c r="Q168" s="324">
        <f t="shared" si="11"/>
        <v>0.6</v>
      </c>
    </row>
    <row r="169" spans="1:18">
      <c r="A169" s="453">
        <v>154</v>
      </c>
      <c r="B169" s="81" t="s">
        <v>496</v>
      </c>
      <c r="C169" s="82" t="s">
        <v>517</v>
      </c>
      <c r="D169" s="82" t="s">
        <v>494</v>
      </c>
      <c r="E169" s="82" t="s">
        <v>516</v>
      </c>
      <c r="F169" s="256"/>
      <c r="G169" s="256" t="s">
        <v>515</v>
      </c>
      <c r="H169" s="82">
        <v>124</v>
      </c>
      <c r="I169" s="82">
        <v>984</v>
      </c>
      <c r="J169" s="84">
        <v>44925</v>
      </c>
      <c r="K169" s="84" t="s">
        <v>514</v>
      </c>
      <c r="L169" s="86">
        <v>8426970</v>
      </c>
      <c r="M169" s="355">
        <v>25</v>
      </c>
      <c r="N169" s="254">
        <v>11</v>
      </c>
      <c r="O169" s="109">
        <v>10</v>
      </c>
      <c r="P169" s="352">
        <f t="shared" si="10"/>
        <v>0.44</v>
      </c>
      <c r="Q169" s="324">
        <f t="shared" si="11"/>
        <v>0.4</v>
      </c>
    </row>
    <row r="170" spans="1:18">
      <c r="A170" s="453">
        <v>155</v>
      </c>
      <c r="B170" s="81" t="s">
        <v>496</v>
      </c>
      <c r="C170" s="82" t="s">
        <v>510</v>
      </c>
      <c r="D170" s="82" t="s">
        <v>513</v>
      </c>
      <c r="E170" s="82" t="s">
        <v>512</v>
      </c>
      <c r="F170" s="256"/>
      <c r="G170" s="256" t="s">
        <v>511</v>
      </c>
      <c r="H170" s="82">
        <v>125</v>
      </c>
      <c r="I170" s="82">
        <v>1000</v>
      </c>
      <c r="J170" s="84">
        <v>44925</v>
      </c>
      <c r="K170" s="84">
        <v>45106</v>
      </c>
      <c r="L170" s="86">
        <v>8564000</v>
      </c>
      <c r="M170" s="355">
        <v>22</v>
      </c>
      <c r="N170" s="254">
        <v>12</v>
      </c>
      <c r="O170" s="109">
        <v>12</v>
      </c>
      <c r="P170" s="352">
        <f t="shared" si="10"/>
        <v>0.54545454545454541</v>
      </c>
      <c r="Q170" s="324">
        <f t="shared" si="11"/>
        <v>0.54545454545454541</v>
      </c>
    </row>
    <row r="171" spans="1:18">
      <c r="A171" s="453">
        <v>156</v>
      </c>
      <c r="B171" s="81" t="s">
        <v>496</v>
      </c>
      <c r="C171" s="82" t="s">
        <v>510</v>
      </c>
      <c r="D171" s="82" t="s">
        <v>509</v>
      </c>
      <c r="E171" s="82" t="s">
        <v>508</v>
      </c>
      <c r="F171" s="256"/>
      <c r="G171" s="256" t="s">
        <v>507</v>
      </c>
      <c r="H171" s="82">
        <v>110</v>
      </c>
      <c r="I171" s="82">
        <v>875</v>
      </c>
      <c r="J171" s="84">
        <v>44925</v>
      </c>
      <c r="K171" s="84">
        <v>45085</v>
      </c>
      <c r="L171" s="86">
        <v>5579610</v>
      </c>
      <c r="M171" s="355">
        <v>30</v>
      </c>
      <c r="N171" s="254">
        <v>18</v>
      </c>
      <c r="O171" s="109">
        <v>19</v>
      </c>
      <c r="P171" s="352">
        <f t="shared" si="10"/>
        <v>0.6</v>
      </c>
      <c r="Q171" s="324">
        <f t="shared" si="11"/>
        <v>0.6333333333333333</v>
      </c>
    </row>
    <row r="172" spans="1:18">
      <c r="A172" s="453">
        <v>157</v>
      </c>
      <c r="B172" s="81" t="s">
        <v>496</v>
      </c>
      <c r="C172" s="83" t="s">
        <v>506</v>
      </c>
      <c r="D172" s="83" t="s">
        <v>505</v>
      </c>
      <c r="E172" s="83" t="s">
        <v>493</v>
      </c>
      <c r="F172" s="256"/>
      <c r="G172" s="88" t="s">
        <v>504</v>
      </c>
      <c r="H172" s="83">
        <v>124</v>
      </c>
      <c r="I172" s="83">
        <v>370</v>
      </c>
      <c r="J172" s="85">
        <v>44925</v>
      </c>
      <c r="K172" s="85">
        <v>45132</v>
      </c>
      <c r="L172" s="87">
        <v>2305470</v>
      </c>
      <c r="M172" s="354">
        <v>13</v>
      </c>
      <c r="N172" s="255">
        <v>11</v>
      </c>
      <c r="O172" s="110">
        <v>12</v>
      </c>
      <c r="P172" s="352">
        <f t="shared" si="10"/>
        <v>0.84615384615384615</v>
      </c>
      <c r="Q172" s="324">
        <f t="shared" si="11"/>
        <v>0.92307692307692313</v>
      </c>
    </row>
    <row r="173" spans="1:18">
      <c r="A173" s="453">
        <v>158</v>
      </c>
      <c r="B173" s="81" t="s">
        <v>503</v>
      </c>
      <c r="C173" s="82" t="s">
        <v>490</v>
      </c>
      <c r="D173" s="82" t="s">
        <v>494</v>
      </c>
      <c r="E173" s="82" t="s">
        <v>502</v>
      </c>
      <c r="F173" s="256"/>
      <c r="G173" s="256" t="s">
        <v>501</v>
      </c>
      <c r="H173" s="82">
        <v>146</v>
      </c>
      <c r="I173" s="82">
        <v>737</v>
      </c>
      <c r="J173" s="84">
        <v>44925</v>
      </c>
      <c r="K173" s="84">
        <v>45181</v>
      </c>
      <c r="L173" s="86">
        <v>4673900</v>
      </c>
      <c r="M173" s="355">
        <v>20</v>
      </c>
      <c r="N173" s="254">
        <v>5</v>
      </c>
      <c r="O173" s="109">
        <v>7</v>
      </c>
      <c r="P173" s="352">
        <f t="shared" si="10"/>
        <v>0.25</v>
      </c>
      <c r="Q173" s="324">
        <f t="shared" si="11"/>
        <v>0.35</v>
      </c>
    </row>
    <row r="174" spans="1:18" s="14" customFormat="1">
      <c r="A174" s="477">
        <v>159</v>
      </c>
      <c r="B174" s="422" t="s">
        <v>496</v>
      </c>
      <c r="C174" s="223" t="s">
        <v>500</v>
      </c>
      <c r="D174" s="223" t="s">
        <v>499</v>
      </c>
      <c r="E174" s="223" t="s">
        <v>498</v>
      </c>
      <c r="F174" s="449"/>
      <c r="G174" s="449" t="s">
        <v>497</v>
      </c>
      <c r="H174" s="223">
        <v>44</v>
      </c>
      <c r="I174" s="223">
        <v>130</v>
      </c>
      <c r="J174" s="447">
        <v>44907</v>
      </c>
      <c r="K174" s="447">
        <v>44985</v>
      </c>
      <c r="L174" s="301">
        <v>1026380</v>
      </c>
      <c r="M174" s="446">
        <v>20</v>
      </c>
      <c r="N174" s="446">
        <v>13</v>
      </c>
      <c r="O174" s="448">
        <v>13</v>
      </c>
      <c r="P174" s="452">
        <f t="shared" si="10"/>
        <v>0.65</v>
      </c>
      <c r="Q174" s="454">
        <f t="shared" si="11"/>
        <v>0.65</v>
      </c>
    </row>
    <row r="175" spans="1:18" s="14" customFormat="1" ht="17.25" thickBot="1">
      <c r="A175" s="477">
        <v>160</v>
      </c>
      <c r="B175" s="439" t="s">
        <v>496</v>
      </c>
      <c r="C175" s="339" t="s">
        <v>495</v>
      </c>
      <c r="D175" s="339" t="s">
        <v>494</v>
      </c>
      <c r="E175" s="339" t="s">
        <v>493</v>
      </c>
      <c r="F175" s="450"/>
      <c r="G175" s="450" t="s">
        <v>492</v>
      </c>
      <c r="H175" s="339">
        <v>34</v>
      </c>
      <c r="I175" s="339">
        <v>135</v>
      </c>
      <c r="J175" s="345">
        <v>44921</v>
      </c>
      <c r="K175" s="345">
        <v>44970</v>
      </c>
      <c r="L175" s="346">
        <v>977630</v>
      </c>
      <c r="M175" s="348">
        <v>20</v>
      </c>
      <c r="N175" s="348">
        <v>15</v>
      </c>
      <c r="O175" s="349">
        <v>15</v>
      </c>
      <c r="P175" s="429">
        <f t="shared" si="10"/>
        <v>0.75</v>
      </c>
      <c r="Q175" s="455">
        <f t="shared" si="11"/>
        <v>0.75</v>
      </c>
      <c r="R175" s="476">
        <f>SUM(N152:N175)/SUM(M152:M175)</f>
        <v>0.62146892655367236</v>
      </c>
    </row>
    <row r="177" spans="1:17">
      <c r="A177" s="418"/>
      <c r="B177" s="438" t="s">
        <v>491</v>
      </c>
      <c r="C177" s="361" t="s">
        <v>490</v>
      </c>
      <c r="D177" s="361" t="s">
        <v>489</v>
      </c>
      <c r="E177" s="361" t="s">
        <v>488</v>
      </c>
      <c r="F177" s="361"/>
      <c r="G177" s="362" t="s">
        <v>487</v>
      </c>
      <c r="H177" s="361">
        <v>126</v>
      </c>
      <c r="I177" s="361">
        <v>630</v>
      </c>
      <c r="J177" s="363">
        <v>44707</v>
      </c>
      <c r="K177" s="363">
        <v>44895</v>
      </c>
      <c r="L177" s="364">
        <v>3539970</v>
      </c>
      <c r="M177" s="361">
        <v>21</v>
      </c>
      <c r="N177" s="361">
        <v>8</v>
      </c>
      <c r="O177" s="392">
        <v>9</v>
      </c>
      <c r="P177" s="399">
        <f>N177/M177</f>
        <v>0.38095238095238093</v>
      </c>
      <c r="Q177" s="396">
        <f>O177/M177</f>
        <v>0.42857142857142855</v>
      </c>
    </row>
    <row r="185" spans="1:17">
      <c r="O185" s="2">
        <f>147/260</f>
        <v>0.56538461538461537</v>
      </c>
    </row>
    <row r="187" spans="1:17">
      <c r="K187" s="445"/>
    </row>
  </sheetData>
  <autoFilter ref="A1:Q175" xr:uid="{00000000-0009-0000-0000-000005000000}"/>
  <mergeCells count="1">
    <mergeCell ref="A2:G2"/>
  </mergeCells>
  <phoneticPr fontId="6" type="noConversion"/>
  <pageMargins left="0.7" right="0.7" top="0.75" bottom="0.75" header="0.3" footer="0.3"/>
  <pageSetup paperSize="9" scale="53" orientation="landscape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1">
    <tabColor theme="4" tint="0.79998168889431442"/>
    <pageSetUpPr fitToPage="1"/>
  </sheetPr>
  <dimension ref="A1:V164"/>
  <sheetViews>
    <sheetView zoomScale="85" zoomScaleNormal="85" workbookViewId="0">
      <pane ySplit="1" topLeftCell="A2" activePane="bottomLeft" state="frozen"/>
      <selection activeCell="J181" sqref="J181"/>
      <selection pane="bottomLeft" activeCell="M15" sqref="M15"/>
    </sheetView>
  </sheetViews>
  <sheetFormatPr defaultRowHeight="16.5"/>
  <cols>
    <col min="1" max="1" width="8.25" style="2" bestFit="1" customWidth="1"/>
    <col min="2" max="2" width="9" style="2"/>
    <col min="5" max="5" width="8" bestFit="1" customWidth="1"/>
    <col min="6" max="6" width="70.75" bestFit="1" customWidth="1"/>
    <col min="7" max="7" width="9.625" style="2" customWidth="1"/>
    <col min="8" max="8" width="10.25" style="2" customWidth="1"/>
    <col min="9" max="10" width="9.75" style="2" bestFit="1" customWidth="1"/>
    <col min="11" max="11" width="12.5" style="2" bestFit="1" customWidth="1"/>
    <col min="12" max="12" width="9.25" style="2" bestFit="1" customWidth="1"/>
    <col min="13" max="13" width="9.125" style="2" customWidth="1"/>
    <col min="14" max="14" width="9.875" style="2" customWidth="1"/>
    <col min="15" max="17" width="8.75" style="2" bestFit="1" customWidth="1"/>
    <col min="18" max="18" width="8.375" customWidth="1"/>
    <col min="19" max="19" width="8.375" style="2" customWidth="1"/>
  </cols>
  <sheetData>
    <row r="1" spans="1:19" s="1" customFormat="1" ht="18" customHeight="1">
      <c r="A1" s="102" t="s">
        <v>17</v>
      </c>
      <c r="B1" s="102" t="s">
        <v>15</v>
      </c>
      <c r="C1" s="102" t="s">
        <v>18</v>
      </c>
      <c r="D1" s="102" t="s">
        <v>13</v>
      </c>
      <c r="E1" s="102" t="s">
        <v>12</v>
      </c>
      <c r="F1" s="103" t="s">
        <v>11</v>
      </c>
      <c r="G1" s="102" t="s">
        <v>19</v>
      </c>
      <c r="H1" s="102" t="s">
        <v>20</v>
      </c>
      <c r="I1" s="102" t="s">
        <v>189</v>
      </c>
      <c r="J1" s="102" t="s">
        <v>190</v>
      </c>
      <c r="K1" s="104" t="s">
        <v>21</v>
      </c>
      <c r="L1" s="104" t="s">
        <v>22</v>
      </c>
      <c r="M1" s="104" t="s">
        <v>23</v>
      </c>
      <c r="N1" s="104" t="s">
        <v>24</v>
      </c>
      <c r="O1" s="102" t="s">
        <v>10</v>
      </c>
      <c r="P1" s="102" t="s">
        <v>9</v>
      </c>
      <c r="Q1" s="102" t="s">
        <v>25</v>
      </c>
      <c r="R1" s="102" t="s">
        <v>26</v>
      </c>
      <c r="S1" s="102" t="s">
        <v>8</v>
      </c>
    </row>
    <row r="2" spans="1:19" s="41" customFormat="1" ht="17.25" customHeight="1">
      <c r="A2" s="101">
        <v>1</v>
      </c>
      <c r="B2" s="189" t="s">
        <v>16</v>
      </c>
      <c r="C2" s="63" t="s">
        <v>7</v>
      </c>
      <c r="D2" s="63" t="s">
        <v>447</v>
      </c>
      <c r="E2" s="63" t="s">
        <v>2</v>
      </c>
      <c r="F2" s="64" t="s">
        <v>132</v>
      </c>
      <c r="G2" s="63">
        <v>130</v>
      </c>
      <c r="H2" s="63">
        <v>735</v>
      </c>
      <c r="I2" s="65">
        <v>44200</v>
      </c>
      <c r="J2" s="65">
        <v>44386</v>
      </c>
      <c r="K2" s="66">
        <v>4673200</v>
      </c>
      <c r="L2" s="66">
        <f t="shared" ref="L2:L9" si="0">K2/H2</f>
        <v>6358.0952380952385</v>
      </c>
      <c r="M2" s="66" t="s">
        <v>5</v>
      </c>
      <c r="N2" s="66" t="s">
        <v>1</v>
      </c>
      <c r="O2" s="63">
        <v>25</v>
      </c>
      <c r="P2" s="67">
        <v>20</v>
      </c>
      <c r="Q2" s="63">
        <v>20</v>
      </c>
      <c r="R2" s="105">
        <f t="shared" ref="R2:R73" si="1">P2/O2</f>
        <v>0.8</v>
      </c>
      <c r="S2" s="106">
        <f t="shared" ref="S2:S73" si="2">Q2/O2</f>
        <v>0.8</v>
      </c>
    </row>
    <row r="3" spans="1:19" s="41" customFormat="1" ht="17.25" customHeight="1">
      <c r="A3" s="82">
        <v>2</v>
      </c>
      <c r="B3" s="190" t="s">
        <v>16</v>
      </c>
      <c r="C3" s="19" t="s">
        <v>3</v>
      </c>
      <c r="D3" s="19" t="s">
        <v>445</v>
      </c>
      <c r="E3" s="19" t="s">
        <v>2</v>
      </c>
      <c r="F3" s="25" t="s">
        <v>6</v>
      </c>
      <c r="G3" s="19">
        <v>106</v>
      </c>
      <c r="H3" s="19">
        <v>848</v>
      </c>
      <c r="I3" s="27">
        <v>44202</v>
      </c>
      <c r="J3" s="27">
        <v>44356</v>
      </c>
      <c r="K3" s="28">
        <v>5586620</v>
      </c>
      <c r="L3" s="28">
        <f t="shared" si="0"/>
        <v>6587.9952830188677</v>
      </c>
      <c r="M3" s="28" t="s">
        <v>0</v>
      </c>
      <c r="N3" s="28" t="s">
        <v>4</v>
      </c>
      <c r="O3" s="19">
        <v>35</v>
      </c>
      <c r="P3" s="21">
        <v>24</v>
      </c>
      <c r="Q3" s="19">
        <v>24</v>
      </c>
      <c r="R3" s="50">
        <f t="shared" si="1"/>
        <v>0.68571428571428572</v>
      </c>
      <c r="S3" s="51">
        <f t="shared" si="2"/>
        <v>0.68571428571428572</v>
      </c>
    </row>
    <row r="4" spans="1:19" s="41" customFormat="1" ht="17.25" customHeight="1" thickBot="1">
      <c r="A4" s="82">
        <v>3</v>
      </c>
      <c r="B4" s="191" t="s">
        <v>16</v>
      </c>
      <c r="C4" s="24" t="s">
        <v>3</v>
      </c>
      <c r="D4" s="24" t="s">
        <v>445</v>
      </c>
      <c r="E4" s="24" t="s">
        <v>2</v>
      </c>
      <c r="F4" s="42" t="s">
        <v>14</v>
      </c>
      <c r="G4" s="24">
        <v>109</v>
      </c>
      <c r="H4" s="24">
        <v>868</v>
      </c>
      <c r="I4" s="43">
        <v>44222</v>
      </c>
      <c r="J4" s="43">
        <v>44384</v>
      </c>
      <c r="K4" s="44">
        <v>5718380</v>
      </c>
      <c r="L4" s="44">
        <f t="shared" si="0"/>
        <v>6587.9953917050689</v>
      </c>
      <c r="M4" s="44" t="s">
        <v>5</v>
      </c>
      <c r="N4" s="44" t="s">
        <v>4</v>
      </c>
      <c r="O4" s="24">
        <v>35</v>
      </c>
      <c r="P4" s="45">
        <v>28</v>
      </c>
      <c r="Q4" s="24">
        <v>28</v>
      </c>
      <c r="R4" s="46">
        <f t="shared" si="1"/>
        <v>0.8</v>
      </c>
      <c r="S4" s="47">
        <f t="shared" si="2"/>
        <v>0.8</v>
      </c>
    </row>
    <row r="5" spans="1:19" s="26" customFormat="1">
      <c r="A5" s="159">
        <v>4</v>
      </c>
      <c r="B5" s="192" t="s">
        <v>52</v>
      </c>
      <c r="C5" s="119" t="s">
        <v>7</v>
      </c>
      <c r="D5" s="119" t="s">
        <v>450</v>
      </c>
      <c r="E5" s="119" t="s">
        <v>46</v>
      </c>
      <c r="F5" s="120" t="s">
        <v>27</v>
      </c>
      <c r="G5" s="119">
        <v>35</v>
      </c>
      <c r="H5" s="119">
        <v>210</v>
      </c>
      <c r="I5" s="121">
        <v>44253</v>
      </c>
      <c r="J5" s="121">
        <v>44302</v>
      </c>
      <c r="K5" s="122">
        <v>1382960</v>
      </c>
      <c r="L5" s="123">
        <f t="shared" si="0"/>
        <v>6585.5238095238092</v>
      </c>
      <c r="M5" s="122" t="s">
        <v>28</v>
      </c>
      <c r="N5" s="122" t="s">
        <v>29</v>
      </c>
      <c r="O5" s="119">
        <v>10</v>
      </c>
      <c r="P5" s="124">
        <v>8</v>
      </c>
      <c r="Q5" s="119">
        <v>9</v>
      </c>
      <c r="R5" s="125">
        <f t="shared" si="1"/>
        <v>0.8</v>
      </c>
      <c r="S5" s="126">
        <f t="shared" si="2"/>
        <v>0.9</v>
      </c>
    </row>
    <row r="6" spans="1:19" s="26" customFormat="1">
      <c r="A6" s="159">
        <v>5</v>
      </c>
      <c r="B6" s="193" t="s">
        <v>52</v>
      </c>
      <c r="C6" s="127" t="s">
        <v>47</v>
      </c>
      <c r="D6" s="127" t="s">
        <v>453</v>
      </c>
      <c r="E6" s="127" t="s">
        <v>2</v>
      </c>
      <c r="F6" s="128" t="s">
        <v>131</v>
      </c>
      <c r="G6" s="127">
        <v>174</v>
      </c>
      <c r="H6" s="127">
        <v>870</v>
      </c>
      <c r="I6" s="129">
        <v>44245</v>
      </c>
      <c r="J6" s="129">
        <v>44502</v>
      </c>
      <c r="K6" s="130">
        <v>5420970</v>
      </c>
      <c r="L6" s="130">
        <f t="shared" si="0"/>
        <v>6231</v>
      </c>
      <c r="M6" s="130" t="s">
        <v>30</v>
      </c>
      <c r="N6" s="130" t="s">
        <v>1</v>
      </c>
      <c r="O6" s="127">
        <v>25</v>
      </c>
      <c r="P6" s="118">
        <v>18</v>
      </c>
      <c r="Q6" s="127">
        <v>18</v>
      </c>
      <c r="R6" s="131">
        <f t="shared" si="1"/>
        <v>0.72</v>
      </c>
      <c r="S6" s="132">
        <f t="shared" si="2"/>
        <v>0.72</v>
      </c>
    </row>
    <row r="7" spans="1:19" s="26" customFormat="1">
      <c r="A7" s="159">
        <v>6</v>
      </c>
      <c r="B7" s="193" t="s">
        <v>52</v>
      </c>
      <c r="C7" s="127" t="s">
        <v>3</v>
      </c>
      <c r="D7" s="127" t="s">
        <v>445</v>
      </c>
      <c r="E7" s="127" t="s">
        <v>2</v>
      </c>
      <c r="F7" s="133" t="s">
        <v>31</v>
      </c>
      <c r="G7" s="127">
        <v>108</v>
      </c>
      <c r="H7" s="127">
        <v>864</v>
      </c>
      <c r="I7" s="129">
        <v>44235</v>
      </c>
      <c r="J7" s="129">
        <v>44391</v>
      </c>
      <c r="K7" s="130">
        <v>5692030</v>
      </c>
      <c r="L7" s="130">
        <f t="shared" si="0"/>
        <v>6587.9976851851852</v>
      </c>
      <c r="M7" s="130" t="s">
        <v>28</v>
      </c>
      <c r="N7" s="130" t="s">
        <v>4</v>
      </c>
      <c r="O7" s="127">
        <v>35</v>
      </c>
      <c r="P7" s="118">
        <v>30</v>
      </c>
      <c r="Q7" s="127">
        <v>35</v>
      </c>
      <c r="R7" s="131">
        <f t="shared" si="1"/>
        <v>0.8571428571428571</v>
      </c>
      <c r="S7" s="132">
        <f t="shared" si="2"/>
        <v>1</v>
      </c>
    </row>
    <row r="8" spans="1:19" s="26" customFormat="1">
      <c r="A8" s="159">
        <v>7</v>
      </c>
      <c r="B8" s="193" t="s">
        <v>52</v>
      </c>
      <c r="C8" s="127" t="s">
        <v>3</v>
      </c>
      <c r="D8" s="127" t="s">
        <v>445</v>
      </c>
      <c r="E8" s="127" t="s">
        <v>2</v>
      </c>
      <c r="F8" s="128" t="s">
        <v>32</v>
      </c>
      <c r="G8" s="127">
        <v>108</v>
      </c>
      <c r="H8" s="127">
        <v>864</v>
      </c>
      <c r="I8" s="129">
        <v>44251</v>
      </c>
      <c r="J8" s="129">
        <v>44413</v>
      </c>
      <c r="K8" s="130">
        <v>5692030</v>
      </c>
      <c r="L8" s="130">
        <f t="shared" si="0"/>
        <v>6587.9976851851852</v>
      </c>
      <c r="M8" s="130" t="s">
        <v>33</v>
      </c>
      <c r="N8" s="130" t="s">
        <v>4</v>
      </c>
      <c r="O8" s="127">
        <v>35</v>
      </c>
      <c r="P8" s="118">
        <v>35</v>
      </c>
      <c r="Q8" s="127">
        <v>35</v>
      </c>
      <c r="R8" s="131">
        <f t="shared" si="1"/>
        <v>1</v>
      </c>
      <c r="S8" s="132">
        <f t="shared" si="2"/>
        <v>1</v>
      </c>
    </row>
    <row r="9" spans="1:19" s="26" customFormat="1">
      <c r="A9" s="159">
        <v>8</v>
      </c>
      <c r="B9" s="193" t="s">
        <v>52</v>
      </c>
      <c r="C9" s="127" t="s">
        <v>3</v>
      </c>
      <c r="D9" s="127" t="s">
        <v>447</v>
      </c>
      <c r="E9" s="127" t="s">
        <v>46</v>
      </c>
      <c r="F9" s="128" t="s">
        <v>158</v>
      </c>
      <c r="G9" s="127">
        <v>87</v>
      </c>
      <c r="H9" s="127">
        <v>350</v>
      </c>
      <c r="I9" s="129">
        <v>44243</v>
      </c>
      <c r="J9" s="129">
        <v>44369</v>
      </c>
      <c r="K9" s="130">
        <v>2305800</v>
      </c>
      <c r="L9" s="130">
        <f t="shared" si="0"/>
        <v>6588</v>
      </c>
      <c r="M9" s="130" t="s">
        <v>30</v>
      </c>
      <c r="N9" s="130" t="s">
        <v>34</v>
      </c>
      <c r="O9" s="127">
        <v>20</v>
      </c>
      <c r="P9" s="118">
        <v>13</v>
      </c>
      <c r="Q9" s="127">
        <v>13</v>
      </c>
      <c r="R9" s="131">
        <f t="shared" si="1"/>
        <v>0.65</v>
      </c>
      <c r="S9" s="132">
        <f t="shared" si="2"/>
        <v>0.65</v>
      </c>
    </row>
    <row r="10" spans="1:19" s="26" customFormat="1">
      <c r="A10" s="159">
        <v>9</v>
      </c>
      <c r="B10" s="193" t="s">
        <v>52</v>
      </c>
      <c r="C10" s="127" t="s">
        <v>49</v>
      </c>
      <c r="D10" s="127" t="s">
        <v>445</v>
      </c>
      <c r="E10" s="127" t="s">
        <v>2</v>
      </c>
      <c r="F10" s="128" t="s">
        <v>35</v>
      </c>
      <c r="G10" s="127">
        <v>85</v>
      </c>
      <c r="H10" s="127">
        <v>600</v>
      </c>
      <c r="I10" s="129">
        <v>44235</v>
      </c>
      <c r="J10" s="129">
        <v>44361</v>
      </c>
      <c r="K10" s="130">
        <v>3671520</v>
      </c>
      <c r="L10" s="130">
        <v>6288</v>
      </c>
      <c r="M10" s="130" t="s">
        <v>30</v>
      </c>
      <c r="N10" s="130" t="s">
        <v>36</v>
      </c>
      <c r="O10" s="127">
        <v>20</v>
      </c>
      <c r="P10" s="118">
        <v>19</v>
      </c>
      <c r="Q10" s="127">
        <v>19</v>
      </c>
      <c r="R10" s="131">
        <f t="shared" si="1"/>
        <v>0.95</v>
      </c>
      <c r="S10" s="132">
        <f t="shared" si="2"/>
        <v>0.95</v>
      </c>
    </row>
    <row r="11" spans="1:19" s="26" customFormat="1">
      <c r="A11" s="159">
        <v>10</v>
      </c>
      <c r="B11" s="193" t="s">
        <v>52</v>
      </c>
      <c r="C11" s="127" t="s">
        <v>50</v>
      </c>
      <c r="D11" s="127" t="s">
        <v>447</v>
      </c>
      <c r="E11" s="127" t="s">
        <v>46</v>
      </c>
      <c r="F11" s="128" t="s">
        <v>37</v>
      </c>
      <c r="G11" s="127">
        <v>60</v>
      </c>
      <c r="H11" s="127">
        <v>320</v>
      </c>
      <c r="I11" s="129">
        <v>44249</v>
      </c>
      <c r="J11" s="129">
        <v>44334</v>
      </c>
      <c r="K11" s="130">
        <v>2069760</v>
      </c>
      <c r="L11" s="134">
        <f t="shared" ref="L11:L36" si="3">K11/H11</f>
        <v>6468</v>
      </c>
      <c r="M11" s="130" t="s">
        <v>38</v>
      </c>
      <c r="N11" s="130" t="s">
        <v>39</v>
      </c>
      <c r="O11" s="127">
        <v>14</v>
      </c>
      <c r="P11" s="118">
        <v>11</v>
      </c>
      <c r="Q11" s="127">
        <v>11</v>
      </c>
      <c r="R11" s="131">
        <f t="shared" si="1"/>
        <v>0.7857142857142857</v>
      </c>
      <c r="S11" s="132">
        <f t="shared" si="2"/>
        <v>0.7857142857142857</v>
      </c>
    </row>
    <row r="12" spans="1:19" s="26" customFormat="1">
      <c r="A12" s="159">
        <v>11</v>
      </c>
      <c r="B12" s="193" t="s">
        <v>52</v>
      </c>
      <c r="C12" s="127" t="s">
        <v>51</v>
      </c>
      <c r="D12" s="127" t="s">
        <v>447</v>
      </c>
      <c r="E12" s="127" t="s">
        <v>46</v>
      </c>
      <c r="F12" s="128" t="s">
        <v>40</v>
      </c>
      <c r="G12" s="127">
        <v>60</v>
      </c>
      <c r="H12" s="127">
        <v>320</v>
      </c>
      <c r="I12" s="129">
        <v>44249</v>
      </c>
      <c r="J12" s="129">
        <v>44334</v>
      </c>
      <c r="K12" s="130">
        <v>2069760</v>
      </c>
      <c r="L12" s="134">
        <f t="shared" si="3"/>
        <v>6468</v>
      </c>
      <c r="M12" s="127" t="s">
        <v>41</v>
      </c>
      <c r="N12" s="130" t="s">
        <v>42</v>
      </c>
      <c r="O12" s="127">
        <v>13</v>
      </c>
      <c r="P12" s="118">
        <v>13</v>
      </c>
      <c r="Q12" s="127">
        <v>13</v>
      </c>
      <c r="R12" s="131">
        <f t="shared" si="1"/>
        <v>1</v>
      </c>
      <c r="S12" s="132">
        <f t="shared" si="2"/>
        <v>1</v>
      </c>
    </row>
    <row r="13" spans="1:19" s="26" customFormat="1">
      <c r="A13" s="159">
        <v>12</v>
      </c>
      <c r="B13" s="159" t="s">
        <v>52</v>
      </c>
      <c r="C13" s="127" t="s">
        <v>50</v>
      </c>
      <c r="D13" s="127" t="s">
        <v>447</v>
      </c>
      <c r="E13" s="127" t="s">
        <v>46</v>
      </c>
      <c r="F13" s="128" t="s">
        <v>43</v>
      </c>
      <c r="G13" s="127">
        <v>52</v>
      </c>
      <c r="H13" s="127">
        <v>260</v>
      </c>
      <c r="I13" s="129">
        <v>44253</v>
      </c>
      <c r="J13" s="129">
        <v>44328</v>
      </c>
      <c r="K13" s="130">
        <v>1681680</v>
      </c>
      <c r="L13" s="134">
        <f t="shared" si="3"/>
        <v>6468</v>
      </c>
      <c r="M13" s="130" t="s">
        <v>44</v>
      </c>
      <c r="N13" s="130" t="s">
        <v>45</v>
      </c>
      <c r="O13" s="127">
        <v>10</v>
      </c>
      <c r="P13" s="118">
        <v>7</v>
      </c>
      <c r="Q13" s="127">
        <v>7</v>
      </c>
      <c r="R13" s="131">
        <f t="shared" si="1"/>
        <v>0.7</v>
      </c>
      <c r="S13" s="132">
        <f t="shared" si="2"/>
        <v>0.7</v>
      </c>
    </row>
    <row r="14" spans="1:19" s="419" customFormat="1" ht="17.25" customHeight="1" thickBot="1">
      <c r="A14" s="846">
        <v>13</v>
      </c>
      <c r="B14" s="847" t="s">
        <v>52</v>
      </c>
      <c r="C14" s="848" t="s">
        <v>173</v>
      </c>
      <c r="D14" s="849" t="s">
        <v>194</v>
      </c>
      <c r="E14" s="850" t="s">
        <v>46</v>
      </c>
      <c r="F14" s="851" t="s">
        <v>195</v>
      </c>
      <c r="G14" s="850">
        <v>34</v>
      </c>
      <c r="H14" s="850">
        <v>135</v>
      </c>
      <c r="I14" s="852">
        <v>44247</v>
      </c>
      <c r="J14" s="852">
        <v>44346</v>
      </c>
      <c r="K14" s="853">
        <v>977630</v>
      </c>
      <c r="L14" s="854">
        <v>6501</v>
      </c>
      <c r="M14" s="855"/>
      <c r="N14" s="855"/>
      <c r="O14" s="850">
        <v>20</v>
      </c>
      <c r="P14" s="856">
        <v>8</v>
      </c>
      <c r="Q14" s="850">
        <v>8</v>
      </c>
      <c r="R14" s="857">
        <f t="shared" si="1"/>
        <v>0.4</v>
      </c>
      <c r="S14" s="858">
        <f t="shared" si="2"/>
        <v>0.4</v>
      </c>
    </row>
    <row r="15" spans="1:19" s="26" customFormat="1">
      <c r="A15" s="82">
        <v>14</v>
      </c>
      <c r="B15" s="194" t="s">
        <v>95</v>
      </c>
      <c r="C15" s="23" t="s">
        <v>7</v>
      </c>
      <c r="D15" s="23" t="s">
        <v>445</v>
      </c>
      <c r="E15" s="23" t="s">
        <v>2</v>
      </c>
      <c r="F15" s="35" t="s">
        <v>133</v>
      </c>
      <c r="G15" s="23">
        <v>120</v>
      </c>
      <c r="H15" s="23">
        <v>668</v>
      </c>
      <c r="I15" s="36">
        <v>44270</v>
      </c>
      <c r="J15" s="36">
        <v>44445</v>
      </c>
      <c r="K15" s="37">
        <v>3684200</v>
      </c>
      <c r="L15" s="53">
        <f t="shared" si="3"/>
        <v>5515.2694610778444</v>
      </c>
      <c r="M15" s="37" t="s">
        <v>116</v>
      </c>
      <c r="N15" s="37" t="s">
        <v>59</v>
      </c>
      <c r="O15" s="23">
        <v>20</v>
      </c>
      <c r="P15" s="38">
        <v>20</v>
      </c>
      <c r="Q15" s="23">
        <v>20</v>
      </c>
      <c r="R15" s="39">
        <f t="shared" si="1"/>
        <v>1</v>
      </c>
      <c r="S15" s="40">
        <f t="shared" si="2"/>
        <v>1</v>
      </c>
    </row>
    <row r="16" spans="1:19" s="26" customFormat="1">
      <c r="A16" s="82">
        <v>15</v>
      </c>
      <c r="B16" s="190" t="s">
        <v>95</v>
      </c>
      <c r="C16" s="19" t="s">
        <v>7</v>
      </c>
      <c r="D16" s="19" t="s">
        <v>449</v>
      </c>
      <c r="E16" s="19" t="s">
        <v>46</v>
      </c>
      <c r="F16" s="25" t="s">
        <v>124</v>
      </c>
      <c r="G16" s="19">
        <v>70</v>
      </c>
      <c r="H16" s="19">
        <v>280</v>
      </c>
      <c r="I16" s="27">
        <v>44270</v>
      </c>
      <c r="J16" s="27">
        <v>44369</v>
      </c>
      <c r="K16" s="28">
        <v>1832600</v>
      </c>
      <c r="L16" s="28">
        <f t="shared" si="3"/>
        <v>6545</v>
      </c>
      <c r="M16" s="28" t="s">
        <v>53</v>
      </c>
      <c r="N16" s="28" t="s">
        <v>54</v>
      </c>
      <c r="O16" s="19">
        <v>20</v>
      </c>
      <c r="P16" s="21">
        <v>10</v>
      </c>
      <c r="Q16" s="19">
        <v>10</v>
      </c>
      <c r="R16" s="50">
        <f t="shared" si="1"/>
        <v>0.5</v>
      </c>
      <c r="S16" s="51">
        <f t="shared" si="2"/>
        <v>0.5</v>
      </c>
    </row>
    <row r="17" spans="1:19" s="26" customFormat="1">
      <c r="A17" s="82">
        <v>16</v>
      </c>
      <c r="B17" s="190" t="s">
        <v>95</v>
      </c>
      <c r="C17" s="19" t="s">
        <v>7</v>
      </c>
      <c r="D17" s="19" t="s">
        <v>449</v>
      </c>
      <c r="E17" s="19" t="s">
        <v>2</v>
      </c>
      <c r="F17" s="25" t="s">
        <v>55</v>
      </c>
      <c r="G17" s="19">
        <v>132</v>
      </c>
      <c r="H17" s="19">
        <v>600</v>
      </c>
      <c r="I17" s="27">
        <v>44277</v>
      </c>
      <c r="J17" s="27">
        <v>44467</v>
      </c>
      <c r="K17" s="28">
        <v>3297010</v>
      </c>
      <c r="L17" s="54">
        <f t="shared" si="3"/>
        <v>5495.0166666666664</v>
      </c>
      <c r="M17" s="28" t="s">
        <v>56</v>
      </c>
      <c r="N17" s="28" t="s">
        <v>54</v>
      </c>
      <c r="O17" s="19">
        <v>20</v>
      </c>
      <c r="P17" s="21">
        <v>20</v>
      </c>
      <c r="Q17" s="19">
        <v>20</v>
      </c>
      <c r="R17" s="50">
        <f t="shared" si="1"/>
        <v>1</v>
      </c>
      <c r="S17" s="51">
        <f t="shared" si="2"/>
        <v>1</v>
      </c>
    </row>
    <row r="18" spans="1:19" s="26" customFormat="1">
      <c r="A18" s="82">
        <v>17</v>
      </c>
      <c r="B18" s="190" t="s">
        <v>95</v>
      </c>
      <c r="C18" s="19" t="s">
        <v>7</v>
      </c>
      <c r="D18" s="19" t="s">
        <v>450</v>
      </c>
      <c r="E18" s="19" t="s">
        <v>46</v>
      </c>
      <c r="F18" s="25" t="s">
        <v>57</v>
      </c>
      <c r="G18" s="19">
        <v>64</v>
      </c>
      <c r="H18" s="19">
        <v>320</v>
      </c>
      <c r="I18" s="27">
        <v>44271</v>
      </c>
      <c r="J18" s="27">
        <v>44362</v>
      </c>
      <c r="K18" s="28">
        <v>2012160</v>
      </c>
      <c r="L18" s="28">
        <f t="shared" si="3"/>
        <v>6288</v>
      </c>
      <c r="M18" s="28" t="s">
        <v>58</v>
      </c>
      <c r="N18" s="28" t="s">
        <v>59</v>
      </c>
      <c r="O18" s="19">
        <v>20</v>
      </c>
      <c r="P18" s="21">
        <v>20</v>
      </c>
      <c r="Q18" s="19">
        <v>20</v>
      </c>
      <c r="R18" s="50">
        <f t="shared" si="1"/>
        <v>1</v>
      </c>
      <c r="S18" s="51">
        <f t="shared" si="2"/>
        <v>1</v>
      </c>
    </row>
    <row r="19" spans="1:19" s="26" customFormat="1">
      <c r="A19" s="82">
        <v>18</v>
      </c>
      <c r="B19" s="190" t="s">
        <v>95</v>
      </c>
      <c r="C19" s="19" t="s">
        <v>60</v>
      </c>
      <c r="D19" s="19" t="s">
        <v>452</v>
      </c>
      <c r="E19" s="19" t="s">
        <v>46</v>
      </c>
      <c r="F19" s="25" t="s">
        <v>125</v>
      </c>
      <c r="G19" s="19">
        <v>70</v>
      </c>
      <c r="H19" s="19">
        <v>280</v>
      </c>
      <c r="I19" s="27">
        <v>44270</v>
      </c>
      <c r="J19" s="27">
        <v>44370</v>
      </c>
      <c r="K19" s="28">
        <v>1832600</v>
      </c>
      <c r="L19" s="28">
        <f t="shared" si="3"/>
        <v>6545</v>
      </c>
      <c r="M19" s="28" t="s">
        <v>5</v>
      </c>
      <c r="N19" s="28" t="s">
        <v>61</v>
      </c>
      <c r="O19" s="19">
        <v>20</v>
      </c>
      <c r="P19" s="21">
        <v>11</v>
      </c>
      <c r="Q19" s="19">
        <v>11</v>
      </c>
      <c r="R19" s="50">
        <f t="shared" si="1"/>
        <v>0.55000000000000004</v>
      </c>
      <c r="S19" s="51">
        <f t="shared" si="2"/>
        <v>0.55000000000000004</v>
      </c>
    </row>
    <row r="20" spans="1:19" s="26" customFormat="1">
      <c r="A20" s="82">
        <v>19</v>
      </c>
      <c r="B20" s="190" t="s">
        <v>95</v>
      </c>
      <c r="C20" s="19" t="s">
        <v>60</v>
      </c>
      <c r="D20" s="19" t="s">
        <v>454</v>
      </c>
      <c r="E20" s="19" t="s">
        <v>46</v>
      </c>
      <c r="F20" s="25" t="s">
        <v>62</v>
      </c>
      <c r="G20" s="19">
        <v>73</v>
      </c>
      <c r="H20" s="19">
        <v>290</v>
      </c>
      <c r="I20" s="27">
        <v>44270</v>
      </c>
      <c r="J20" s="27">
        <v>44372</v>
      </c>
      <c r="K20" s="28">
        <v>1629510</v>
      </c>
      <c r="L20" s="28">
        <f t="shared" si="3"/>
        <v>5619</v>
      </c>
      <c r="M20" s="28" t="s">
        <v>63</v>
      </c>
      <c r="N20" s="28" t="s">
        <v>34</v>
      </c>
      <c r="O20" s="19">
        <v>10</v>
      </c>
      <c r="P20" s="21">
        <v>8</v>
      </c>
      <c r="Q20" s="19">
        <v>8</v>
      </c>
      <c r="R20" s="50">
        <f t="shared" si="1"/>
        <v>0.8</v>
      </c>
      <c r="S20" s="51">
        <f t="shared" si="2"/>
        <v>0.8</v>
      </c>
    </row>
    <row r="21" spans="1:19" s="26" customFormat="1">
      <c r="A21" s="82">
        <v>20</v>
      </c>
      <c r="B21" s="190" t="s">
        <v>95</v>
      </c>
      <c r="C21" s="19" t="s">
        <v>47</v>
      </c>
      <c r="D21" s="19" t="s">
        <v>451</v>
      </c>
      <c r="E21" s="19" t="s">
        <v>46</v>
      </c>
      <c r="F21" s="25" t="s">
        <v>126</v>
      </c>
      <c r="G21" s="19">
        <v>100</v>
      </c>
      <c r="H21" s="19">
        <v>300</v>
      </c>
      <c r="I21" s="27">
        <v>44277</v>
      </c>
      <c r="J21" s="27">
        <v>44424</v>
      </c>
      <c r="K21" s="28">
        <v>1869300</v>
      </c>
      <c r="L21" s="28">
        <f t="shared" si="3"/>
        <v>6231</v>
      </c>
      <c r="M21" s="28" t="s">
        <v>58</v>
      </c>
      <c r="N21" s="28" t="s">
        <v>64</v>
      </c>
      <c r="O21" s="19">
        <v>20</v>
      </c>
      <c r="P21" s="21">
        <v>12</v>
      </c>
      <c r="Q21" s="19">
        <v>12</v>
      </c>
      <c r="R21" s="50">
        <f t="shared" si="1"/>
        <v>0.6</v>
      </c>
      <c r="S21" s="51">
        <f t="shared" si="2"/>
        <v>0.6</v>
      </c>
    </row>
    <row r="22" spans="1:19" s="26" customFormat="1">
      <c r="A22" s="82">
        <v>21</v>
      </c>
      <c r="B22" s="190" t="s">
        <v>95</v>
      </c>
      <c r="C22" s="19" t="s">
        <v>47</v>
      </c>
      <c r="D22" s="19" t="s">
        <v>447</v>
      </c>
      <c r="E22" s="19" t="s">
        <v>2</v>
      </c>
      <c r="F22" s="25" t="s">
        <v>65</v>
      </c>
      <c r="G22" s="19">
        <v>175</v>
      </c>
      <c r="H22" s="19">
        <v>870</v>
      </c>
      <c r="I22" s="27">
        <v>44278</v>
      </c>
      <c r="J22" s="27">
        <v>44529</v>
      </c>
      <c r="K22" s="28">
        <v>5420970</v>
      </c>
      <c r="L22" s="28">
        <f t="shared" si="3"/>
        <v>6231</v>
      </c>
      <c r="M22" s="28" t="s">
        <v>0</v>
      </c>
      <c r="N22" s="28" t="s">
        <v>66</v>
      </c>
      <c r="O22" s="19">
        <v>20</v>
      </c>
      <c r="P22" s="21">
        <v>20</v>
      </c>
      <c r="Q22" s="19">
        <v>20</v>
      </c>
      <c r="R22" s="50">
        <f t="shared" si="1"/>
        <v>1</v>
      </c>
      <c r="S22" s="51">
        <f t="shared" si="2"/>
        <v>1</v>
      </c>
    </row>
    <row r="23" spans="1:19" s="26" customFormat="1">
      <c r="A23" s="82">
        <v>22</v>
      </c>
      <c r="B23" s="190" t="s">
        <v>95</v>
      </c>
      <c r="C23" s="19" t="s">
        <v>3</v>
      </c>
      <c r="D23" s="19" t="s">
        <v>445</v>
      </c>
      <c r="E23" s="19" t="s">
        <v>2</v>
      </c>
      <c r="F23" s="20" t="s">
        <v>185</v>
      </c>
      <c r="G23" s="19">
        <v>96</v>
      </c>
      <c r="H23" s="19">
        <v>768</v>
      </c>
      <c r="I23" s="27">
        <v>44271</v>
      </c>
      <c r="J23" s="27">
        <v>44412</v>
      </c>
      <c r="K23" s="28">
        <v>5048830</v>
      </c>
      <c r="L23" s="28">
        <f t="shared" si="3"/>
        <v>6573.997395833333</v>
      </c>
      <c r="M23" s="28" t="s">
        <v>56</v>
      </c>
      <c r="N23" s="28" t="s">
        <v>4</v>
      </c>
      <c r="O23" s="19">
        <v>21</v>
      </c>
      <c r="P23" s="21">
        <v>18</v>
      </c>
      <c r="Q23" s="19">
        <v>18</v>
      </c>
      <c r="R23" s="50">
        <f t="shared" si="1"/>
        <v>0.8571428571428571</v>
      </c>
      <c r="S23" s="51">
        <f t="shared" si="2"/>
        <v>0.8571428571428571</v>
      </c>
    </row>
    <row r="24" spans="1:19" s="26" customFormat="1">
      <c r="A24" s="82">
        <v>23</v>
      </c>
      <c r="B24" s="190" t="s">
        <v>95</v>
      </c>
      <c r="C24" s="19" t="s">
        <v>3</v>
      </c>
      <c r="D24" s="19" t="s">
        <v>453</v>
      </c>
      <c r="E24" s="19" t="s">
        <v>2</v>
      </c>
      <c r="F24" s="25" t="s">
        <v>67</v>
      </c>
      <c r="G24" s="19">
        <v>112</v>
      </c>
      <c r="H24" s="19">
        <v>890</v>
      </c>
      <c r="I24" s="27">
        <v>44258</v>
      </c>
      <c r="J24" s="27">
        <v>44417</v>
      </c>
      <c r="K24" s="28">
        <v>5863320</v>
      </c>
      <c r="L24" s="28">
        <f t="shared" si="3"/>
        <v>6588</v>
      </c>
      <c r="M24" s="28" t="s">
        <v>63</v>
      </c>
      <c r="N24" s="28" t="s">
        <v>4</v>
      </c>
      <c r="O24" s="19">
        <v>21</v>
      </c>
      <c r="P24" s="21">
        <v>20</v>
      </c>
      <c r="Q24" s="19">
        <v>20</v>
      </c>
      <c r="R24" s="50">
        <f t="shared" si="1"/>
        <v>0.95238095238095233</v>
      </c>
      <c r="S24" s="51">
        <f t="shared" si="2"/>
        <v>0.95238095238095233</v>
      </c>
    </row>
    <row r="25" spans="1:19" s="26" customFormat="1">
      <c r="A25" s="82">
        <v>24</v>
      </c>
      <c r="B25" s="190" t="s">
        <v>95</v>
      </c>
      <c r="C25" s="19" t="s">
        <v>3</v>
      </c>
      <c r="D25" s="19" t="s">
        <v>453</v>
      </c>
      <c r="E25" s="19" t="s">
        <v>2</v>
      </c>
      <c r="F25" s="20" t="s">
        <v>186</v>
      </c>
      <c r="G25" s="19">
        <v>105</v>
      </c>
      <c r="H25" s="19">
        <v>840</v>
      </c>
      <c r="I25" s="27">
        <v>44266</v>
      </c>
      <c r="J25" s="27">
        <v>44414</v>
      </c>
      <c r="K25" s="28">
        <v>5533920</v>
      </c>
      <c r="L25" s="28">
        <f t="shared" si="3"/>
        <v>6588</v>
      </c>
      <c r="M25" s="28" t="s">
        <v>0</v>
      </c>
      <c r="N25" s="28" t="s">
        <v>4</v>
      </c>
      <c r="O25" s="19">
        <v>22</v>
      </c>
      <c r="P25" s="21">
        <v>15</v>
      </c>
      <c r="Q25" s="19">
        <v>15</v>
      </c>
      <c r="R25" s="50">
        <f t="shared" si="1"/>
        <v>0.68181818181818177</v>
      </c>
      <c r="S25" s="51">
        <f t="shared" si="2"/>
        <v>0.68181818181818177</v>
      </c>
    </row>
    <row r="26" spans="1:19" s="26" customFormat="1">
      <c r="A26" s="82">
        <v>25</v>
      </c>
      <c r="B26" s="190" t="s">
        <v>95</v>
      </c>
      <c r="C26" s="19" t="s">
        <v>3</v>
      </c>
      <c r="D26" s="19" t="s">
        <v>453</v>
      </c>
      <c r="E26" s="19" t="s">
        <v>2</v>
      </c>
      <c r="F26" s="55" t="s">
        <v>68</v>
      </c>
      <c r="G26" s="19">
        <v>64</v>
      </c>
      <c r="H26" s="19">
        <v>320</v>
      </c>
      <c r="I26" s="27">
        <v>44272</v>
      </c>
      <c r="J26" s="27">
        <v>44363</v>
      </c>
      <c r="K26" s="28">
        <v>2108160</v>
      </c>
      <c r="L26" s="28">
        <f t="shared" si="3"/>
        <v>6588</v>
      </c>
      <c r="M26" s="28" t="s">
        <v>56</v>
      </c>
      <c r="N26" s="28" t="s">
        <v>69</v>
      </c>
      <c r="O26" s="19">
        <v>22</v>
      </c>
      <c r="P26" s="21">
        <v>18</v>
      </c>
      <c r="Q26" s="19">
        <v>18</v>
      </c>
      <c r="R26" s="50">
        <f t="shared" si="1"/>
        <v>0.81818181818181823</v>
      </c>
      <c r="S26" s="51">
        <f t="shared" si="2"/>
        <v>0.81818181818181823</v>
      </c>
    </row>
    <row r="27" spans="1:19" s="26" customFormat="1">
      <c r="A27" s="82">
        <v>26</v>
      </c>
      <c r="B27" s="190" t="s">
        <v>95</v>
      </c>
      <c r="C27" s="19" t="s">
        <v>3</v>
      </c>
      <c r="D27" s="19" t="s">
        <v>447</v>
      </c>
      <c r="E27" s="19" t="s">
        <v>2</v>
      </c>
      <c r="F27" s="25" t="s">
        <v>159</v>
      </c>
      <c r="G27" s="19">
        <v>111</v>
      </c>
      <c r="H27" s="19">
        <v>777</v>
      </c>
      <c r="I27" s="27">
        <v>44270</v>
      </c>
      <c r="J27" s="27">
        <v>44426</v>
      </c>
      <c r="K27" s="28">
        <v>5188870</v>
      </c>
      <c r="L27" s="28">
        <f t="shared" si="3"/>
        <v>6678.0823680823678</v>
      </c>
      <c r="M27" s="28" t="s">
        <v>56</v>
      </c>
      <c r="N27" s="28" t="s">
        <v>36</v>
      </c>
      <c r="O27" s="19">
        <v>33</v>
      </c>
      <c r="P27" s="21">
        <v>33</v>
      </c>
      <c r="Q27" s="19">
        <v>33</v>
      </c>
      <c r="R27" s="50">
        <f t="shared" si="1"/>
        <v>1</v>
      </c>
      <c r="S27" s="51">
        <f t="shared" si="2"/>
        <v>1</v>
      </c>
    </row>
    <row r="28" spans="1:19" s="26" customFormat="1">
      <c r="A28" s="82">
        <v>27</v>
      </c>
      <c r="B28" s="190" t="s">
        <v>95</v>
      </c>
      <c r="C28" s="56" t="s">
        <v>50</v>
      </c>
      <c r="D28" s="56" t="s">
        <v>447</v>
      </c>
      <c r="E28" s="56" t="s">
        <v>46</v>
      </c>
      <c r="F28" s="57" t="s">
        <v>134</v>
      </c>
      <c r="G28" s="56">
        <v>64</v>
      </c>
      <c r="H28" s="56">
        <v>320</v>
      </c>
      <c r="I28" s="58">
        <v>44263</v>
      </c>
      <c r="J28" s="58">
        <v>44355</v>
      </c>
      <c r="K28" s="59">
        <v>2069760</v>
      </c>
      <c r="L28" s="60">
        <f t="shared" si="3"/>
        <v>6468</v>
      </c>
      <c r="M28" s="59" t="s">
        <v>70</v>
      </c>
      <c r="N28" s="59" t="s">
        <v>39</v>
      </c>
      <c r="O28" s="56">
        <v>17</v>
      </c>
      <c r="P28" s="49">
        <v>14</v>
      </c>
      <c r="Q28" s="56">
        <v>14</v>
      </c>
      <c r="R28" s="61">
        <f t="shared" si="1"/>
        <v>0.82352941176470584</v>
      </c>
      <c r="S28" s="62">
        <f t="shared" si="2"/>
        <v>0.82352941176470584</v>
      </c>
    </row>
    <row r="29" spans="1:19" s="14" customFormat="1">
      <c r="A29" s="223">
        <v>28</v>
      </c>
      <c r="B29" s="223" t="s">
        <v>203</v>
      </c>
      <c r="C29" s="275" t="s">
        <v>199</v>
      </c>
      <c r="D29" s="275" t="s">
        <v>194</v>
      </c>
      <c r="E29" s="275" t="s">
        <v>46</v>
      </c>
      <c r="F29" s="859" t="s">
        <v>196</v>
      </c>
      <c r="G29" s="275">
        <v>33</v>
      </c>
      <c r="H29" s="275">
        <v>130</v>
      </c>
      <c r="I29" s="860">
        <v>44270</v>
      </c>
      <c r="J29" s="860">
        <v>44314</v>
      </c>
      <c r="K29" s="304">
        <v>1026380</v>
      </c>
      <c r="L29" s="861">
        <v>7126</v>
      </c>
      <c r="M29" s="301"/>
      <c r="N29" s="301"/>
      <c r="O29" s="862">
        <v>20</v>
      </c>
      <c r="P29" s="863">
        <v>10</v>
      </c>
      <c r="Q29" s="275">
        <v>10</v>
      </c>
      <c r="R29" s="864">
        <f t="shared" si="1"/>
        <v>0.5</v>
      </c>
      <c r="S29" s="865">
        <f t="shared" si="2"/>
        <v>0.5</v>
      </c>
    </row>
    <row r="30" spans="1:19" s="14" customFormat="1">
      <c r="A30" s="223">
        <v>29</v>
      </c>
      <c r="B30" s="223" t="s">
        <v>95</v>
      </c>
      <c r="C30" s="275" t="s">
        <v>199</v>
      </c>
      <c r="D30" s="275" t="s">
        <v>200</v>
      </c>
      <c r="E30" s="275" t="s">
        <v>202</v>
      </c>
      <c r="F30" s="859" t="s">
        <v>197</v>
      </c>
      <c r="G30" s="275">
        <v>34</v>
      </c>
      <c r="H30" s="275">
        <v>135</v>
      </c>
      <c r="I30" s="860">
        <v>44270</v>
      </c>
      <c r="J30" s="860">
        <v>44315</v>
      </c>
      <c r="K30" s="304">
        <v>977630</v>
      </c>
      <c r="L30" s="861">
        <v>6501</v>
      </c>
      <c r="M30" s="301"/>
      <c r="N30" s="301"/>
      <c r="O30" s="862">
        <v>20</v>
      </c>
      <c r="P30" s="863">
        <v>8</v>
      </c>
      <c r="Q30" s="275">
        <v>8</v>
      </c>
      <c r="R30" s="864">
        <f t="shared" si="1"/>
        <v>0.4</v>
      </c>
      <c r="S30" s="865">
        <f t="shared" si="2"/>
        <v>0.4</v>
      </c>
    </row>
    <row r="31" spans="1:19" s="14" customFormat="1" ht="17.25" thickBot="1">
      <c r="A31" s="223">
        <v>30</v>
      </c>
      <c r="B31" s="339" t="s">
        <v>203</v>
      </c>
      <c r="C31" s="276" t="s">
        <v>199</v>
      </c>
      <c r="D31" s="276" t="s">
        <v>201</v>
      </c>
      <c r="E31" s="276" t="s">
        <v>202</v>
      </c>
      <c r="F31" s="866" t="s">
        <v>198</v>
      </c>
      <c r="G31" s="276">
        <v>34</v>
      </c>
      <c r="H31" s="276">
        <v>135</v>
      </c>
      <c r="I31" s="867">
        <v>44270</v>
      </c>
      <c r="J31" s="867">
        <v>44361</v>
      </c>
      <c r="K31" s="868">
        <v>977630</v>
      </c>
      <c r="L31" s="869">
        <v>6501</v>
      </c>
      <c r="M31" s="346"/>
      <c r="N31" s="346"/>
      <c r="O31" s="870">
        <v>20</v>
      </c>
      <c r="P31" s="871">
        <v>11</v>
      </c>
      <c r="Q31" s="276">
        <v>11</v>
      </c>
      <c r="R31" s="872">
        <f t="shared" si="1"/>
        <v>0.55000000000000004</v>
      </c>
      <c r="S31" s="873">
        <f t="shared" si="2"/>
        <v>0.55000000000000004</v>
      </c>
    </row>
    <row r="32" spans="1:19" s="26" customFormat="1">
      <c r="A32" s="159">
        <v>31</v>
      </c>
      <c r="B32" s="195" t="s">
        <v>84</v>
      </c>
      <c r="C32" s="135" t="s">
        <v>7</v>
      </c>
      <c r="D32" s="135" t="s">
        <v>447</v>
      </c>
      <c r="E32" s="135" t="s">
        <v>2</v>
      </c>
      <c r="F32" s="136" t="s">
        <v>135</v>
      </c>
      <c r="G32" s="135">
        <v>78</v>
      </c>
      <c r="H32" s="135">
        <v>620</v>
      </c>
      <c r="I32" s="137">
        <v>44299</v>
      </c>
      <c r="J32" s="137">
        <v>44414</v>
      </c>
      <c r="K32" s="138">
        <v>4057900</v>
      </c>
      <c r="L32" s="138">
        <f t="shared" si="3"/>
        <v>6545</v>
      </c>
      <c r="M32" s="138" t="s">
        <v>58</v>
      </c>
      <c r="N32" s="138" t="s">
        <v>4</v>
      </c>
      <c r="O32" s="135">
        <v>20</v>
      </c>
      <c r="P32" s="139">
        <v>16</v>
      </c>
      <c r="Q32" s="135">
        <v>16</v>
      </c>
      <c r="R32" s="140">
        <f t="shared" si="1"/>
        <v>0.8</v>
      </c>
      <c r="S32" s="141">
        <f t="shared" si="2"/>
        <v>0.8</v>
      </c>
    </row>
    <row r="33" spans="1:20" s="26" customFormat="1">
      <c r="A33" s="159">
        <v>32</v>
      </c>
      <c r="B33" s="193" t="s">
        <v>84</v>
      </c>
      <c r="C33" s="127" t="s">
        <v>7</v>
      </c>
      <c r="D33" s="127" t="s">
        <v>447</v>
      </c>
      <c r="E33" s="127" t="s">
        <v>46</v>
      </c>
      <c r="F33" s="128" t="s">
        <v>142</v>
      </c>
      <c r="G33" s="127">
        <v>75</v>
      </c>
      <c r="H33" s="127">
        <v>300</v>
      </c>
      <c r="I33" s="129">
        <v>44298</v>
      </c>
      <c r="J33" s="129">
        <v>44410</v>
      </c>
      <c r="K33" s="130">
        <v>1869300</v>
      </c>
      <c r="L33" s="130">
        <f t="shared" si="3"/>
        <v>6231</v>
      </c>
      <c r="M33" s="130" t="s">
        <v>28</v>
      </c>
      <c r="N33" s="130" t="s">
        <v>54</v>
      </c>
      <c r="O33" s="127">
        <v>20</v>
      </c>
      <c r="P33" s="118">
        <v>20</v>
      </c>
      <c r="Q33" s="127">
        <v>20</v>
      </c>
      <c r="R33" s="131">
        <f t="shared" si="1"/>
        <v>1</v>
      </c>
      <c r="S33" s="142">
        <f t="shared" si="2"/>
        <v>1</v>
      </c>
    </row>
    <row r="34" spans="1:20" s="26" customFormat="1">
      <c r="A34" s="159">
        <v>33</v>
      </c>
      <c r="B34" s="193" t="s">
        <v>84</v>
      </c>
      <c r="C34" s="127" t="s">
        <v>7</v>
      </c>
      <c r="D34" s="127" t="s">
        <v>451</v>
      </c>
      <c r="E34" s="127" t="s">
        <v>2</v>
      </c>
      <c r="F34" s="128" t="s">
        <v>136</v>
      </c>
      <c r="G34" s="127">
        <v>123</v>
      </c>
      <c r="H34" s="127">
        <v>610</v>
      </c>
      <c r="I34" s="129">
        <v>44294</v>
      </c>
      <c r="J34" s="129">
        <v>44475</v>
      </c>
      <c r="K34" s="130">
        <v>3992450</v>
      </c>
      <c r="L34" s="130">
        <f t="shared" si="3"/>
        <v>6545</v>
      </c>
      <c r="M34" s="130" t="s">
        <v>30</v>
      </c>
      <c r="N34" s="130" t="s">
        <v>59</v>
      </c>
      <c r="O34" s="127">
        <v>20</v>
      </c>
      <c r="P34" s="118">
        <v>18</v>
      </c>
      <c r="Q34" s="127">
        <v>18</v>
      </c>
      <c r="R34" s="131">
        <f t="shared" si="1"/>
        <v>0.9</v>
      </c>
      <c r="S34" s="142">
        <f t="shared" si="2"/>
        <v>0.9</v>
      </c>
    </row>
    <row r="35" spans="1:20" s="26" customFormat="1">
      <c r="A35" s="159">
        <v>34</v>
      </c>
      <c r="B35" s="193" t="s">
        <v>84</v>
      </c>
      <c r="C35" s="127" t="s">
        <v>7</v>
      </c>
      <c r="D35" s="127" t="s">
        <v>451</v>
      </c>
      <c r="E35" s="127" t="s">
        <v>2</v>
      </c>
      <c r="F35" s="128" t="s">
        <v>143</v>
      </c>
      <c r="G35" s="127">
        <v>123</v>
      </c>
      <c r="H35" s="127">
        <v>610</v>
      </c>
      <c r="I35" s="129">
        <v>44295</v>
      </c>
      <c r="J35" s="129">
        <v>44475</v>
      </c>
      <c r="K35" s="130">
        <v>3427590</v>
      </c>
      <c r="L35" s="130">
        <f t="shared" si="3"/>
        <v>5619</v>
      </c>
      <c r="M35" s="130" t="s">
        <v>5</v>
      </c>
      <c r="N35" s="130" t="s">
        <v>59</v>
      </c>
      <c r="O35" s="127">
        <v>20</v>
      </c>
      <c r="P35" s="118">
        <v>20</v>
      </c>
      <c r="Q35" s="127">
        <v>20</v>
      </c>
      <c r="R35" s="131">
        <f t="shared" si="1"/>
        <v>1</v>
      </c>
      <c r="S35" s="142">
        <f t="shared" si="2"/>
        <v>1</v>
      </c>
    </row>
    <row r="36" spans="1:20" s="26" customFormat="1">
      <c r="A36" s="159">
        <v>35</v>
      </c>
      <c r="B36" s="193" t="s">
        <v>84</v>
      </c>
      <c r="C36" s="127" t="s">
        <v>7</v>
      </c>
      <c r="D36" s="127" t="s">
        <v>451</v>
      </c>
      <c r="E36" s="127" t="s">
        <v>2</v>
      </c>
      <c r="F36" s="128" t="s">
        <v>144</v>
      </c>
      <c r="G36" s="127">
        <v>123</v>
      </c>
      <c r="H36" s="127">
        <v>610</v>
      </c>
      <c r="I36" s="129">
        <v>44295</v>
      </c>
      <c r="J36" s="129">
        <v>44475</v>
      </c>
      <c r="K36" s="130">
        <v>4018680</v>
      </c>
      <c r="L36" s="130">
        <f t="shared" si="3"/>
        <v>6588</v>
      </c>
      <c r="M36" s="130" t="s">
        <v>30</v>
      </c>
      <c r="N36" s="130" t="s">
        <v>145</v>
      </c>
      <c r="O36" s="127">
        <v>20</v>
      </c>
      <c r="P36" s="118">
        <v>18</v>
      </c>
      <c r="Q36" s="127">
        <v>18</v>
      </c>
      <c r="R36" s="131">
        <f t="shared" si="1"/>
        <v>0.9</v>
      </c>
      <c r="S36" s="142">
        <f t="shared" si="2"/>
        <v>0.9</v>
      </c>
    </row>
    <row r="37" spans="1:20" s="26" customFormat="1">
      <c r="A37" s="159">
        <v>36</v>
      </c>
      <c r="B37" s="193" t="s">
        <v>84</v>
      </c>
      <c r="C37" s="127" t="s">
        <v>7</v>
      </c>
      <c r="D37" s="127" t="s">
        <v>455</v>
      </c>
      <c r="E37" s="127" t="s">
        <v>2</v>
      </c>
      <c r="F37" s="128" t="s">
        <v>137</v>
      </c>
      <c r="G37" s="127">
        <v>108</v>
      </c>
      <c r="H37" s="127">
        <v>600</v>
      </c>
      <c r="I37" s="129">
        <v>44312</v>
      </c>
      <c r="J37" s="129">
        <v>44482</v>
      </c>
      <c r="K37" s="130">
        <v>3664760</v>
      </c>
      <c r="L37" s="143">
        <v>6288</v>
      </c>
      <c r="M37" s="130" t="s">
        <v>5</v>
      </c>
      <c r="N37" s="130" t="s">
        <v>69</v>
      </c>
      <c r="O37" s="127">
        <v>20</v>
      </c>
      <c r="P37" s="118">
        <v>20</v>
      </c>
      <c r="Q37" s="127">
        <v>20</v>
      </c>
      <c r="R37" s="131">
        <f t="shared" si="1"/>
        <v>1</v>
      </c>
      <c r="S37" s="142">
        <f t="shared" si="2"/>
        <v>1</v>
      </c>
      <c r="T37" s="26">
        <v>4.5</v>
      </c>
    </row>
    <row r="38" spans="1:20" s="26" customFormat="1">
      <c r="A38" s="159">
        <v>37</v>
      </c>
      <c r="B38" s="193" t="s">
        <v>84</v>
      </c>
      <c r="C38" s="127" t="s">
        <v>7</v>
      </c>
      <c r="D38" s="127" t="s">
        <v>450</v>
      </c>
      <c r="E38" s="127" t="s">
        <v>46</v>
      </c>
      <c r="F38" s="128" t="s">
        <v>57</v>
      </c>
      <c r="G38" s="127">
        <v>80</v>
      </c>
      <c r="H38" s="127">
        <v>320</v>
      </c>
      <c r="I38" s="129">
        <v>44299</v>
      </c>
      <c r="J38" s="129">
        <v>44412</v>
      </c>
      <c r="K38" s="130">
        <v>2012160</v>
      </c>
      <c r="L38" s="143">
        <f>K38/H38</f>
        <v>6288</v>
      </c>
      <c r="M38" s="130" t="s">
        <v>72</v>
      </c>
      <c r="N38" s="130" t="s">
        <v>34</v>
      </c>
      <c r="O38" s="127">
        <v>20</v>
      </c>
      <c r="P38" s="118">
        <v>17</v>
      </c>
      <c r="Q38" s="127">
        <v>17</v>
      </c>
      <c r="R38" s="131">
        <f t="shared" si="1"/>
        <v>0.85</v>
      </c>
      <c r="S38" s="142">
        <f t="shared" si="2"/>
        <v>0.85</v>
      </c>
    </row>
    <row r="39" spans="1:20" s="26" customFormat="1">
      <c r="A39" s="159">
        <v>38</v>
      </c>
      <c r="B39" s="193" t="s">
        <v>84</v>
      </c>
      <c r="C39" s="127" t="s">
        <v>7</v>
      </c>
      <c r="D39" s="127" t="s">
        <v>454</v>
      </c>
      <c r="E39" s="127" t="s">
        <v>46</v>
      </c>
      <c r="F39" s="128" t="s">
        <v>146</v>
      </c>
      <c r="G39" s="127">
        <v>73</v>
      </c>
      <c r="H39" s="127">
        <v>290</v>
      </c>
      <c r="I39" s="129">
        <v>44291</v>
      </c>
      <c r="J39" s="129">
        <v>44393</v>
      </c>
      <c r="K39" s="130">
        <v>1629510</v>
      </c>
      <c r="L39" s="130">
        <f>K39/H39</f>
        <v>5619</v>
      </c>
      <c r="M39" s="130" t="s">
        <v>147</v>
      </c>
      <c r="N39" s="130" t="s">
        <v>54</v>
      </c>
      <c r="O39" s="127">
        <v>10</v>
      </c>
      <c r="P39" s="118">
        <v>8</v>
      </c>
      <c r="Q39" s="127">
        <v>8</v>
      </c>
      <c r="R39" s="131">
        <f t="shared" si="1"/>
        <v>0.8</v>
      </c>
      <c r="S39" s="142">
        <f t="shared" si="2"/>
        <v>0.8</v>
      </c>
    </row>
    <row r="40" spans="1:20" s="26" customFormat="1">
      <c r="A40" s="159">
        <v>39</v>
      </c>
      <c r="B40" s="193" t="s">
        <v>84</v>
      </c>
      <c r="C40" s="127" t="s">
        <v>3</v>
      </c>
      <c r="D40" s="127" t="s">
        <v>453</v>
      </c>
      <c r="E40" s="127" t="s">
        <v>2</v>
      </c>
      <c r="F40" s="144" t="s">
        <v>150</v>
      </c>
      <c r="G40" s="127">
        <v>100</v>
      </c>
      <c r="H40" s="127">
        <v>800</v>
      </c>
      <c r="I40" s="129">
        <v>44298</v>
      </c>
      <c r="J40" s="129">
        <v>44442</v>
      </c>
      <c r="K40" s="130">
        <v>5270400</v>
      </c>
      <c r="L40" s="130">
        <f>K40/H40</f>
        <v>6588</v>
      </c>
      <c r="M40" s="130" t="s">
        <v>30</v>
      </c>
      <c r="N40" s="130" t="s">
        <v>4</v>
      </c>
      <c r="O40" s="127">
        <v>30</v>
      </c>
      <c r="P40" s="118">
        <v>25</v>
      </c>
      <c r="Q40" s="127">
        <v>25</v>
      </c>
      <c r="R40" s="131">
        <f t="shared" si="1"/>
        <v>0.83333333333333337</v>
      </c>
      <c r="S40" s="142">
        <f t="shared" si="2"/>
        <v>0.83333333333333337</v>
      </c>
    </row>
    <row r="41" spans="1:20" s="26" customFormat="1">
      <c r="A41" s="159">
        <v>40</v>
      </c>
      <c r="B41" s="193" t="s">
        <v>84</v>
      </c>
      <c r="C41" s="127" t="s">
        <v>3</v>
      </c>
      <c r="D41" s="127" t="s">
        <v>447</v>
      </c>
      <c r="E41" s="127" t="s">
        <v>46</v>
      </c>
      <c r="F41" s="128" t="s">
        <v>160</v>
      </c>
      <c r="G41" s="127">
        <v>70</v>
      </c>
      <c r="H41" s="127">
        <v>280</v>
      </c>
      <c r="I41" s="129">
        <v>44313</v>
      </c>
      <c r="J41" s="129">
        <v>44431</v>
      </c>
      <c r="K41" s="130">
        <v>1844640</v>
      </c>
      <c r="L41" s="130">
        <f>K41/H41</f>
        <v>6588</v>
      </c>
      <c r="M41" s="130" t="s">
        <v>30</v>
      </c>
      <c r="N41" s="130" t="s">
        <v>61</v>
      </c>
      <c r="O41" s="127">
        <v>20</v>
      </c>
      <c r="P41" s="118">
        <v>16</v>
      </c>
      <c r="Q41" s="127">
        <v>17</v>
      </c>
      <c r="R41" s="131">
        <f t="shared" si="1"/>
        <v>0.8</v>
      </c>
      <c r="S41" s="142">
        <f t="shared" si="2"/>
        <v>0.85</v>
      </c>
    </row>
    <row r="42" spans="1:20" s="26" customFormat="1">
      <c r="A42" s="159">
        <v>41</v>
      </c>
      <c r="B42" s="193" t="s">
        <v>84</v>
      </c>
      <c r="C42" s="127" t="s">
        <v>48</v>
      </c>
      <c r="D42" s="127" t="s">
        <v>445</v>
      </c>
      <c r="E42" s="127" t="s">
        <v>2</v>
      </c>
      <c r="F42" s="128" t="s">
        <v>138</v>
      </c>
      <c r="G42" s="127">
        <v>95</v>
      </c>
      <c r="H42" s="127">
        <v>660</v>
      </c>
      <c r="I42" s="129">
        <v>44292</v>
      </c>
      <c r="J42" s="129">
        <v>44426</v>
      </c>
      <c r="K42" s="130">
        <v>4319700</v>
      </c>
      <c r="L42" s="130">
        <v>6545</v>
      </c>
      <c r="M42" s="130" t="s">
        <v>5</v>
      </c>
      <c r="N42" s="130" t="s">
        <v>36</v>
      </c>
      <c r="O42" s="127">
        <v>18</v>
      </c>
      <c r="P42" s="118">
        <v>16</v>
      </c>
      <c r="Q42" s="127">
        <v>16</v>
      </c>
      <c r="R42" s="131">
        <f t="shared" si="1"/>
        <v>0.88888888888888884</v>
      </c>
      <c r="S42" s="142">
        <f t="shared" si="2"/>
        <v>0.88888888888888884</v>
      </c>
    </row>
    <row r="43" spans="1:20" s="26" customFormat="1">
      <c r="A43" s="159">
        <v>42</v>
      </c>
      <c r="B43" s="193" t="s">
        <v>84</v>
      </c>
      <c r="C43" s="127" t="s">
        <v>48</v>
      </c>
      <c r="D43" s="127" t="s">
        <v>445</v>
      </c>
      <c r="E43" s="127" t="s">
        <v>2</v>
      </c>
      <c r="F43" s="128" t="s">
        <v>139</v>
      </c>
      <c r="G43" s="127">
        <v>98</v>
      </c>
      <c r="H43" s="127">
        <v>685</v>
      </c>
      <c r="I43" s="129">
        <v>44294</v>
      </c>
      <c r="J43" s="129">
        <v>44434</v>
      </c>
      <c r="K43" s="130">
        <v>3772590</v>
      </c>
      <c r="L43" s="130">
        <v>5619</v>
      </c>
      <c r="M43" s="130" t="s">
        <v>0</v>
      </c>
      <c r="N43" s="130" t="s">
        <v>36</v>
      </c>
      <c r="O43" s="127">
        <v>20</v>
      </c>
      <c r="P43" s="118">
        <v>18</v>
      </c>
      <c r="Q43" s="127">
        <v>19</v>
      </c>
      <c r="R43" s="131">
        <f t="shared" si="1"/>
        <v>0.9</v>
      </c>
      <c r="S43" s="142">
        <f t="shared" si="2"/>
        <v>0.95</v>
      </c>
    </row>
    <row r="44" spans="1:20" s="26" customFormat="1">
      <c r="A44" s="159">
        <v>43</v>
      </c>
      <c r="B44" s="193" t="s">
        <v>84</v>
      </c>
      <c r="C44" s="127" t="s">
        <v>48</v>
      </c>
      <c r="D44" s="127" t="s">
        <v>445</v>
      </c>
      <c r="E44" s="127" t="s">
        <v>46</v>
      </c>
      <c r="F44" s="144" t="s">
        <v>140</v>
      </c>
      <c r="G44" s="127">
        <v>76</v>
      </c>
      <c r="H44" s="127">
        <v>380</v>
      </c>
      <c r="I44" s="129">
        <v>44299</v>
      </c>
      <c r="J44" s="129">
        <v>44406</v>
      </c>
      <c r="K44" s="130">
        <v>2367780</v>
      </c>
      <c r="L44" s="130">
        <f t="shared" ref="L44:L51" si="4">K44/H44</f>
        <v>6231</v>
      </c>
      <c r="M44" s="130" t="s">
        <v>72</v>
      </c>
      <c r="N44" s="130" t="s">
        <v>148</v>
      </c>
      <c r="O44" s="127">
        <v>20</v>
      </c>
      <c r="P44" s="118">
        <v>18</v>
      </c>
      <c r="Q44" s="127">
        <v>18</v>
      </c>
      <c r="R44" s="131">
        <f t="shared" si="1"/>
        <v>0.9</v>
      </c>
      <c r="S44" s="142">
        <f t="shared" si="2"/>
        <v>0.9</v>
      </c>
    </row>
    <row r="45" spans="1:20" s="26" customFormat="1">
      <c r="A45" s="159">
        <v>44</v>
      </c>
      <c r="B45" s="159" t="s">
        <v>84</v>
      </c>
      <c r="C45" s="127" t="s">
        <v>48</v>
      </c>
      <c r="D45" s="127" t="s">
        <v>453</v>
      </c>
      <c r="E45" s="127" t="s">
        <v>46</v>
      </c>
      <c r="F45" s="128" t="s">
        <v>141</v>
      </c>
      <c r="G45" s="127">
        <v>54</v>
      </c>
      <c r="H45" s="127">
        <v>320</v>
      </c>
      <c r="I45" s="129">
        <v>44293</v>
      </c>
      <c r="J45" s="129">
        <v>44370</v>
      </c>
      <c r="K45" s="130">
        <v>2012160</v>
      </c>
      <c r="L45" s="130">
        <f t="shared" si="4"/>
        <v>6288</v>
      </c>
      <c r="M45" s="130" t="s">
        <v>149</v>
      </c>
      <c r="N45" s="130" t="s">
        <v>39</v>
      </c>
      <c r="O45" s="127">
        <v>20</v>
      </c>
      <c r="P45" s="118">
        <v>20</v>
      </c>
      <c r="Q45" s="127">
        <v>20</v>
      </c>
      <c r="R45" s="131">
        <f t="shared" si="1"/>
        <v>1</v>
      </c>
      <c r="S45" s="142">
        <f t="shared" si="2"/>
        <v>1</v>
      </c>
    </row>
    <row r="46" spans="1:20" s="14" customFormat="1" ht="17.25" thickBot="1">
      <c r="A46" s="846">
        <v>45</v>
      </c>
      <c r="B46" s="856" t="s">
        <v>206</v>
      </c>
      <c r="C46" s="850" t="s">
        <v>205</v>
      </c>
      <c r="D46" s="850" t="s">
        <v>200</v>
      </c>
      <c r="E46" s="850" t="s">
        <v>202</v>
      </c>
      <c r="F46" s="874" t="s">
        <v>204</v>
      </c>
      <c r="G46" s="850">
        <v>34</v>
      </c>
      <c r="H46" s="850">
        <v>135</v>
      </c>
      <c r="I46" s="875">
        <v>44310</v>
      </c>
      <c r="J46" s="875">
        <v>44416</v>
      </c>
      <c r="K46" s="876">
        <v>977630</v>
      </c>
      <c r="L46" s="855">
        <v>6501</v>
      </c>
      <c r="M46" s="855"/>
      <c r="N46" s="855"/>
      <c r="O46" s="850">
        <v>20</v>
      </c>
      <c r="P46" s="856">
        <v>17</v>
      </c>
      <c r="Q46" s="850">
        <v>17</v>
      </c>
      <c r="R46" s="857">
        <f t="shared" si="1"/>
        <v>0.85</v>
      </c>
      <c r="S46" s="877">
        <f t="shared" si="2"/>
        <v>0.85</v>
      </c>
    </row>
    <row r="47" spans="1:20" s="26" customFormat="1">
      <c r="A47" s="82">
        <v>46</v>
      </c>
      <c r="B47" s="196" t="s">
        <v>85</v>
      </c>
      <c r="C47" s="23" t="s">
        <v>7</v>
      </c>
      <c r="D47" s="23" t="s">
        <v>455</v>
      </c>
      <c r="E47" s="23" t="s">
        <v>2</v>
      </c>
      <c r="F47" s="35" t="s">
        <v>71</v>
      </c>
      <c r="G47" s="23">
        <v>134</v>
      </c>
      <c r="H47" s="23">
        <v>600</v>
      </c>
      <c r="I47" s="36">
        <v>44340</v>
      </c>
      <c r="J47" s="36">
        <v>44545</v>
      </c>
      <c r="K47" s="37">
        <v>3800570</v>
      </c>
      <c r="L47" s="48">
        <f t="shared" si="4"/>
        <v>6334.2833333333338</v>
      </c>
      <c r="M47" s="37" t="s">
        <v>72</v>
      </c>
      <c r="N47" s="37" t="s">
        <v>73</v>
      </c>
      <c r="O47" s="23">
        <v>20</v>
      </c>
      <c r="P47" s="38">
        <v>20</v>
      </c>
      <c r="Q47" s="23">
        <v>39</v>
      </c>
      <c r="R47" s="39">
        <f t="shared" si="1"/>
        <v>1</v>
      </c>
      <c r="S47" s="40">
        <f t="shared" si="2"/>
        <v>1.95</v>
      </c>
      <c r="T47" s="26">
        <v>4.8</v>
      </c>
    </row>
    <row r="48" spans="1:20" s="26" customFormat="1">
      <c r="A48" s="82">
        <v>47</v>
      </c>
      <c r="B48" s="99" t="s">
        <v>85</v>
      </c>
      <c r="C48" s="19" t="s">
        <v>47</v>
      </c>
      <c r="D48" s="19" t="s">
        <v>445</v>
      </c>
      <c r="E48" s="19" t="s">
        <v>2</v>
      </c>
      <c r="F48" s="25" t="s">
        <v>74</v>
      </c>
      <c r="G48" s="19">
        <v>145</v>
      </c>
      <c r="H48" s="19">
        <v>870</v>
      </c>
      <c r="I48" s="27">
        <v>44328</v>
      </c>
      <c r="J48" s="27">
        <v>44536</v>
      </c>
      <c r="K48" s="28">
        <v>5420970</v>
      </c>
      <c r="L48" s="28">
        <f t="shared" si="4"/>
        <v>6231</v>
      </c>
      <c r="M48" s="28" t="s">
        <v>72</v>
      </c>
      <c r="N48" s="28" t="s">
        <v>75</v>
      </c>
      <c r="O48" s="19">
        <v>20</v>
      </c>
      <c r="P48" s="21">
        <v>20</v>
      </c>
      <c r="Q48" s="19">
        <v>32</v>
      </c>
      <c r="R48" s="50">
        <f t="shared" si="1"/>
        <v>1</v>
      </c>
      <c r="S48" s="51">
        <f t="shared" si="2"/>
        <v>1.6</v>
      </c>
    </row>
    <row r="49" spans="1:19" s="26" customFormat="1">
      <c r="A49" s="82">
        <v>48</v>
      </c>
      <c r="B49" s="99" t="s">
        <v>85</v>
      </c>
      <c r="C49" s="19" t="s">
        <v>47</v>
      </c>
      <c r="D49" s="19" t="s">
        <v>451</v>
      </c>
      <c r="E49" s="19" t="s">
        <v>46</v>
      </c>
      <c r="F49" s="25" t="s">
        <v>76</v>
      </c>
      <c r="G49" s="19">
        <v>100</v>
      </c>
      <c r="H49" s="19">
        <v>300</v>
      </c>
      <c r="I49" s="27">
        <v>44322</v>
      </c>
      <c r="J49" s="27">
        <v>44473</v>
      </c>
      <c r="K49" s="28">
        <v>1869300</v>
      </c>
      <c r="L49" s="28">
        <f t="shared" si="4"/>
        <v>6231</v>
      </c>
      <c r="M49" s="28" t="s">
        <v>30</v>
      </c>
      <c r="N49" s="28" t="s">
        <v>77</v>
      </c>
      <c r="O49" s="19">
        <v>13</v>
      </c>
      <c r="P49" s="21">
        <v>10</v>
      </c>
      <c r="Q49" s="19">
        <v>10</v>
      </c>
      <c r="R49" s="50">
        <f t="shared" si="1"/>
        <v>0.76923076923076927</v>
      </c>
      <c r="S49" s="51">
        <f t="shared" si="2"/>
        <v>0.76923076923076927</v>
      </c>
    </row>
    <row r="50" spans="1:19" s="26" customFormat="1">
      <c r="A50" s="82">
        <v>49</v>
      </c>
      <c r="B50" s="99" t="s">
        <v>85</v>
      </c>
      <c r="C50" s="19" t="s">
        <v>47</v>
      </c>
      <c r="D50" s="19" t="s">
        <v>451</v>
      </c>
      <c r="E50" s="19" t="s">
        <v>46</v>
      </c>
      <c r="F50" s="25" t="s">
        <v>127</v>
      </c>
      <c r="G50" s="19">
        <v>100</v>
      </c>
      <c r="H50" s="19">
        <v>300</v>
      </c>
      <c r="I50" s="27">
        <v>44322</v>
      </c>
      <c r="J50" s="27">
        <v>44473</v>
      </c>
      <c r="K50" s="28">
        <v>1869300</v>
      </c>
      <c r="L50" s="28">
        <f t="shared" si="4"/>
        <v>6231</v>
      </c>
      <c r="M50" s="28" t="s">
        <v>58</v>
      </c>
      <c r="N50" s="28" t="s">
        <v>78</v>
      </c>
      <c r="O50" s="19">
        <v>20</v>
      </c>
      <c r="P50" s="21">
        <v>11</v>
      </c>
      <c r="Q50" s="19">
        <v>11</v>
      </c>
      <c r="R50" s="50">
        <f t="shared" si="1"/>
        <v>0.55000000000000004</v>
      </c>
      <c r="S50" s="51">
        <f t="shared" si="2"/>
        <v>0.55000000000000004</v>
      </c>
    </row>
    <row r="51" spans="1:19" s="26" customFormat="1">
      <c r="A51" s="82">
        <v>50</v>
      </c>
      <c r="B51" s="99" t="s">
        <v>85</v>
      </c>
      <c r="C51" s="19" t="s">
        <v>3</v>
      </c>
      <c r="D51" s="19" t="s">
        <v>445</v>
      </c>
      <c r="E51" s="19" t="s">
        <v>2</v>
      </c>
      <c r="F51" s="55" t="s">
        <v>152</v>
      </c>
      <c r="G51" s="19">
        <v>106</v>
      </c>
      <c r="H51" s="19">
        <v>848</v>
      </c>
      <c r="I51" s="27">
        <v>44336</v>
      </c>
      <c r="J51" s="27">
        <v>44501</v>
      </c>
      <c r="K51" s="28">
        <v>5586620</v>
      </c>
      <c r="L51" s="28">
        <f t="shared" si="4"/>
        <v>6587.9952830188677</v>
      </c>
      <c r="M51" s="28" t="s">
        <v>63</v>
      </c>
      <c r="N51" s="28" t="s">
        <v>4</v>
      </c>
      <c r="O51" s="19">
        <v>21</v>
      </c>
      <c r="P51" s="21">
        <v>21</v>
      </c>
      <c r="Q51" s="19">
        <v>21</v>
      </c>
      <c r="R51" s="50">
        <f t="shared" si="1"/>
        <v>1</v>
      </c>
      <c r="S51" s="51">
        <f t="shared" si="2"/>
        <v>1</v>
      </c>
    </row>
    <row r="52" spans="1:19" s="26" customFormat="1">
      <c r="A52" s="82">
        <v>51</v>
      </c>
      <c r="B52" s="99" t="s">
        <v>85</v>
      </c>
      <c r="C52" s="19" t="s">
        <v>49</v>
      </c>
      <c r="D52" s="19" t="s">
        <v>453</v>
      </c>
      <c r="E52" s="19" t="s">
        <v>46</v>
      </c>
      <c r="F52" s="25" t="s">
        <v>162</v>
      </c>
      <c r="G52" s="19">
        <v>60</v>
      </c>
      <c r="H52" s="19">
        <v>338</v>
      </c>
      <c r="I52" s="27">
        <v>44344</v>
      </c>
      <c r="J52" s="27">
        <v>44428</v>
      </c>
      <c r="K52" s="28">
        <v>2044100</v>
      </c>
      <c r="L52" s="28">
        <v>6231</v>
      </c>
      <c r="M52" s="28" t="s">
        <v>72</v>
      </c>
      <c r="N52" s="28" t="s">
        <v>69</v>
      </c>
      <c r="O52" s="19">
        <v>21</v>
      </c>
      <c r="P52" s="21">
        <v>20</v>
      </c>
      <c r="Q52" s="19">
        <v>20</v>
      </c>
      <c r="R52" s="50">
        <f t="shared" si="1"/>
        <v>0.95238095238095233</v>
      </c>
      <c r="S52" s="51">
        <f t="shared" si="2"/>
        <v>0.95238095238095233</v>
      </c>
    </row>
    <row r="53" spans="1:19" s="26" customFormat="1">
      <c r="A53" s="82">
        <v>52</v>
      </c>
      <c r="B53" s="99" t="s">
        <v>85</v>
      </c>
      <c r="C53" s="19" t="s">
        <v>50</v>
      </c>
      <c r="D53" s="19" t="s">
        <v>447</v>
      </c>
      <c r="E53" s="19" t="s">
        <v>46</v>
      </c>
      <c r="F53" s="25" t="s">
        <v>79</v>
      </c>
      <c r="G53" s="19">
        <v>60</v>
      </c>
      <c r="H53" s="19">
        <v>300</v>
      </c>
      <c r="I53" s="27">
        <v>44340</v>
      </c>
      <c r="J53" s="27">
        <v>44421</v>
      </c>
      <c r="K53" s="28">
        <v>1940400</v>
      </c>
      <c r="L53" s="52">
        <f t="shared" ref="L53:L64" si="5">K53/H53</f>
        <v>6468</v>
      </c>
      <c r="M53" s="28" t="s">
        <v>38</v>
      </c>
      <c r="N53" s="28" t="s">
        <v>39</v>
      </c>
      <c r="O53" s="19">
        <v>14</v>
      </c>
      <c r="P53" s="21">
        <v>14</v>
      </c>
      <c r="Q53" s="19">
        <v>14</v>
      </c>
      <c r="R53" s="50">
        <f t="shared" si="1"/>
        <v>1</v>
      </c>
      <c r="S53" s="51">
        <f t="shared" si="2"/>
        <v>1</v>
      </c>
    </row>
    <row r="54" spans="1:19" s="26" customFormat="1">
      <c r="A54" s="82">
        <v>53</v>
      </c>
      <c r="B54" s="99" t="s">
        <v>85</v>
      </c>
      <c r="C54" s="19" t="s">
        <v>51</v>
      </c>
      <c r="D54" s="19" t="s">
        <v>447</v>
      </c>
      <c r="E54" s="19" t="s">
        <v>46</v>
      </c>
      <c r="F54" s="25" t="s">
        <v>80</v>
      </c>
      <c r="G54" s="19">
        <v>60</v>
      </c>
      <c r="H54" s="19">
        <v>320</v>
      </c>
      <c r="I54" s="27">
        <v>44340</v>
      </c>
      <c r="J54" s="27">
        <v>44421</v>
      </c>
      <c r="K54" s="28">
        <v>2069760</v>
      </c>
      <c r="L54" s="52">
        <f t="shared" si="5"/>
        <v>6468</v>
      </c>
      <c r="M54" s="28" t="s">
        <v>81</v>
      </c>
      <c r="N54" s="28" t="s">
        <v>45</v>
      </c>
      <c r="O54" s="19">
        <v>13</v>
      </c>
      <c r="P54" s="21">
        <v>13</v>
      </c>
      <c r="Q54" s="19">
        <v>13</v>
      </c>
      <c r="R54" s="50">
        <f t="shared" si="1"/>
        <v>1</v>
      </c>
      <c r="S54" s="51">
        <f t="shared" si="2"/>
        <v>1</v>
      </c>
    </row>
    <row r="55" spans="1:19" s="26" customFormat="1">
      <c r="A55" s="82">
        <v>54</v>
      </c>
      <c r="B55" s="3" t="s">
        <v>85</v>
      </c>
      <c r="C55" s="19" t="s">
        <v>51</v>
      </c>
      <c r="D55" s="19" t="s">
        <v>447</v>
      </c>
      <c r="E55" s="19" t="s">
        <v>46</v>
      </c>
      <c r="F55" s="25" t="s">
        <v>82</v>
      </c>
      <c r="G55" s="19">
        <v>52</v>
      </c>
      <c r="H55" s="19">
        <v>260</v>
      </c>
      <c r="I55" s="27">
        <v>44340</v>
      </c>
      <c r="J55" s="27">
        <v>44411</v>
      </c>
      <c r="K55" s="28">
        <v>1681680</v>
      </c>
      <c r="L55" s="52">
        <f t="shared" si="5"/>
        <v>6468</v>
      </c>
      <c r="M55" s="68" t="s">
        <v>83</v>
      </c>
      <c r="N55" s="28" t="s">
        <v>39</v>
      </c>
      <c r="O55" s="19">
        <v>10</v>
      </c>
      <c r="P55" s="21">
        <v>9</v>
      </c>
      <c r="Q55" s="19">
        <v>10</v>
      </c>
      <c r="R55" s="50">
        <f t="shared" si="1"/>
        <v>0.9</v>
      </c>
      <c r="S55" s="51">
        <f t="shared" si="2"/>
        <v>1</v>
      </c>
    </row>
    <row r="56" spans="1:19" s="14" customFormat="1" ht="17.25" thickBot="1">
      <c r="A56" s="223">
        <v>55</v>
      </c>
      <c r="B56" s="878" t="s">
        <v>207</v>
      </c>
      <c r="C56" s="407" t="s">
        <v>205</v>
      </c>
      <c r="D56" s="407" t="s">
        <v>200</v>
      </c>
      <c r="E56" s="407" t="s">
        <v>202</v>
      </c>
      <c r="F56" s="879" t="s">
        <v>208</v>
      </c>
      <c r="G56" s="407">
        <v>33</v>
      </c>
      <c r="H56" s="407">
        <v>130</v>
      </c>
      <c r="I56" s="860">
        <v>44326</v>
      </c>
      <c r="J56" s="860">
        <v>44372</v>
      </c>
      <c r="K56" s="880">
        <v>1026380</v>
      </c>
      <c r="L56" s="881">
        <v>7126</v>
      </c>
      <c r="M56" s="881"/>
      <c r="N56" s="881"/>
      <c r="O56" s="407">
        <v>20</v>
      </c>
      <c r="P56" s="878">
        <v>9</v>
      </c>
      <c r="Q56" s="407">
        <v>9</v>
      </c>
      <c r="R56" s="882">
        <f t="shared" ref="R56" si="6">P56/O56</f>
        <v>0.45</v>
      </c>
      <c r="S56" s="883">
        <f t="shared" ref="S56" si="7">Q56/O56</f>
        <v>0.45</v>
      </c>
    </row>
    <row r="57" spans="1:19" s="26" customFormat="1">
      <c r="A57" s="159">
        <v>56</v>
      </c>
      <c r="B57" s="197" t="s">
        <v>110</v>
      </c>
      <c r="C57" s="119" t="s">
        <v>7</v>
      </c>
      <c r="D57" s="119" t="s">
        <v>449</v>
      </c>
      <c r="E57" s="119" t="s">
        <v>2</v>
      </c>
      <c r="F57" s="120" t="s">
        <v>102</v>
      </c>
      <c r="G57" s="119">
        <v>135</v>
      </c>
      <c r="H57" s="119">
        <v>600</v>
      </c>
      <c r="I57" s="121">
        <v>44376</v>
      </c>
      <c r="J57" s="121">
        <v>44573</v>
      </c>
      <c r="K57" s="122">
        <v>3671520</v>
      </c>
      <c r="L57" s="123">
        <f t="shared" si="5"/>
        <v>6119.2</v>
      </c>
      <c r="M57" s="122" t="s">
        <v>53</v>
      </c>
      <c r="N57" s="122" t="s">
        <v>54</v>
      </c>
      <c r="O57" s="119">
        <v>20</v>
      </c>
      <c r="P57" s="124">
        <v>16</v>
      </c>
      <c r="Q57" s="119">
        <v>17</v>
      </c>
      <c r="R57" s="125">
        <f t="shared" si="1"/>
        <v>0.8</v>
      </c>
      <c r="S57" s="145">
        <f t="shared" si="2"/>
        <v>0.85</v>
      </c>
    </row>
    <row r="58" spans="1:19" s="26" customFormat="1">
      <c r="A58" s="159">
        <v>57</v>
      </c>
      <c r="B58" s="198" t="s">
        <v>110</v>
      </c>
      <c r="C58" s="127" t="s">
        <v>47</v>
      </c>
      <c r="D58" s="127" t="s">
        <v>445</v>
      </c>
      <c r="E58" s="127" t="s">
        <v>46</v>
      </c>
      <c r="F58" s="128" t="s">
        <v>103</v>
      </c>
      <c r="G58" s="127">
        <v>93</v>
      </c>
      <c r="H58" s="127">
        <v>370</v>
      </c>
      <c r="I58" s="129">
        <v>44371</v>
      </c>
      <c r="J58" s="129">
        <v>44504</v>
      </c>
      <c r="K58" s="130">
        <v>2305470</v>
      </c>
      <c r="L58" s="130">
        <f t="shared" si="5"/>
        <v>6231</v>
      </c>
      <c r="M58" s="130" t="s">
        <v>56</v>
      </c>
      <c r="N58" s="130" t="s">
        <v>104</v>
      </c>
      <c r="O58" s="127">
        <v>20</v>
      </c>
      <c r="P58" s="118">
        <v>18</v>
      </c>
      <c r="Q58" s="127">
        <v>18</v>
      </c>
      <c r="R58" s="131">
        <f t="shared" si="1"/>
        <v>0.9</v>
      </c>
      <c r="S58" s="142">
        <f t="shared" si="2"/>
        <v>0.9</v>
      </c>
    </row>
    <row r="59" spans="1:19" s="26" customFormat="1">
      <c r="A59" s="159">
        <v>58</v>
      </c>
      <c r="B59" s="198" t="s">
        <v>210</v>
      </c>
      <c r="C59" s="127" t="s">
        <v>209</v>
      </c>
      <c r="D59" s="127" t="s">
        <v>453</v>
      </c>
      <c r="E59" s="127" t="s">
        <v>202</v>
      </c>
      <c r="F59" s="128" t="s">
        <v>220</v>
      </c>
      <c r="G59" s="127">
        <v>100</v>
      </c>
      <c r="H59" s="127">
        <v>300</v>
      </c>
      <c r="I59" s="146">
        <v>44350</v>
      </c>
      <c r="J59" s="146">
        <v>44502</v>
      </c>
      <c r="K59" s="147">
        <v>1869300</v>
      </c>
      <c r="L59" s="130">
        <v>6231</v>
      </c>
      <c r="M59" s="130"/>
      <c r="N59" s="130"/>
      <c r="O59" s="127">
        <v>13</v>
      </c>
      <c r="P59" s="118">
        <v>7</v>
      </c>
      <c r="Q59" s="127">
        <v>7</v>
      </c>
      <c r="R59" s="131">
        <f t="shared" si="1"/>
        <v>0.53846153846153844</v>
      </c>
      <c r="S59" s="142">
        <f t="shared" si="2"/>
        <v>0.53846153846153844</v>
      </c>
    </row>
    <row r="60" spans="1:19" s="26" customFormat="1">
      <c r="A60" s="159">
        <v>59</v>
      </c>
      <c r="B60" s="198" t="s">
        <v>364</v>
      </c>
      <c r="C60" s="127" t="s">
        <v>3</v>
      </c>
      <c r="D60" s="127" t="s">
        <v>445</v>
      </c>
      <c r="E60" s="127" t="s">
        <v>2</v>
      </c>
      <c r="F60" s="148" t="s">
        <v>187</v>
      </c>
      <c r="G60" s="127">
        <v>96</v>
      </c>
      <c r="H60" s="127">
        <v>768</v>
      </c>
      <c r="I60" s="129">
        <v>44357</v>
      </c>
      <c r="J60" s="129">
        <v>44511</v>
      </c>
      <c r="K60" s="130">
        <v>5048832</v>
      </c>
      <c r="L60" s="130">
        <f t="shared" si="5"/>
        <v>6574</v>
      </c>
      <c r="M60" s="130" t="s">
        <v>72</v>
      </c>
      <c r="N60" s="130" t="s">
        <v>4</v>
      </c>
      <c r="O60" s="127">
        <v>35</v>
      </c>
      <c r="P60" s="118">
        <v>23</v>
      </c>
      <c r="Q60" s="127">
        <v>25</v>
      </c>
      <c r="R60" s="131">
        <f t="shared" si="1"/>
        <v>0.65714285714285714</v>
      </c>
      <c r="S60" s="142">
        <f t="shared" si="2"/>
        <v>0.7142857142857143</v>
      </c>
    </row>
    <row r="61" spans="1:19" s="26" customFormat="1">
      <c r="A61" s="159">
        <v>60</v>
      </c>
      <c r="B61" s="198" t="s">
        <v>110</v>
      </c>
      <c r="C61" s="127" t="s">
        <v>3</v>
      </c>
      <c r="D61" s="127" t="s">
        <v>445</v>
      </c>
      <c r="E61" s="127" t="s">
        <v>2</v>
      </c>
      <c r="F61" s="128" t="s">
        <v>153</v>
      </c>
      <c r="G61" s="127">
        <v>107</v>
      </c>
      <c r="H61" s="127">
        <v>850</v>
      </c>
      <c r="I61" s="129">
        <v>44362</v>
      </c>
      <c r="J61" s="129">
        <v>44519</v>
      </c>
      <c r="K61" s="130">
        <v>5599800</v>
      </c>
      <c r="L61" s="130">
        <f t="shared" si="5"/>
        <v>6588</v>
      </c>
      <c r="M61" s="130" t="s">
        <v>0</v>
      </c>
      <c r="N61" s="130" t="s">
        <v>4</v>
      </c>
      <c r="O61" s="127">
        <v>35</v>
      </c>
      <c r="P61" s="118">
        <v>35</v>
      </c>
      <c r="Q61" s="127">
        <v>35</v>
      </c>
      <c r="R61" s="131">
        <f t="shared" si="1"/>
        <v>1</v>
      </c>
      <c r="S61" s="142">
        <f t="shared" si="2"/>
        <v>1</v>
      </c>
    </row>
    <row r="62" spans="1:19" s="26" customFormat="1">
      <c r="A62" s="159">
        <v>61</v>
      </c>
      <c r="B62" s="198" t="s">
        <v>110</v>
      </c>
      <c r="C62" s="118" t="s">
        <v>3</v>
      </c>
      <c r="D62" s="118" t="s">
        <v>445</v>
      </c>
      <c r="E62" s="118" t="s">
        <v>2</v>
      </c>
      <c r="F62" s="149" t="s">
        <v>154</v>
      </c>
      <c r="G62" s="118">
        <v>93</v>
      </c>
      <c r="H62" s="118">
        <v>882</v>
      </c>
      <c r="I62" s="150">
        <v>44369</v>
      </c>
      <c r="J62" s="150">
        <v>44511</v>
      </c>
      <c r="K62" s="130">
        <v>5524340</v>
      </c>
      <c r="L62" s="130">
        <f t="shared" si="5"/>
        <v>6263.4240362811788</v>
      </c>
      <c r="M62" s="118" t="s">
        <v>30</v>
      </c>
      <c r="N62" s="118" t="s">
        <v>4</v>
      </c>
      <c r="O62" s="118">
        <v>21</v>
      </c>
      <c r="P62" s="118">
        <v>20</v>
      </c>
      <c r="Q62" s="118">
        <v>21</v>
      </c>
      <c r="R62" s="131">
        <f t="shared" si="1"/>
        <v>0.95238095238095233</v>
      </c>
      <c r="S62" s="142">
        <f t="shared" si="2"/>
        <v>1</v>
      </c>
    </row>
    <row r="63" spans="1:19" s="26" customFormat="1">
      <c r="A63" s="159">
        <v>62</v>
      </c>
      <c r="B63" s="198" t="s">
        <v>110</v>
      </c>
      <c r="C63" s="127" t="s">
        <v>3</v>
      </c>
      <c r="D63" s="127" t="s">
        <v>453</v>
      </c>
      <c r="E63" s="127" t="s">
        <v>2</v>
      </c>
      <c r="F63" s="151" t="s">
        <v>183</v>
      </c>
      <c r="G63" s="127">
        <v>90</v>
      </c>
      <c r="H63" s="127">
        <v>882</v>
      </c>
      <c r="I63" s="129">
        <v>44368</v>
      </c>
      <c r="J63" s="129">
        <v>44509</v>
      </c>
      <c r="K63" s="130">
        <v>5627720</v>
      </c>
      <c r="L63" s="130">
        <f t="shared" si="5"/>
        <v>6380.6349206349205</v>
      </c>
      <c r="M63" s="130" t="s">
        <v>56</v>
      </c>
      <c r="N63" s="130" t="s">
        <v>4</v>
      </c>
      <c r="O63" s="127">
        <v>22</v>
      </c>
      <c r="P63" s="118">
        <v>16</v>
      </c>
      <c r="Q63" s="127">
        <v>16</v>
      </c>
      <c r="R63" s="131">
        <f t="shared" si="1"/>
        <v>0.72727272727272729</v>
      </c>
      <c r="S63" s="142">
        <f t="shared" si="2"/>
        <v>0.72727272727272729</v>
      </c>
    </row>
    <row r="64" spans="1:19" s="26" customFormat="1" ht="19.5" customHeight="1">
      <c r="A64" s="159">
        <v>63</v>
      </c>
      <c r="B64" s="198" t="s">
        <v>110</v>
      </c>
      <c r="C64" s="127" t="s">
        <v>3</v>
      </c>
      <c r="D64" s="127" t="s">
        <v>447</v>
      </c>
      <c r="E64" s="127" t="s">
        <v>46</v>
      </c>
      <c r="F64" s="148" t="s">
        <v>188</v>
      </c>
      <c r="G64" s="127">
        <v>90</v>
      </c>
      <c r="H64" s="127">
        <v>360</v>
      </c>
      <c r="I64" s="129">
        <v>44355</v>
      </c>
      <c r="J64" s="129">
        <v>44483</v>
      </c>
      <c r="K64" s="130">
        <v>2371680</v>
      </c>
      <c r="L64" s="130">
        <f t="shared" si="5"/>
        <v>6588</v>
      </c>
      <c r="M64" s="130" t="s">
        <v>105</v>
      </c>
      <c r="N64" s="130" t="s">
        <v>106</v>
      </c>
      <c r="O64" s="127">
        <v>20</v>
      </c>
      <c r="P64" s="118">
        <v>9</v>
      </c>
      <c r="Q64" s="127">
        <v>10</v>
      </c>
      <c r="R64" s="131">
        <f t="shared" si="1"/>
        <v>0.45</v>
      </c>
      <c r="S64" s="142">
        <f t="shared" si="2"/>
        <v>0.5</v>
      </c>
    </row>
    <row r="65" spans="1:19" s="26" customFormat="1">
      <c r="A65" s="159">
        <v>64</v>
      </c>
      <c r="B65" s="198" t="s">
        <v>110</v>
      </c>
      <c r="C65" s="127" t="s">
        <v>48</v>
      </c>
      <c r="D65" s="127" t="s">
        <v>445</v>
      </c>
      <c r="E65" s="127" t="s">
        <v>2</v>
      </c>
      <c r="F65" s="151" t="s">
        <v>107</v>
      </c>
      <c r="G65" s="127">
        <v>87</v>
      </c>
      <c r="H65" s="127">
        <v>685</v>
      </c>
      <c r="I65" s="129">
        <v>44356</v>
      </c>
      <c r="J65" s="129">
        <v>44497</v>
      </c>
      <c r="K65" s="130">
        <v>3772590</v>
      </c>
      <c r="L65" s="130">
        <v>5619</v>
      </c>
      <c r="M65" s="130" t="s">
        <v>0</v>
      </c>
      <c r="N65" s="130" t="s">
        <v>108</v>
      </c>
      <c r="O65" s="127">
        <v>20</v>
      </c>
      <c r="P65" s="118">
        <v>15</v>
      </c>
      <c r="Q65" s="127">
        <v>16</v>
      </c>
      <c r="R65" s="131">
        <f t="shared" si="1"/>
        <v>0.75</v>
      </c>
      <c r="S65" s="142">
        <f t="shared" si="2"/>
        <v>0.8</v>
      </c>
    </row>
    <row r="66" spans="1:19" s="26" customFormat="1">
      <c r="A66" s="159">
        <v>65</v>
      </c>
      <c r="B66" s="199" t="s">
        <v>110</v>
      </c>
      <c r="C66" s="127" t="s">
        <v>50</v>
      </c>
      <c r="D66" s="127" t="s">
        <v>447</v>
      </c>
      <c r="E66" s="127" t="s">
        <v>46</v>
      </c>
      <c r="F66" s="128" t="s">
        <v>109</v>
      </c>
      <c r="G66" s="127">
        <v>64</v>
      </c>
      <c r="H66" s="127">
        <v>320</v>
      </c>
      <c r="I66" s="129">
        <v>44361</v>
      </c>
      <c r="J66" s="129">
        <v>44448</v>
      </c>
      <c r="K66" s="130">
        <v>2069760</v>
      </c>
      <c r="L66" s="134">
        <f>K66/H66</f>
        <v>6468</v>
      </c>
      <c r="M66" s="130" t="s">
        <v>70</v>
      </c>
      <c r="N66" s="130" t="s">
        <v>39</v>
      </c>
      <c r="O66" s="127">
        <v>17</v>
      </c>
      <c r="P66" s="118">
        <v>17</v>
      </c>
      <c r="Q66" s="127">
        <v>17</v>
      </c>
      <c r="R66" s="131">
        <f t="shared" si="1"/>
        <v>1</v>
      </c>
      <c r="S66" s="142">
        <f t="shared" si="2"/>
        <v>1</v>
      </c>
    </row>
    <row r="67" spans="1:19" s="14" customFormat="1" ht="17.25" thickBot="1">
      <c r="A67" s="846">
        <v>66</v>
      </c>
      <c r="B67" s="884" t="s">
        <v>110</v>
      </c>
      <c r="C67" s="885" t="s">
        <v>211</v>
      </c>
      <c r="D67" s="885" t="s">
        <v>212</v>
      </c>
      <c r="E67" s="885" t="s">
        <v>46</v>
      </c>
      <c r="F67" s="886" t="s">
        <v>213</v>
      </c>
      <c r="G67" s="885">
        <v>34</v>
      </c>
      <c r="H67" s="885">
        <v>135</v>
      </c>
      <c r="I67" s="887">
        <v>44356</v>
      </c>
      <c r="J67" s="887">
        <v>44407</v>
      </c>
      <c r="K67" s="888">
        <v>977630</v>
      </c>
      <c r="L67" s="889">
        <v>6501</v>
      </c>
      <c r="M67" s="888"/>
      <c r="N67" s="888"/>
      <c r="O67" s="885">
        <v>20</v>
      </c>
      <c r="P67" s="890">
        <v>9</v>
      </c>
      <c r="Q67" s="885">
        <v>9</v>
      </c>
      <c r="R67" s="891">
        <f t="shared" ref="R67" si="8">P67/O67</f>
        <v>0.45</v>
      </c>
      <c r="S67" s="892">
        <f t="shared" ref="S67" si="9">Q67/O67</f>
        <v>0.45</v>
      </c>
    </row>
    <row r="68" spans="1:19" s="26" customFormat="1">
      <c r="A68" s="82">
        <v>67</v>
      </c>
      <c r="B68" s="116" t="s">
        <v>122</v>
      </c>
      <c r="C68" s="23" t="s">
        <v>7</v>
      </c>
      <c r="D68" s="23" t="s">
        <v>445</v>
      </c>
      <c r="E68" s="23" t="s">
        <v>46</v>
      </c>
      <c r="F68" s="74" t="s">
        <v>115</v>
      </c>
      <c r="G68" s="23">
        <v>70</v>
      </c>
      <c r="H68" s="23">
        <v>280</v>
      </c>
      <c r="I68" s="36">
        <v>44391</v>
      </c>
      <c r="J68" s="36">
        <v>44491</v>
      </c>
      <c r="K68" s="77">
        <v>1832600</v>
      </c>
      <c r="L68" s="37">
        <v>5619</v>
      </c>
      <c r="M68" s="77" t="s">
        <v>116</v>
      </c>
      <c r="N68" s="77" t="s">
        <v>117</v>
      </c>
      <c r="O68" s="23">
        <v>20</v>
      </c>
      <c r="P68" s="23">
        <v>9</v>
      </c>
      <c r="Q68" s="23">
        <v>9</v>
      </c>
      <c r="R68" s="39">
        <f t="shared" si="1"/>
        <v>0.45</v>
      </c>
      <c r="S68" s="69">
        <f t="shared" si="2"/>
        <v>0.45</v>
      </c>
    </row>
    <row r="69" spans="1:19" s="26" customFormat="1">
      <c r="A69" s="82">
        <v>68</v>
      </c>
      <c r="B69" s="3" t="s">
        <v>122</v>
      </c>
      <c r="C69" s="19" t="s">
        <v>7</v>
      </c>
      <c r="D69" s="19" t="s">
        <v>447</v>
      </c>
      <c r="E69" s="19" t="s">
        <v>2</v>
      </c>
      <c r="F69" s="20" t="s">
        <v>118</v>
      </c>
      <c r="G69" s="19">
        <v>93</v>
      </c>
      <c r="H69" s="19">
        <v>755</v>
      </c>
      <c r="I69" s="27">
        <v>44390</v>
      </c>
      <c r="J69" s="27">
        <v>44525</v>
      </c>
      <c r="K69" s="28">
        <v>4135350</v>
      </c>
      <c r="L69" s="28">
        <v>5619</v>
      </c>
      <c r="M69" s="28" t="s">
        <v>0</v>
      </c>
      <c r="N69" s="28" t="s">
        <v>36</v>
      </c>
      <c r="O69" s="19">
        <v>25</v>
      </c>
      <c r="P69" s="21">
        <v>24</v>
      </c>
      <c r="Q69" s="19">
        <v>25</v>
      </c>
      <c r="R69" s="50">
        <f t="shared" si="1"/>
        <v>0.96</v>
      </c>
      <c r="S69" s="30">
        <f t="shared" si="2"/>
        <v>1</v>
      </c>
    </row>
    <row r="70" spans="1:19" s="26" customFormat="1">
      <c r="A70" s="82">
        <v>69</v>
      </c>
      <c r="B70" s="3" t="s">
        <v>122</v>
      </c>
      <c r="C70" s="19" t="s">
        <v>7</v>
      </c>
      <c r="D70" s="19" t="s">
        <v>450</v>
      </c>
      <c r="E70" s="19" t="s">
        <v>46</v>
      </c>
      <c r="F70" s="20" t="s">
        <v>57</v>
      </c>
      <c r="G70" s="19">
        <v>80</v>
      </c>
      <c r="H70" s="19">
        <v>320</v>
      </c>
      <c r="I70" s="27">
        <v>44391</v>
      </c>
      <c r="J70" s="27">
        <v>44201</v>
      </c>
      <c r="K70" s="28">
        <v>2012160</v>
      </c>
      <c r="L70" s="54">
        <f t="shared" ref="L70:L76" si="10">K70/H70</f>
        <v>6288</v>
      </c>
      <c r="M70" s="28" t="s">
        <v>58</v>
      </c>
      <c r="N70" s="28" t="s">
        <v>34</v>
      </c>
      <c r="O70" s="19">
        <v>20</v>
      </c>
      <c r="P70" s="21">
        <v>15</v>
      </c>
      <c r="Q70" s="19">
        <v>15</v>
      </c>
      <c r="R70" s="50">
        <f t="shared" si="1"/>
        <v>0.75</v>
      </c>
      <c r="S70" s="30">
        <f t="shared" si="2"/>
        <v>0.75</v>
      </c>
    </row>
    <row r="71" spans="1:19" s="26" customFormat="1">
      <c r="A71" s="82">
        <v>70</v>
      </c>
      <c r="B71" s="3" t="s">
        <v>122</v>
      </c>
      <c r="C71" s="19" t="s">
        <v>47</v>
      </c>
      <c r="D71" s="19" t="s">
        <v>453</v>
      </c>
      <c r="E71" s="19" t="s">
        <v>46</v>
      </c>
      <c r="F71" s="20" t="s">
        <v>119</v>
      </c>
      <c r="G71" s="19">
        <v>124</v>
      </c>
      <c r="H71" s="19">
        <v>370</v>
      </c>
      <c r="I71" s="27">
        <v>44398</v>
      </c>
      <c r="J71" s="27">
        <v>44569</v>
      </c>
      <c r="K71" s="28">
        <v>2305470</v>
      </c>
      <c r="L71" s="28">
        <f t="shared" si="10"/>
        <v>6231</v>
      </c>
      <c r="M71" s="28" t="s">
        <v>0</v>
      </c>
      <c r="N71" s="28" t="s">
        <v>111</v>
      </c>
      <c r="O71" s="19">
        <v>13</v>
      </c>
      <c r="P71" s="21">
        <v>13</v>
      </c>
      <c r="Q71" s="19">
        <v>13</v>
      </c>
      <c r="R71" s="50">
        <f t="shared" si="1"/>
        <v>1</v>
      </c>
      <c r="S71" s="30">
        <f t="shared" si="2"/>
        <v>1</v>
      </c>
    </row>
    <row r="72" spans="1:19" s="26" customFormat="1">
      <c r="A72" s="82">
        <v>71</v>
      </c>
      <c r="B72" s="3" t="s">
        <v>122</v>
      </c>
      <c r="C72" s="19" t="s">
        <v>47</v>
      </c>
      <c r="D72" s="19" t="s">
        <v>451</v>
      </c>
      <c r="E72" s="19" t="s">
        <v>46</v>
      </c>
      <c r="F72" s="20" t="s">
        <v>120</v>
      </c>
      <c r="G72" s="19">
        <v>123</v>
      </c>
      <c r="H72" s="19">
        <v>370</v>
      </c>
      <c r="I72" s="27">
        <v>44403</v>
      </c>
      <c r="J72" s="27">
        <v>44580</v>
      </c>
      <c r="K72" s="28">
        <v>2305470</v>
      </c>
      <c r="L72" s="28">
        <f t="shared" si="10"/>
        <v>6231</v>
      </c>
      <c r="M72" s="28" t="s">
        <v>58</v>
      </c>
      <c r="N72" s="28" t="s">
        <v>111</v>
      </c>
      <c r="O72" s="19">
        <v>13</v>
      </c>
      <c r="P72" s="21">
        <v>12</v>
      </c>
      <c r="Q72" s="19">
        <v>18</v>
      </c>
      <c r="R72" s="50">
        <f t="shared" si="1"/>
        <v>0.92307692307692313</v>
      </c>
      <c r="S72" s="30">
        <f t="shared" si="2"/>
        <v>1.3846153846153846</v>
      </c>
    </row>
    <row r="73" spans="1:19" s="26" customFormat="1">
      <c r="A73" s="82">
        <v>72</v>
      </c>
      <c r="B73" s="3" t="s">
        <v>122</v>
      </c>
      <c r="C73" s="21" t="s">
        <v>3</v>
      </c>
      <c r="D73" s="21" t="s">
        <v>445</v>
      </c>
      <c r="E73" s="21" t="s">
        <v>2</v>
      </c>
      <c r="F73" s="70" t="s">
        <v>155</v>
      </c>
      <c r="G73" s="21">
        <v>89</v>
      </c>
      <c r="H73" s="21">
        <v>820</v>
      </c>
      <c r="I73" s="32">
        <v>44378</v>
      </c>
      <c r="J73" s="32">
        <v>44511</v>
      </c>
      <c r="K73" s="28">
        <v>5183480</v>
      </c>
      <c r="L73" s="28">
        <f t="shared" si="10"/>
        <v>6321.3170731707314</v>
      </c>
      <c r="M73" s="21" t="s">
        <v>58</v>
      </c>
      <c r="N73" s="21" t="s">
        <v>4</v>
      </c>
      <c r="O73" s="21">
        <v>35</v>
      </c>
      <c r="P73" s="21">
        <v>35</v>
      </c>
      <c r="Q73" s="21">
        <v>35</v>
      </c>
      <c r="R73" s="50">
        <f t="shared" si="1"/>
        <v>1</v>
      </c>
      <c r="S73" s="30">
        <f t="shared" si="2"/>
        <v>1</v>
      </c>
    </row>
    <row r="74" spans="1:19" s="26" customFormat="1">
      <c r="A74" s="82">
        <v>73</v>
      </c>
      <c r="B74" s="3" t="s">
        <v>122</v>
      </c>
      <c r="C74" s="21" t="s">
        <v>3</v>
      </c>
      <c r="D74" s="21" t="s">
        <v>445</v>
      </c>
      <c r="E74" s="21" t="s">
        <v>2</v>
      </c>
      <c r="F74" s="70" t="s">
        <v>156</v>
      </c>
      <c r="G74" s="21">
        <v>93</v>
      </c>
      <c r="H74" s="21">
        <v>882</v>
      </c>
      <c r="I74" s="32">
        <v>44390</v>
      </c>
      <c r="J74" s="32">
        <v>44529</v>
      </c>
      <c r="K74" s="28">
        <v>5524340</v>
      </c>
      <c r="L74" s="28">
        <f>K74/H74</f>
        <v>6263.4240362811788</v>
      </c>
      <c r="M74" s="21" t="s">
        <v>5</v>
      </c>
      <c r="N74" s="21" t="s">
        <v>4</v>
      </c>
      <c r="O74" s="21">
        <v>35</v>
      </c>
      <c r="P74" s="21">
        <v>33</v>
      </c>
      <c r="Q74" s="21">
        <v>33</v>
      </c>
      <c r="R74" s="50">
        <f t="shared" ref="R74:R107" si="11">P74/O74</f>
        <v>0.94285714285714284</v>
      </c>
      <c r="S74" s="30">
        <f t="shared" ref="S74:S107" si="12">Q74/O74</f>
        <v>0.94285714285714284</v>
      </c>
    </row>
    <row r="75" spans="1:19" s="26" customFormat="1">
      <c r="A75" s="82">
        <v>74</v>
      </c>
      <c r="B75" s="3" t="s">
        <v>122</v>
      </c>
      <c r="C75" s="21" t="s">
        <v>3</v>
      </c>
      <c r="D75" s="21" t="s">
        <v>445</v>
      </c>
      <c r="E75" s="21" t="s">
        <v>2</v>
      </c>
      <c r="F75" s="70" t="s">
        <v>157</v>
      </c>
      <c r="G75" s="21">
        <v>103</v>
      </c>
      <c r="H75" s="21">
        <v>818</v>
      </c>
      <c r="I75" s="32">
        <v>44397</v>
      </c>
      <c r="J75" s="32">
        <v>44547</v>
      </c>
      <c r="K75" s="28">
        <v>5388980</v>
      </c>
      <c r="L75" s="28">
        <f t="shared" si="10"/>
        <v>6587.9951100244498</v>
      </c>
      <c r="M75" s="21" t="s">
        <v>28</v>
      </c>
      <c r="N75" s="21" t="s">
        <v>4</v>
      </c>
      <c r="O75" s="21">
        <v>35</v>
      </c>
      <c r="P75" s="21">
        <v>30</v>
      </c>
      <c r="Q75" s="21">
        <v>30</v>
      </c>
      <c r="R75" s="50">
        <f t="shared" si="11"/>
        <v>0.8571428571428571</v>
      </c>
      <c r="S75" s="30">
        <f t="shared" si="12"/>
        <v>0.8571428571428571</v>
      </c>
    </row>
    <row r="76" spans="1:19" s="26" customFormat="1">
      <c r="A76" s="82">
        <v>75</v>
      </c>
      <c r="B76" s="3" t="s">
        <v>122</v>
      </c>
      <c r="C76" s="19" t="s">
        <v>3</v>
      </c>
      <c r="D76" s="19" t="s">
        <v>447</v>
      </c>
      <c r="E76" s="19" t="s">
        <v>2</v>
      </c>
      <c r="F76" s="20" t="s">
        <v>161</v>
      </c>
      <c r="G76" s="19">
        <v>140</v>
      </c>
      <c r="H76" s="71">
        <v>912</v>
      </c>
      <c r="I76" s="72">
        <v>44385</v>
      </c>
      <c r="J76" s="27">
        <v>44585</v>
      </c>
      <c r="K76" s="28">
        <v>5825360</v>
      </c>
      <c r="L76" s="28">
        <f t="shared" si="10"/>
        <v>6387.4561403508769</v>
      </c>
      <c r="M76" s="28" t="s">
        <v>63</v>
      </c>
      <c r="N76" s="28" t="s">
        <v>112</v>
      </c>
      <c r="O76" s="19">
        <v>20</v>
      </c>
      <c r="P76" s="21">
        <v>20</v>
      </c>
      <c r="Q76" s="19">
        <v>42</v>
      </c>
      <c r="R76" s="50">
        <f t="shared" si="11"/>
        <v>1</v>
      </c>
      <c r="S76" s="30">
        <f t="shared" si="12"/>
        <v>2.1</v>
      </c>
    </row>
    <row r="77" spans="1:19" s="26" customFormat="1">
      <c r="A77" s="82">
        <v>76</v>
      </c>
      <c r="B77" s="3" t="s">
        <v>122</v>
      </c>
      <c r="C77" s="19" t="s">
        <v>49</v>
      </c>
      <c r="D77" s="19" t="s">
        <v>445</v>
      </c>
      <c r="E77" s="19" t="s">
        <v>2</v>
      </c>
      <c r="F77" s="73" t="s">
        <v>151</v>
      </c>
      <c r="G77" s="19">
        <v>132</v>
      </c>
      <c r="H77" s="19">
        <v>736</v>
      </c>
      <c r="I77" s="27">
        <v>44389</v>
      </c>
      <c r="J77" s="27">
        <v>44600</v>
      </c>
      <c r="K77" s="28">
        <v>4669300</v>
      </c>
      <c r="L77" s="28">
        <v>5619</v>
      </c>
      <c r="M77" s="28" t="s">
        <v>30</v>
      </c>
      <c r="N77" s="28" t="s">
        <v>121</v>
      </c>
      <c r="O77" s="19">
        <v>20</v>
      </c>
      <c r="P77" s="21">
        <v>19</v>
      </c>
      <c r="Q77" s="19">
        <v>19</v>
      </c>
      <c r="R77" s="50">
        <f t="shared" si="11"/>
        <v>0.95</v>
      </c>
      <c r="S77" s="30">
        <f t="shared" si="12"/>
        <v>0.95</v>
      </c>
    </row>
    <row r="78" spans="1:19" s="26" customFormat="1">
      <c r="A78" s="82">
        <v>77</v>
      </c>
      <c r="B78" s="3" t="s">
        <v>122</v>
      </c>
      <c r="C78" s="19" t="s">
        <v>49</v>
      </c>
      <c r="D78" s="19" t="s">
        <v>445</v>
      </c>
      <c r="E78" s="19" t="s">
        <v>2</v>
      </c>
      <c r="F78" s="73" t="s">
        <v>128</v>
      </c>
      <c r="G78" s="19">
        <v>122</v>
      </c>
      <c r="H78" s="19">
        <v>685</v>
      </c>
      <c r="I78" s="27">
        <v>44392</v>
      </c>
      <c r="J78" s="27">
        <v>44582</v>
      </c>
      <c r="K78" s="28">
        <v>3772590</v>
      </c>
      <c r="L78" s="28">
        <v>5619</v>
      </c>
      <c r="M78" s="28" t="s">
        <v>30</v>
      </c>
      <c r="N78" s="28" t="s">
        <v>113</v>
      </c>
      <c r="O78" s="19">
        <v>20</v>
      </c>
      <c r="P78" s="21">
        <v>5</v>
      </c>
      <c r="Q78" s="19">
        <v>6</v>
      </c>
      <c r="R78" s="50">
        <f t="shared" si="11"/>
        <v>0.25</v>
      </c>
      <c r="S78" s="30">
        <f t="shared" si="12"/>
        <v>0.3</v>
      </c>
    </row>
    <row r="79" spans="1:19" s="26" customFormat="1">
      <c r="A79" s="82">
        <v>78</v>
      </c>
      <c r="B79" s="3" t="s">
        <v>122</v>
      </c>
      <c r="C79" s="19" t="s">
        <v>49</v>
      </c>
      <c r="D79" s="19" t="s">
        <v>453</v>
      </c>
      <c r="E79" s="19" t="s">
        <v>46</v>
      </c>
      <c r="F79" s="20" t="s">
        <v>129</v>
      </c>
      <c r="G79" s="19">
        <v>64</v>
      </c>
      <c r="H79" s="19">
        <v>380</v>
      </c>
      <c r="I79" s="27">
        <v>44385</v>
      </c>
      <c r="J79" s="27">
        <v>44477</v>
      </c>
      <c r="K79" s="28">
        <v>2306560</v>
      </c>
      <c r="L79" s="28">
        <v>6288</v>
      </c>
      <c r="M79" s="28" t="s">
        <v>72</v>
      </c>
      <c r="N79" s="28" t="s">
        <v>69</v>
      </c>
      <c r="O79" s="19">
        <v>21</v>
      </c>
      <c r="P79" s="21">
        <v>14</v>
      </c>
      <c r="Q79" s="19">
        <v>14</v>
      </c>
      <c r="R79" s="50">
        <f t="shared" si="11"/>
        <v>0.66666666666666663</v>
      </c>
      <c r="S79" s="30">
        <f t="shared" si="12"/>
        <v>0.66666666666666663</v>
      </c>
    </row>
    <row r="80" spans="1:19" s="26" customFormat="1">
      <c r="A80" s="82">
        <v>79</v>
      </c>
      <c r="B80" s="3" t="s">
        <v>122</v>
      </c>
      <c r="C80" s="19" t="s">
        <v>49</v>
      </c>
      <c r="D80" s="19" t="s">
        <v>453</v>
      </c>
      <c r="E80" s="19" t="s">
        <v>2</v>
      </c>
      <c r="F80" s="20" t="s">
        <v>130</v>
      </c>
      <c r="G80" s="19">
        <v>132</v>
      </c>
      <c r="H80" s="19">
        <v>735</v>
      </c>
      <c r="I80" s="27">
        <v>44391</v>
      </c>
      <c r="J80" s="27">
        <v>44579</v>
      </c>
      <c r="K80" s="28">
        <v>4053540</v>
      </c>
      <c r="L80" s="28">
        <v>5619</v>
      </c>
      <c r="M80" s="28" t="s">
        <v>72</v>
      </c>
      <c r="N80" s="28" t="s">
        <v>114</v>
      </c>
      <c r="O80" s="19">
        <v>21</v>
      </c>
      <c r="P80" s="21">
        <v>10</v>
      </c>
      <c r="Q80" s="19">
        <v>10</v>
      </c>
      <c r="R80" s="50">
        <f t="shared" si="11"/>
        <v>0.47619047619047616</v>
      </c>
      <c r="S80" s="30">
        <f t="shared" si="12"/>
        <v>0.47619047619047616</v>
      </c>
    </row>
    <row r="81" spans="1:19" s="419" customFormat="1" ht="16.5" customHeight="1">
      <c r="A81" s="223">
        <v>80</v>
      </c>
      <c r="B81" s="223" t="s">
        <v>215</v>
      </c>
      <c r="C81" s="275" t="s">
        <v>173</v>
      </c>
      <c r="D81" s="275" t="s">
        <v>200</v>
      </c>
      <c r="E81" s="275" t="s">
        <v>202</v>
      </c>
      <c r="F81" s="859" t="s">
        <v>214</v>
      </c>
      <c r="G81" s="275">
        <v>33</v>
      </c>
      <c r="H81" s="275">
        <v>130</v>
      </c>
      <c r="I81" s="860">
        <v>44392</v>
      </c>
      <c r="J81" s="860">
        <v>44439</v>
      </c>
      <c r="K81" s="301">
        <v>1026380</v>
      </c>
      <c r="L81" s="301">
        <v>7126</v>
      </c>
      <c r="M81" s="301"/>
      <c r="N81" s="301"/>
      <c r="O81" s="862">
        <v>20</v>
      </c>
      <c r="P81" s="863">
        <v>5</v>
      </c>
      <c r="Q81" s="275">
        <v>5</v>
      </c>
      <c r="R81" s="893">
        <f t="shared" si="11"/>
        <v>0.25</v>
      </c>
      <c r="S81" s="894">
        <f t="shared" si="12"/>
        <v>0.25</v>
      </c>
    </row>
    <row r="82" spans="1:19" s="419" customFormat="1" ht="16.5" customHeight="1" thickBot="1">
      <c r="A82" s="223">
        <v>81</v>
      </c>
      <c r="B82" s="878" t="s">
        <v>122</v>
      </c>
      <c r="C82" s="407" t="s">
        <v>199</v>
      </c>
      <c r="D82" s="407" t="s">
        <v>216</v>
      </c>
      <c r="E82" s="407" t="s">
        <v>46</v>
      </c>
      <c r="F82" s="859" t="s">
        <v>195</v>
      </c>
      <c r="G82" s="407">
        <v>33</v>
      </c>
      <c r="H82" s="407">
        <v>135</v>
      </c>
      <c r="I82" s="860">
        <v>44389</v>
      </c>
      <c r="J82" s="860">
        <v>44440</v>
      </c>
      <c r="K82" s="881">
        <v>977630</v>
      </c>
      <c r="L82" s="881">
        <v>6501</v>
      </c>
      <c r="M82" s="881"/>
      <c r="N82" s="881"/>
      <c r="O82" s="862">
        <v>20</v>
      </c>
      <c r="P82" s="863">
        <v>4</v>
      </c>
      <c r="Q82" s="407">
        <v>4</v>
      </c>
      <c r="R82" s="895">
        <f t="shared" ref="R82" si="13">P82/O82</f>
        <v>0.2</v>
      </c>
      <c r="S82" s="883">
        <f t="shared" si="12"/>
        <v>0.2</v>
      </c>
    </row>
    <row r="83" spans="1:19" s="75" customFormat="1">
      <c r="A83" s="159">
        <v>82</v>
      </c>
      <c r="B83" s="200" t="s">
        <v>123</v>
      </c>
      <c r="C83" s="119" t="s">
        <v>7</v>
      </c>
      <c r="D83" s="119" t="s">
        <v>447</v>
      </c>
      <c r="E83" s="119" t="s">
        <v>2</v>
      </c>
      <c r="F83" s="152" t="s">
        <v>163</v>
      </c>
      <c r="G83" s="119">
        <v>75</v>
      </c>
      <c r="H83" s="119">
        <v>600</v>
      </c>
      <c r="I83" s="121">
        <v>44424</v>
      </c>
      <c r="J83" s="121">
        <v>44531</v>
      </c>
      <c r="K83" s="122">
        <v>3927000</v>
      </c>
      <c r="L83" s="122">
        <v>6545</v>
      </c>
      <c r="M83" s="122" t="s">
        <v>58</v>
      </c>
      <c r="N83" s="122" t="s">
        <v>4</v>
      </c>
      <c r="O83" s="119">
        <v>20</v>
      </c>
      <c r="P83" s="124">
        <v>20</v>
      </c>
      <c r="Q83" s="119">
        <v>20</v>
      </c>
      <c r="R83" s="125">
        <f t="shared" si="11"/>
        <v>1</v>
      </c>
      <c r="S83" s="145">
        <f t="shared" si="12"/>
        <v>1</v>
      </c>
    </row>
    <row r="84" spans="1:19" s="75" customFormat="1">
      <c r="A84" s="159">
        <v>83</v>
      </c>
      <c r="B84" s="199" t="s">
        <v>123</v>
      </c>
      <c r="C84" s="127" t="s">
        <v>7</v>
      </c>
      <c r="D84" s="127" t="s">
        <v>447</v>
      </c>
      <c r="E84" s="127" t="s">
        <v>46</v>
      </c>
      <c r="F84" s="148" t="s">
        <v>142</v>
      </c>
      <c r="G84" s="127">
        <v>75</v>
      </c>
      <c r="H84" s="127">
        <v>300</v>
      </c>
      <c r="I84" s="129">
        <v>44424</v>
      </c>
      <c r="J84" s="129">
        <v>44531</v>
      </c>
      <c r="K84" s="130">
        <v>1869300</v>
      </c>
      <c r="L84" s="130">
        <v>6231</v>
      </c>
      <c r="M84" s="130" t="s">
        <v>28</v>
      </c>
      <c r="N84" s="130" t="s">
        <v>54</v>
      </c>
      <c r="O84" s="127">
        <v>20</v>
      </c>
      <c r="P84" s="118">
        <v>19</v>
      </c>
      <c r="Q84" s="127">
        <v>19</v>
      </c>
      <c r="R84" s="131">
        <f t="shared" si="11"/>
        <v>0.95</v>
      </c>
      <c r="S84" s="142">
        <f t="shared" si="12"/>
        <v>0.95</v>
      </c>
    </row>
    <row r="85" spans="1:19" s="75" customFormat="1">
      <c r="A85" s="159">
        <v>84</v>
      </c>
      <c r="B85" s="199" t="s">
        <v>123</v>
      </c>
      <c r="C85" s="118" t="s">
        <v>3</v>
      </c>
      <c r="D85" s="118" t="s">
        <v>445</v>
      </c>
      <c r="E85" s="118" t="s">
        <v>2</v>
      </c>
      <c r="F85" s="153" t="s">
        <v>164</v>
      </c>
      <c r="G85" s="118">
        <v>106</v>
      </c>
      <c r="H85" s="118">
        <v>844</v>
      </c>
      <c r="I85" s="150">
        <v>44418</v>
      </c>
      <c r="J85" s="150">
        <v>44568</v>
      </c>
      <c r="K85" s="130">
        <v>5560270</v>
      </c>
      <c r="L85" s="130">
        <f t="shared" ref="L85:L89" si="14">K85/H85</f>
        <v>6587.9976303317535</v>
      </c>
      <c r="M85" s="118" t="s">
        <v>33</v>
      </c>
      <c r="N85" s="118" t="s">
        <v>4</v>
      </c>
      <c r="O85" s="118">
        <v>35</v>
      </c>
      <c r="P85" s="118">
        <v>32</v>
      </c>
      <c r="Q85" s="118">
        <v>32</v>
      </c>
      <c r="R85" s="154">
        <f t="shared" si="11"/>
        <v>0.91428571428571426</v>
      </c>
      <c r="S85" s="142">
        <f t="shared" si="12"/>
        <v>0.91428571428571426</v>
      </c>
    </row>
    <row r="86" spans="1:19" s="75" customFormat="1">
      <c r="A86" s="159">
        <v>85</v>
      </c>
      <c r="B86" s="199" t="s">
        <v>123</v>
      </c>
      <c r="C86" s="118" t="s">
        <v>3</v>
      </c>
      <c r="D86" s="118" t="s">
        <v>445</v>
      </c>
      <c r="E86" s="118" t="s">
        <v>2</v>
      </c>
      <c r="F86" s="155" t="s">
        <v>165</v>
      </c>
      <c r="G86" s="118">
        <v>89</v>
      </c>
      <c r="H86" s="118">
        <v>712</v>
      </c>
      <c r="I86" s="150">
        <v>44432</v>
      </c>
      <c r="J86" s="150">
        <v>44559</v>
      </c>
      <c r="K86" s="130">
        <v>4680680</v>
      </c>
      <c r="L86" s="130">
        <f t="shared" si="14"/>
        <v>6573.9887640449442</v>
      </c>
      <c r="M86" s="118" t="s">
        <v>56</v>
      </c>
      <c r="N86" s="118" t="s">
        <v>4</v>
      </c>
      <c r="O86" s="118">
        <v>21</v>
      </c>
      <c r="P86" s="118">
        <v>19</v>
      </c>
      <c r="Q86" s="118">
        <v>19</v>
      </c>
      <c r="R86" s="154">
        <f t="shared" si="11"/>
        <v>0.90476190476190477</v>
      </c>
      <c r="S86" s="142">
        <f t="shared" si="12"/>
        <v>0.90476190476190477</v>
      </c>
    </row>
    <row r="87" spans="1:19" s="75" customFormat="1">
      <c r="A87" s="159">
        <v>86</v>
      </c>
      <c r="B87" s="199" t="s">
        <v>123</v>
      </c>
      <c r="C87" s="118" t="s">
        <v>3</v>
      </c>
      <c r="D87" s="118" t="s">
        <v>453</v>
      </c>
      <c r="E87" s="118" t="s">
        <v>2</v>
      </c>
      <c r="F87" s="155" t="s">
        <v>166</v>
      </c>
      <c r="G87" s="118">
        <v>105</v>
      </c>
      <c r="H87" s="118">
        <v>840</v>
      </c>
      <c r="I87" s="150">
        <v>44431</v>
      </c>
      <c r="J87" s="150">
        <v>44582</v>
      </c>
      <c r="K87" s="130">
        <v>5533920</v>
      </c>
      <c r="L87" s="130">
        <f t="shared" si="14"/>
        <v>6588</v>
      </c>
      <c r="M87" s="118" t="s">
        <v>0</v>
      </c>
      <c r="N87" s="118" t="s">
        <v>4</v>
      </c>
      <c r="O87" s="118">
        <v>22</v>
      </c>
      <c r="P87" s="118">
        <v>15</v>
      </c>
      <c r="Q87" s="118">
        <v>15</v>
      </c>
      <c r="R87" s="154">
        <f t="shared" si="11"/>
        <v>0.68181818181818177</v>
      </c>
      <c r="S87" s="142">
        <f t="shared" si="12"/>
        <v>0.68181818181818177</v>
      </c>
    </row>
    <row r="88" spans="1:19" s="75" customFormat="1">
      <c r="A88" s="159">
        <v>87</v>
      </c>
      <c r="B88" s="199" t="s">
        <v>123</v>
      </c>
      <c r="C88" s="118" t="s">
        <v>3</v>
      </c>
      <c r="D88" s="118" t="s">
        <v>453</v>
      </c>
      <c r="E88" s="118" t="s">
        <v>2</v>
      </c>
      <c r="F88" s="156" t="s">
        <v>167</v>
      </c>
      <c r="G88" s="118">
        <v>102</v>
      </c>
      <c r="H88" s="118">
        <v>902</v>
      </c>
      <c r="I88" s="150">
        <v>44433</v>
      </c>
      <c r="J88" s="150">
        <v>44581</v>
      </c>
      <c r="K88" s="130">
        <v>5759480</v>
      </c>
      <c r="L88" s="130">
        <f t="shared" si="14"/>
        <v>6385.2328159645231</v>
      </c>
      <c r="M88" s="118" t="s">
        <v>56</v>
      </c>
      <c r="N88" s="118" t="s">
        <v>4</v>
      </c>
      <c r="O88" s="118">
        <v>30</v>
      </c>
      <c r="P88" s="118">
        <v>21</v>
      </c>
      <c r="Q88" s="118">
        <v>22</v>
      </c>
      <c r="R88" s="154">
        <f t="shared" si="11"/>
        <v>0.7</v>
      </c>
      <c r="S88" s="142">
        <f t="shared" si="12"/>
        <v>0.73333333333333328</v>
      </c>
    </row>
    <row r="89" spans="1:19" s="75" customFormat="1">
      <c r="A89" s="159">
        <v>88</v>
      </c>
      <c r="B89" s="199" t="s">
        <v>123</v>
      </c>
      <c r="C89" s="127" t="s">
        <v>49</v>
      </c>
      <c r="D89" s="127" t="s">
        <v>445</v>
      </c>
      <c r="E89" s="127" t="s">
        <v>46</v>
      </c>
      <c r="F89" s="157" t="s">
        <v>168</v>
      </c>
      <c r="G89" s="127">
        <v>76</v>
      </c>
      <c r="H89" s="127">
        <v>380</v>
      </c>
      <c r="I89" s="129">
        <v>44438</v>
      </c>
      <c r="J89" s="129">
        <v>44546</v>
      </c>
      <c r="K89" s="130">
        <v>2367780</v>
      </c>
      <c r="L89" s="134">
        <f t="shared" si="14"/>
        <v>6231</v>
      </c>
      <c r="M89" s="130" t="s">
        <v>28</v>
      </c>
      <c r="N89" s="130" t="s">
        <v>1</v>
      </c>
      <c r="O89" s="127">
        <v>20</v>
      </c>
      <c r="P89" s="118">
        <v>20</v>
      </c>
      <c r="Q89" s="127">
        <v>26</v>
      </c>
      <c r="R89" s="154">
        <f t="shared" si="11"/>
        <v>1</v>
      </c>
      <c r="S89" s="142">
        <f t="shared" si="12"/>
        <v>1.3</v>
      </c>
    </row>
    <row r="90" spans="1:19" s="75" customFormat="1" ht="16.5" customHeight="1">
      <c r="A90" s="159">
        <v>89</v>
      </c>
      <c r="B90" s="199" t="s">
        <v>123</v>
      </c>
      <c r="C90" s="127" t="s">
        <v>48</v>
      </c>
      <c r="D90" s="127" t="s">
        <v>453</v>
      </c>
      <c r="E90" s="127" t="s">
        <v>46</v>
      </c>
      <c r="F90" s="148" t="s">
        <v>169</v>
      </c>
      <c r="G90" s="127">
        <v>60</v>
      </c>
      <c r="H90" s="127">
        <v>300</v>
      </c>
      <c r="I90" s="129">
        <v>44419</v>
      </c>
      <c r="J90" s="129">
        <v>44510</v>
      </c>
      <c r="K90" s="130">
        <v>1869300</v>
      </c>
      <c r="L90" s="130">
        <v>6231</v>
      </c>
      <c r="M90" s="130" t="s">
        <v>72</v>
      </c>
      <c r="N90" s="130" t="s">
        <v>59</v>
      </c>
      <c r="O90" s="127">
        <v>21</v>
      </c>
      <c r="P90" s="118">
        <v>19</v>
      </c>
      <c r="Q90" s="127">
        <v>22</v>
      </c>
      <c r="R90" s="154">
        <f t="shared" si="11"/>
        <v>0.90476190476190477</v>
      </c>
      <c r="S90" s="142">
        <f t="shared" si="12"/>
        <v>1.0476190476190477</v>
      </c>
    </row>
    <row r="91" spans="1:19" s="75" customFormat="1">
      <c r="A91" s="159">
        <v>90</v>
      </c>
      <c r="B91" s="199" t="s">
        <v>123</v>
      </c>
      <c r="C91" s="127" t="s">
        <v>50</v>
      </c>
      <c r="D91" s="127" t="s">
        <v>447</v>
      </c>
      <c r="E91" s="127" t="s">
        <v>46</v>
      </c>
      <c r="F91" s="148" t="s">
        <v>82</v>
      </c>
      <c r="G91" s="127">
        <v>60</v>
      </c>
      <c r="H91" s="127">
        <v>300</v>
      </c>
      <c r="I91" s="129">
        <v>44428</v>
      </c>
      <c r="J91" s="129">
        <v>44510</v>
      </c>
      <c r="K91" s="130">
        <v>1681680</v>
      </c>
      <c r="L91" s="158">
        <f>K91/H91</f>
        <v>5605.6</v>
      </c>
      <c r="M91" s="130" t="s">
        <v>38</v>
      </c>
      <c r="N91" s="130" t="s">
        <v>39</v>
      </c>
      <c r="O91" s="127">
        <v>10</v>
      </c>
      <c r="P91" s="118">
        <v>10</v>
      </c>
      <c r="Q91" s="127">
        <v>13</v>
      </c>
      <c r="R91" s="154">
        <f t="shared" si="11"/>
        <v>1</v>
      </c>
      <c r="S91" s="142">
        <f t="shared" si="12"/>
        <v>1.3</v>
      </c>
    </row>
    <row r="92" spans="1:19" s="75" customFormat="1" ht="16.5" customHeight="1">
      <c r="A92" s="159">
        <v>91</v>
      </c>
      <c r="B92" s="199" t="s">
        <v>123</v>
      </c>
      <c r="C92" s="127" t="s">
        <v>50</v>
      </c>
      <c r="D92" s="127" t="s">
        <v>447</v>
      </c>
      <c r="E92" s="127" t="s">
        <v>46</v>
      </c>
      <c r="F92" s="148" t="s">
        <v>79</v>
      </c>
      <c r="G92" s="127">
        <v>60</v>
      </c>
      <c r="H92" s="127">
        <v>300</v>
      </c>
      <c r="I92" s="129">
        <v>44431</v>
      </c>
      <c r="J92" s="129">
        <v>44538</v>
      </c>
      <c r="K92" s="130">
        <v>1940400</v>
      </c>
      <c r="L92" s="134">
        <f t="shared" ref="L92:L93" si="15">K92/H92</f>
        <v>6468</v>
      </c>
      <c r="M92" s="130" t="s">
        <v>38</v>
      </c>
      <c r="N92" s="130" t="s">
        <v>39</v>
      </c>
      <c r="O92" s="127">
        <v>14</v>
      </c>
      <c r="P92" s="118">
        <v>12</v>
      </c>
      <c r="Q92" s="127">
        <v>17</v>
      </c>
      <c r="R92" s="154">
        <f t="shared" si="11"/>
        <v>0.8571428571428571</v>
      </c>
      <c r="S92" s="142">
        <f t="shared" si="12"/>
        <v>1.2142857142857142</v>
      </c>
    </row>
    <row r="93" spans="1:19" s="75" customFormat="1" ht="16.5" customHeight="1">
      <c r="A93" s="159">
        <v>92</v>
      </c>
      <c r="B93" s="199" t="s">
        <v>123</v>
      </c>
      <c r="C93" s="127" t="s">
        <v>50</v>
      </c>
      <c r="D93" s="127" t="s">
        <v>447</v>
      </c>
      <c r="E93" s="127" t="s">
        <v>46</v>
      </c>
      <c r="F93" s="148" t="s">
        <v>40</v>
      </c>
      <c r="G93" s="127">
        <v>60</v>
      </c>
      <c r="H93" s="127">
        <v>320</v>
      </c>
      <c r="I93" s="129">
        <v>44433</v>
      </c>
      <c r="J93" s="129">
        <v>44510</v>
      </c>
      <c r="K93" s="130">
        <v>2069760</v>
      </c>
      <c r="L93" s="134">
        <f t="shared" si="15"/>
        <v>6468</v>
      </c>
      <c r="M93" s="130" t="s">
        <v>81</v>
      </c>
      <c r="N93" s="130" t="s">
        <v>39</v>
      </c>
      <c r="O93" s="127">
        <v>13</v>
      </c>
      <c r="P93" s="118">
        <v>13</v>
      </c>
      <c r="Q93" s="127">
        <v>20</v>
      </c>
      <c r="R93" s="154">
        <f t="shared" si="11"/>
        <v>1</v>
      </c>
      <c r="S93" s="142">
        <f t="shared" si="12"/>
        <v>1.5384615384615385</v>
      </c>
    </row>
    <row r="94" spans="1:19" s="305" customFormat="1" ht="16.5" customHeight="1" thickBot="1">
      <c r="A94" s="846">
        <v>93</v>
      </c>
      <c r="B94" s="896" t="s">
        <v>218</v>
      </c>
      <c r="C94" s="850" t="s">
        <v>199</v>
      </c>
      <c r="D94" s="850" t="s">
        <v>200</v>
      </c>
      <c r="E94" s="850" t="s">
        <v>202</v>
      </c>
      <c r="F94" s="897" t="s">
        <v>217</v>
      </c>
      <c r="G94" s="850"/>
      <c r="H94" s="850"/>
      <c r="I94" s="898">
        <v>44410</v>
      </c>
      <c r="J94" s="898">
        <v>44455</v>
      </c>
      <c r="K94" s="855">
        <v>977630</v>
      </c>
      <c r="L94" s="854"/>
      <c r="M94" s="855"/>
      <c r="N94" s="855"/>
      <c r="O94" s="850">
        <v>20</v>
      </c>
      <c r="P94" s="856">
        <v>11</v>
      </c>
      <c r="Q94" s="850">
        <v>11</v>
      </c>
      <c r="R94" s="899">
        <f t="shared" si="11"/>
        <v>0.55000000000000004</v>
      </c>
      <c r="S94" s="877">
        <f t="shared" si="12"/>
        <v>0.55000000000000004</v>
      </c>
    </row>
    <row r="95" spans="1:19" s="26" customFormat="1">
      <c r="A95" s="82">
        <v>94</v>
      </c>
      <c r="B95" s="116" t="s">
        <v>182</v>
      </c>
      <c r="C95" s="23" t="s">
        <v>7</v>
      </c>
      <c r="D95" s="23" t="s">
        <v>450</v>
      </c>
      <c r="E95" s="23" t="s">
        <v>46</v>
      </c>
      <c r="F95" s="74" t="s">
        <v>57</v>
      </c>
      <c r="G95" s="23">
        <v>80</v>
      </c>
      <c r="H95" s="23">
        <v>320</v>
      </c>
      <c r="I95" s="36">
        <v>44452</v>
      </c>
      <c r="J95" s="36">
        <v>44544</v>
      </c>
      <c r="K95" s="37">
        <v>2012160</v>
      </c>
      <c r="L95" s="37">
        <v>6288</v>
      </c>
      <c r="M95" s="37" t="s">
        <v>72</v>
      </c>
      <c r="N95" s="37" t="s">
        <v>34</v>
      </c>
      <c r="O95" s="23">
        <v>20</v>
      </c>
      <c r="P95" s="38">
        <v>8</v>
      </c>
      <c r="Q95" s="23">
        <v>9</v>
      </c>
      <c r="R95" s="78">
        <f t="shared" si="11"/>
        <v>0.4</v>
      </c>
      <c r="S95" s="69">
        <f t="shared" si="12"/>
        <v>0.45</v>
      </c>
    </row>
    <row r="96" spans="1:19" s="26" customFormat="1">
      <c r="A96" s="82">
        <v>95</v>
      </c>
      <c r="B96" s="3" t="s">
        <v>182</v>
      </c>
      <c r="C96" s="19" t="s">
        <v>47</v>
      </c>
      <c r="D96" s="19" t="s">
        <v>453</v>
      </c>
      <c r="E96" s="19" t="s">
        <v>2</v>
      </c>
      <c r="F96" s="25" t="s">
        <v>221</v>
      </c>
      <c r="G96" s="19">
        <v>174</v>
      </c>
      <c r="H96" s="19">
        <v>870</v>
      </c>
      <c r="I96" s="27">
        <v>44440</v>
      </c>
      <c r="J96" s="27">
        <v>44694</v>
      </c>
      <c r="K96" s="28">
        <v>5420970</v>
      </c>
      <c r="L96" s="28">
        <f t="shared" ref="L96:L97" si="16">K96/H96</f>
        <v>6231</v>
      </c>
      <c r="M96" s="28" t="s">
        <v>30</v>
      </c>
      <c r="N96" s="28" t="s">
        <v>170</v>
      </c>
      <c r="O96" s="19">
        <v>25</v>
      </c>
      <c r="P96" s="21">
        <v>20</v>
      </c>
      <c r="Q96" s="19">
        <v>21</v>
      </c>
      <c r="R96" s="29">
        <f t="shared" si="11"/>
        <v>0.8</v>
      </c>
      <c r="S96" s="30">
        <f t="shared" si="12"/>
        <v>0.84</v>
      </c>
    </row>
    <row r="97" spans="1:20" s="26" customFormat="1">
      <c r="A97" s="82">
        <v>96</v>
      </c>
      <c r="B97" s="3" t="s">
        <v>182</v>
      </c>
      <c r="C97" s="21" t="s">
        <v>3</v>
      </c>
      <c r="D97" s="21" t="s">
        <v>453</v>
      </c>
      <c r="E97" s="21" t="s">
        <v>2</v>
      </c>
      <c r="F97" s="79" t="s">
        <v>219</v>
      </c>
      <c r="G97" s="21">
        <v>100</v>
      </c>
      <c r="H97" s="21">
        <v>800</v>
      </c>
      <c r="I97" s="32">
        <v>44455</v>
      </c>
      <c r="J97" s="32">
        <v>44603</v>
      </c>
      <c r="K97" s="28">
        <v>5270400</v>
      </c>
      <c r="L97" s="28">
        <f t="shared" si="16"/>
        <v>6588</v>
      </c>
      <c r="M97" s="21" t="s">
        <v>58</v>
      </c>
      <c r="N97" s="21" t="s">
        <v>4</v>
      </c>
      <c r="O97" s="21">
        <v>30</v>
      </c>
      <c r="P97" s="21">
        <v>14</v>
      </c>
      <c r="Q97" s="21">
        <v>17</v>
      </c>
      <c r="R97" s="29">
        <f t="shared" si="11"/>
        <v>0.46666666666666667</v>
      </c>
      <c r="S97" s="30">
        <f t="shared" si="12"/>
        <v>0.56666666666666665</v>
      </c>
    </row>
    <row r="98" spans="1:20" s="26" customFormat="1">
      <c r="A98" s="82">
        <v>97</v>
      </c>
      <c r="B98" s="3" t="s">
        <v>182</v>
      </c>
      <c r="C98" s="19" t="s">
        <v>48</v>
      </c>
      <c r="D98" s="19" t="s">
        <v>445</v>
      </c>
      <c r="E98" s="19" t="s">
        <v>2</v>
      </c>
      <c r="F98" s="55" t="s">
        <v>171</v>
      </c>
      <c r="G98" s="19">
        <v>134</v>
      </c>
      <c r="H98" s="19">
        <v>675</v>
      </c>
      <c r="I98" s="27">
        <v>44453</v>
      </c>
      <c r="J98" s="27">
        <v>44650</v>
      </c>
      <c r="K98" s="28">
        <v>3792820</v>
      </c>
      <c r="L98" s="52">
        <v>5619</v>
      </c>
      <c r="M98" s="28" t="s">
        <v>0</v>
      </c>
      <c r="N98" s="28" t="s">
        <v>172</v>
      </c>
      <c r="O98" s="19">
        <v>20</v>
      </c>
      <c r="P98" s="21">
        <v>12</v>
      </c>
      <c r="Q98" s="19">
        <v>16</v>
      </c>
      <c r="R98" s="29">
        <f t="shared" si="11"/>
        <v>0.6</v>
      </c>
      <c r="S98" s="30">
        <f t="shared" si="12"/>
        <v>0.8</v>
      </c>
    </row>
    <row r="99" spans="1:20" s="14" customFormat="1">
      <c r="A99" s="223">
        <v>98</v>
      </c>
      <c r="B99" s="900" t="s">
        <v>182</v>
      </c>
      <c r="C99" s="275" t="s">
        <v>173</v>
      </c>
      <c r="D99" s="275" t="s">
        <v>445</v>
      </c>
      <c r="E99" s="275" t="s">
        <v>46</v>
      </c>
      <c r="F99" s="344" t="s">
        <v>174</v>
      </c>
      <c r="G99" s="275">
        <v>44</v>
      </c>
      <c r="H99" s="275">
        <v>130</v>
      </c>
      <c r="I99" s="300">
        <v>44445</v>
      </c>
      <c r="J99" s="300">
        <v>44509</v>
      </c>
      <c r="K99" s="301">
        <v>1026380</v>
      </c>
      <c r="L99" s="861">
        <v>7126</v>
      </c>
      <c r="M99" s="301" t="s">
        <v>175</v>
      </c>
      <c r="N99" s="301" t="s">
        <v>176</v>
      </c>
      <c r="O99" s="275">
        <v>20</v>
      </c>
      <c r="P99" s="223">
        <v>12</v>
      </c>
      <c r="Q99" s="275">
        <v>12</v>
      </c>
      <c r="R99" s="901">
        <f t="shared" si="11"/>
        <v>0.6</v>
      </c>
      <c r="S99" s="894">
        <f t="shared" si="12"/>
        <v>0.6</v>
      </c>
    </row>
    <row r="100" spans="1:20" s="26" customFormat="1">
      <c r="A100" s="82">
        <v>99</v>
      </c>
      <c r="B100" s="3" t="s">
        <v>182</v>
      </c>
      <c r="C100" s="19" t="s">
        <v>47</v>
      </c>
      <c r="D100" s="19" t="s">
        <v>450</v>
      </c>
      <c r="E100" s="19" t="s">
        <v>46</v>
      </c>
      <c r="F100" s="25" t="s">
        <v>222</v>
      </c>
      <c r="G100" s="19">
        <v>72</v>
      </c>
      <c r="H100" s="19">
        <v>360</v>
      </c>
      <c r="I100" s="27">
        <v>44466</v>
      </c>
      <c r="J100" s="27">
        <v>44565</v>
      </c>
      <c r="K100" s="28">
        <v>2243160</v>
      </c>
      <c r="L100" s="28">
        <f t="shared" ref="L100:L105" si="17">K100/H100</f>
        <v>6231</v>
      </c>
      <c r="M100" s="28" t="s">
        <v>105</v>
      </c>
      <c r="N100" s="28" t="s">
        <v>69</v>
      </c>
      <c r="O100" s="19">
        <v>20</v>
      </c>
      <c r="P100" s="21">
        <v>11</v>
      </c>
      <c r="Q100" s="19">
        <v>12</v>
      </c>
      <c r="R100" s="29">
        <f t="shared" si="11"/>
        <v>0.55000000000000004</v>
      </c>
      <c r="S100" s="30">
        <f t="shared" si="12"/>
        <v>0.6</v>
      </c>
    </row>
    <row r="101" spans="1:20" s="26" customFormat="1">
      <c r="A101" s="82">
        <v>100</v>
      </c>
      <c r="B101" s="3" t="s">
        <v>182</v>
      </c>
      <c r="C101" s="21" t="s">
        <v>3</v>
      </c>
      <c r="D101" s="21" t="s">
        <v>445</v>
      </c>
      <c r="E101" s="21" t="s">
        <v>2</v>
      </c>
      <c r="F101" s="31" t="s">
        <v>223</v>
      </c>
      <c r="G101" s="21">
        <v>92</v>
      </c>
      <c r="H101" s="21">
        <v>736</v>
      </c>
      <c r="I101" s="32">
        <v>44469</v>
      </c>
      <c r="J101" s="32">
        <v>44601</v>
      </c>
      <c r="K101" s="28">
        <v>4680680</v>
      </c>
      <c r="L101" s="28">
        <f t="shared" si="17"/>
        <v>6359.619565217391</v>
      </c>
      <c r="M101" s="21" t="s">
        <v>177</v>
      </c>
      <c r="N101" s="21" t="s">
        <v>4</v>
      </c>
      <c r="O101" s="21">
        <v>35</v>
      </c>
      <c r="P101" s="21">
        <v>31</v>
      </c>
      <c r="Q101" s="21">
        <v>31</v>
      </c>
      <c r="R101" s="29">
        <f t="shared" si="11"/>
        <v>0.88571428571428568</v>
      </c>
      <c r="S101" s="30">
        <f t="shared" si="12"/>
        <v>0.88571428571428568</v>
      </c>
    </row>
    <row r="102" spans="1:20" s="26" customFormat="1">
      <c r="A102" s="82">
        <v>101</v>
      </c>
      <c r="B102" s="3" t="s">
        <v>182</v>
      </c>
      <c r="C102" s="21" t="s">
        <v>3</v>
      </c>
      <c r="D102" s="21" t="s">
        <v>447</v>
      </c>
      <c r="E102" s="21" t="s">
        <v>2</v>
      </c>
      <c r="F102" s="33" t="s">
        <v>178</v>
      </c>
      <c r="G102" s="21">
        <v>116</v>
      </c>
      <c r="H102" s="21">
        <v>902</v>
      </c>
      <c r="I102" s="32">
        <v>44467</v>
      </c>
      <c r="J102" s="32">
        <v>44634</v>
      </c>
      <c r="K102" s="28">
        <v>5759480</v>
      </c>
      <c r="L102" s="28">
        <f t="shared" si="17"/>
        <v>6385.2328159645231</v>
      </c>
      <c r="M102" s="21" t="s">
        <v>56</v>
      </c>
      <c r="N102" s="21" t="s">
        <v>112</v>
      </c>
      <c r="O102" s="21">
        <v>33</v>
      </c>
      <c r="P102" s="21">
        <v>32</v>
      </c>
      <c r="Q102" s="21">
        <v>33</v>
      </c>
      <c r="R102" s="29">
        <f t="shared" si="11"/>
        <v>0.96969696969696972</v>
      </c>
      <c r="S102" s="30">
        <f t="shared" si="12"/>
        <v>1</v>
      </c>
    </row>
    <row r="103" spans="1:20" s="34" customFormat="1">
      <c r="A103" s="82">
        <v>102</v>
      </c>
      <c r="B103" s="3" t="s">
        <v>182</v>
      </c>
      <c r="C103" s="19" t="s">
        <v>3</v>
      </c>
      <c r="D103" s="19" t="s">
        <v>455</v>
      </c>
      <c r="E103" s="19" t="s">
        <v>46</v>
      </c>
      <c r="F103" s="25" t="s">
        <v>184</v>
      </c>
      <c r="G103" s="19">
        <v>88</v>
      </c>
      <c r="H103" s="19">
        <v>350</v>
      </c>
      <c r="I103" s="27">
        <v>44440</v>
      </c>
      <c r="J103" s="27">
        <v>44560</v>
      </c>
      <c r="K103" s="28">
        <v>2305800</v>
      </c>
      <c r="L103" s="28">
        <f>K103/H103</f>
        <v>6588</v>
      </c>
      <c r="M103" s="28" t="s">
        <v>56</v>
      </c>
      <c r="N103" s="28" t="s">
        <v>54</v>
      </c>
      <c r="O103" s="19">
        <v>30</v>
      </c>
      <c r="P103" s="21">
        <v>13</v>
      </c>
      <c r="Q103" s="19">
        <v>13</v>
      </c>
      <c r="R103" s="29">
        <f>P103/O103</f>
        <v>0.43333333333333335</v>
      </c>
      <c r="S103" s="30">
        <f>Q103/O103</f>
        <v>0.43333333333333335</v>
      </c>
      <c r="T103" s="34">
        <v>4.5</v>
      </c>
    </row>
    <row r="104" spans="1:20" s="26" customFormat="1">
      <c r="A104" s="82">
        <v>103</v>
      </c>
      <c r="B104" s="3" t="s">
        <v>182</v>
      </c>
      <c r="C104" s="19" t="s">
        <v>3</v>
      </c>
      <c r="D104" s="19" t="s">
        <v>455</v>
      </c>
      <c r="E104" s="19" t="s">
        <v>46</v>
      </c>
      <c r="F104" s="25" t="s">
        <v>179</v>
      </c>
      <c r="G104" s="19">
        <v>70</v>
      </c>
      <c r="H104" s="19">
        <v>280</v>
      </c>
      <c r="I104" s="27">
        <v>44467</v>
      </c>
      <c r="J104" s="27">
        <v>44566</v>
      </c>
      <c r="K104" s="28">
        <v>1844640</v>
      </c>
      <c r="L104" s="28">
        <f t="shared" si="17"/>
        <v>6588</v>
      </c>
      <c r="M104" s="28" t="s">
        <v>30</v>
      </c>
      <c r="N104" s="28" t="s">
        <v>34</v>
      </c>
      <c r="O104" s="19">
        <v>30</v>
      </c>
      <c r="P104" s="21">
        <v>15</v>
      </c>
      <c r="Q104" s="19">
        <v>15</v>
      </c>
      <c r="R104" s="29">
        <f t="shared" si="11"/>
        <v>0.5</v>
      </c>
      <c r="S104" s="30">
        <f t="shared" si="12"/>
        <v>0.5</v>
      </c>
      <c r="T104" s="26">
        <v>4.9000000000000004</v>
      </c>
    </row>
    <row r="105" spans="1:20" s="26" customFormat="1">
      <c r="A105" s="82">
        <v>104</v>
      </c>
      <c r="B105" s="3" t="s">
        <v>182</v>
      </c>
      <c r="C105" s="19" t="s">
        <v>48</v>
      </c>
      <c r="D105" s="19" t="s">
        <v>445</v>
      </c>
      <c r="E105" s="19" t="s">
        <v>46</v>
      </c>
      <c r="F105" s="55" t="s">
        <v>224</v>
      </c>
      <c r="G105" s="19">
        <v>120</v>
      </c>
      <c r="H105" s="19">
        <v>600</v>
      </c>
      <c r="I105" s="27">
        <v>44469</v>
      </c>
      <c r="J105" s="27">
        <v>44644</v>
      </c>
      <c r="K105" s="28">
        <v>3927000</v>
      </c>
      <c r="L105" s="52">
        <f t="shared" si="17"/>
        <v>6545</v>
      </c>
      <c r="M105" s="28" t="s">
        <v>5</v>
      </c>
      <c r="N105" s="28" t="s">
        <v>113</v>
      </c>
      <c r="O105" s="19">
        <v>20</v>
      </c>
      <c r="P105" s="21">
        <v>8</v>
      </c>
      <c r="Q105" s="19">
        <v>11</v>
      </c>
      <c r="R105" s="29">
        <f>P105/O105</f>
        <v>0.4</v>
      </c>
      <c r="S105" s="30">
        <f t="shared" si="12"/>
        <v>0.55000000000000004</v>
      </c>
    </row>
    <row r="106" spans="1:20" s="26" customFormat="1">
      <c r="A106" s="82">
        <v>105</v>
      </c>
      <c r="B106" s="3" t="s">
        <v>182</v>
      </c>
      <c r="C106" s="19" t="s">
        <v>49</v>
      </c>
      <c r="D106" s="19" t="s">
        <v>453</v>
      </c>
      <c r="E106" s="19" t="s">
        <v>46</v>
      </c>
      <c r="F106" s="25" t="s">
        <v>169</v>
      </c>
      <c r="G106" s="19">
        <v>60</v>
      </c>
      <c r="H106" s="19">
        <v>300</v>
      </c>
      <c r="I106" s="27">
        <v>44466</v>
      </c>
      <c r="J106" s="27">
        <v>44551</v>
      </c>
      <c r="K106" s="28">
        <v>1869300</v>
      </c>
      <c r="L106" s="28">
        <v>6231</v>
      </c>
      <c r="M106" s="28" t="s">
        <v>72</v>
      </c>
      <c r="N106" s="28" t="s">
        <v>69</v>
      </c>
      <c r="O106" s="19">
        <v>21</v>
      </c>
      <c r="P106" s="21">
        <v>12</v>
      </c>
      <c r="Q106" s="19">
        <v>14</v>
      </c>
      <c r="R106" s="29">
        <f t="shared" si="11"/>
        <v>0.5714285714285714</v>
      </c>
      <c r="S106" s="30">
        <f t="shared" si="12"/>
        <v>0.66666666666666663</v>
      </c>
    </row>
    <row r="107" spans="1:20" s="26" customFormat="1" ht="17.25" thickBot="1">
      <c r="A107" s="82">
        <v>106</v>
      </c>
      <c r="B107" s="201" t="s">
        <v>182</v>
      </c>
      <c r="C107" s="24" t="s">
        <v>50</v>
      </c>
      <c r="D107" s="24" t="s">
        <v>451</v>
      </c>
      <c r="E107" s="24" t="s">
        <v>46</v>
      </c>
      <c r="F107" s="42" t="s">
        <v>180</v>
      </c>
      <c r="G107" s="24">
        <v>44</v>
      </c>
      <c r="H107" s="24">
        <v>220</v>
      </c>
      <c r="I107" s="43">
        <v>44466</v>
      </c>
      <c r="J107" s="43">
        <v>44573</v>
      </c>
      <c r="K107" s="44">
        <v>1422960</v>
      </c>
      <c r="L107" s="76">
        <f t="shared" ref="L107" si="18">K107/H107</f>
        <v>6468</v>
      </c>
      <c r="M107" s="44" t="s">
        <v>181</v>
      </c>
      <c r="N107" s="44" t="s">
        <v>39</v>
      </c>
      <c r="O107" s="24">
        <v>13</v>
      </c>
      <c r="P107" s="45">
        <v>9</v>
      </c>
      <c r="Q107" s="24">
        <v>9</v>
      </c>
      <c r="R107" s="46">
        <f t="shared" si="11"/>
        <v>0.69230769230769229</v>
      </c>
      <c r="S107" s="111">
        <f t="shared" si="12"/>
        <v>0.69230769230769229</v>
      </c>
    </row>
    <row r="108" spans="1:20">
      <c r="A108" s="82">
        <v>107</v>
      </c>
      <c r="B108" s="160" t="s">
        <v>255</v>
      </c>
      <c r="C108" s="161" t="s">
        <v>50</v>
      </c>
      <c r="D108" s="161" t="s">
        <v>225</v>
      </c>
      <c r="E108" s="161" t="s">
        <v>46</v>
      </c>
      <c r="F108" s="162" t="s">
        <v>256</v>
      </c>
      <c r="G108" s="161">
        <v>60</v>
      </c>
      <c r="H108" s="161">
        <v>320</v>
      </c>
      <c r="I108" s="163">
        <v>44476</v>
      </c>
      <c r="J108" s="163">
        <v>44566</v>
      </c>
      <c r="K108" s="164">
        <v>2069760</v>
      </c>
      <c r="L108" s="165">
        <f>K108/H108</f>
        <v>6468</v>
      </c>
      <c r="M108" s="164" t="s">
        <v>257</v>
      </c>
      <c r="N108" s="164" t="s">
        <v>39</v>
      </c>
      <c r="O108" s="161">
        <v>17</v>
      </c>
      <c r="P108" s="160">
        <v>12</v>
      </c>
      <c r="Q108" s="161">
        <v>15</v>
      </c>
      <c r="R108" s="166">
        <f t="shared" ref="R108:R137" si="19">P108/O108</f>
        <v>0.70588235294117652</v>
      </c>
      <c r="S108" s="167">
        <f t="shared" ref="S108:S137" si="20">Q108/O108</f>
        <v>0.88235294117647056</v>
      </c>
    </row>
    <row r="109" spans="1:20">
      <c r="A109" s="82">
        <v>108</v>
      </c>
      <c r="B109" s="160" t="s">
        <v>255</v>
      </c>
      <c r="C109" s="168" t="s">
        <v>258</v>
      </c>
      <c r="D109" s="168" t="s">
        <v>259</v>
      </c>
      <c r="E109" s="168" t="s">
        <v>260</v>
      </c>
      <c r="F109" s="169" t="s">
        <v>261</v>
      </c>
      <c r="G109" s="168">
        <v>120</v>
      </c>
      <c r="H109" s="168">
        <v>360</v>
      </c>
      <c r="I109" s="170">
        <v>44481</v>
      </c>
      <c r="J109" s="170">
        <v>44662</v>
      </c>
      <c r="K109" s="171">
        <v>2243160</v>
      </c>
      <c r="L109" s="171">
        <f>K109/H109</f>
        <v>6231</v>
      </c>
      <c r="M109" s="171" t="s">
        <v>262</v>
      </c>
      <c r="N109" s="171" t="s">
        <v>263</v>
      </c>
      <c r="O109" s="168">
        <v>10</v>
      </c>
      <c r="P109" s="159">
        <v>10</v>
      </c>
      <c r="Q109" s="168">
        <v>11</v>
      </c>
      <c r="R109" s="172">
        <f t="shared" si="19"/>
        <v>1</v>
      </c>
      <c r="S109" s="173">
        <f t="shared" si="20"/>
        <v>1.1000000000000001</v>
      </c>
      <c r="T109" s="443">
        <v>4.2</v>
      </c>
    </row>
    <row r="110" spans="1:20">
      <c r="A110" s="82">
        <v>109</v>
      </c>
      <c r="B110" s="160" t="s">
        <v>255</v>
      </c>
      <c r="C110" s="168" t="s">
        <v>264</v>
      </c>
      <c r="D110" s="168" t="s">
        <v>265</v>
      </c>
      <c r="E110" s="168" t="s">
        <v>260</v>
      </c>
      <c r="F110" s="169" t="s">
        <v>266</v>
      </c>
      <c r="G110" s="168">
        <v>58</v>
      </c>
      <c r="H110" s="168">
        <v>290</v>
      </c>
      <c r="I110" s="170">
        <v>44482</v>
      </c>
      <c r="J110" s="170">
        <v>44561</v>
      </c>
      <c r="K110" s="171">
        <v>1629510</v>
      </c>
      <c r="L110" s="171">
        <v>5619</v>
      </c>
      <c r="M110" s="171" t="s">
        <v>267</v>
      </c>
      <c r="N110" s="171" t="s">
        <v>268</v>
      </c>
      <c r="O110" s="168">
        <v>21</v>
      </c>
      <c r="P110" s="159">
        <v>6</v>
      </c>
      <c r="Q110" s="168">
        <v>7</v>
      </c>
      <c r="R110" s="172">
        <f t="shared" si="19"/>
        <v>0.2857142857142857</v>
      </c>
      <c r="S110" s="173">
        <f t="shared" si="20"/>
        <v>0.33333333333333331</v>
      </c>
    </row>
    <row r="111" spans="1:20" s="14" customFormat="1">
      <c r="A111" s="223">
        <v>110</v>
      </c>
      <c r="B111" s="902" t="s">
        <v>255</v>
      </c>
      <c r="C111" s="903" t="s">
        <v>269</v>
      </c>
      <c r="D111" s="903" t="s">
        <v>270</v>
      </c>
      <c r="E111" s="903" t="s">
        <v>271</v>
      </c>
      <c r="F111" s="904" t="s">
        <v>272</v>
      </c>
      <c r="G111" s="903">
        <v>28</v>
      </c>
      <c r="H111" s="903">
        <v>135</v>
      </c>
      <c r="I111" s="905">
        <v>44485</v>
      </c>
      <c r="J111" s="905">
        <v>44584</v>
      </c>
      <c r="K111" s="906">
        <v>977630</v>
      </c>
      <c r="L111" s="907">
        <v>7126</v>
      </c>
      <c r="M111" s="906" t="s">
        <v>175</v>
      </c>
      <c r="N111" s="906" t="s">
        <v>273</v>
      </c>
      <c r="O111" s="903">
        <v>20</v>
      </c>
      <c r="P111" s="846">
        <v>14</v>
      </c>
      <c r="Q111" s="903">
        <v>14</v>
      </c>
      <c r="R111" s="908">
        <f t="shared" si="19"/>
        <v>0.7</v>
      </c>
      <c r="S111" s="909">
        <f t="shared" si="20"/>
        <v>0.7</v>
      </c>
    </row>
    <row r="112" spans="1:20" s="14" customFormat="1">
      <c r="A112" s="223">
        <v>111</v>
      </c>
      <c r="B112" s="902" t="s">
        <v>255</v>
      </c>
      <c r="C112" s="903" t="s">
        <v>269</v>
      </c>
      <c r="D112" s="903" t="s">
        <v>274</v>
      </c>
      <c r="E112" s="903" t="s">
        <v>275</v>
      </c>
      <c r="F112" s="904" t="s">
        <v>276</v>
      </c>
      <c r="G112" s="903">
        <v>33</v>
      </c>
      <c r="H112" s="903">
        <v>130</v>
      </c>
      <c r="I112" s="905">
        <v>44487</v>
      </c>
      <c r="J112" s="905">
        <v>44531</v>
      </c>
      <c r="K112" s="906">
        <v>1026380</v>
      </c>
      <c r="L112" s="907">
        <v>7126</v>
      </c>
      <c r="M112" s="906" t="s">
        <v>277</v>
      </c>
      <c r="N112" s="906" t="s">
        <v>278</v>
      </c>
      <c r="O112" s="903">
        <v>20</v>
      </c>
      <c r="P112" s="846">
        <v>5</v>
      </c>
      <c r="Q112" s="903">
        <v>5</v>
      </c>
      <c r="R112" s="908">
        <f t="shared" si="19"/>
        <v>0.25</v>
      </c>
      <c r="S112" s="909">
        <f t="shared" si="20"/>
        <v>0.25</v>
      </c>
      <c r="T112" s="910">
        <v>4.8</v>
      </c>
    </row>
    <row r="113" spans="1:20">
      <c r="A113" s="82">
        <v>112</v>
      </c>
      <c r="B113" s="160" t="s">
        <v>255</v>
      </c>
      <c r="C113" s="168" t="s">
        <v>279</v>
      </c>
      <c r="D113" s="168" t="s">
        <v>280</v>
      </c>
      <c r="E113" s="168" t="s">
        <v>281</v>
      </c>
      <c r="F113" s="169" t="s">
        <v>282</v>
      </c>
      <c r="G113" s="168">
        <v>134</v>
      </c>
      <c r="H113" s="168">
        <v>600</v>
      </c>
      <c r="I113" s="170">
        <v>44488</v>
      </c>
      <c r="J113" s="170">
        <v>44692</v>
      </c>
      <c r="K113" s="175">
        <v>3664760</v>
      </c>
      <c r="L113" s="176">
        <v>6288</v>
      </c>
      <c r="M113" s="175" t="s">
        <v>283</v>
      </c>
      <c r="N113" s="175" t="s">
        <v>284</v>
      </c>
      <c r="O113" s="168">
        <v>23</v>
      </c>
      <c r="P113" s="168">
        <v>21</v>
      </c>
      <c r="Q113" s="168">
        <v>27</v>
      </c>
      <c r="R113" s="172">
        <f t="shared" si="19"/>
        <v>0.91304347826086951</v>
      </c>
      <c r="S113" s="173">
        <f t="shared" si="20"/>
        <v>1.173913043478261</v>
      </c>
      <c r="T113" s="443">
        <v>4.9000000000000004</v>
      </c>
    </row>
    <row r="114" spans="1:20">
      <c r="A114" s="82">
        <v>113</v>
      </c>
      <c r="B114" s="160" t="s">
        <v>255</v>
      </c>
      <c r="C114" s="168" t="s">
        <v>279</v>
      </c>
      <c r="D114" s="168" t="s">
        <v>285</v>
      </c>
      <c r="E114" s="168" t="s">
        <v>260</v>
      </c>
      <c r="F114" s="169" t="s">
        <v>286</v>
      </c>
      <c r="G114" s="168">
        <v>80</v>
      </c>
      <c r="H114" s="168">
        <v>320</v>
      </c>
      <c r="I114" s="170">
        <v>44488</v>
      </c>
      <c r="J114" s="170">
        <v>44602</v>
      </c>
      <c r="K114" s="175">
        <v>2012160</v>
      </c>
      <c r="L114" s="176">
        <f>K114/H114</f>
        <v>6288</v>
      </c>
      <c r="M114" s="175" t="s">
        <v>287</v>
      </c>
      <c r="N114" s="175" t="s">
        <v>288</v>
      </c>
      <c r="O114" s="168">
        <v>20</v>
      </c>
      <c r="P114" s="168">
        <v>18</v>
      </c>
      <c r="Q114" s="168">
        <v>20</v>
      </c>
      <c r="R114" s="172">
        <f t="shared" si="19"/>
        <v>0.9</v>
      </c>
      <c r="S114" s="173">
        <f t="shared" si="20"/>
        <v>1</v>
      </c>
    </row>
    <row r="115" spans="1:20">
      <c r="A115" s="82">
        <v>114</v>
      </c>
      <c r="B115" s="160" t="s">
        <v>255</v>
      </c>
      <c r="C115" s="168" t="s">
        <v>279</v>
      </c>
      <c r="D115" s="168" t="s">
        <v>285</v>
      </c>
      <c r="E115" s="168" t="s">
        <v>260</v>
      </c>
      <c r="F115" s="169" t="s">
        <v>289</v>
      </c>
      <c r="G115" s="168">
        <v>50</v>
      </c>
      <c r="H115" s="168">
        <v>200</v>
      </c>
      <c r="I115" s="170">
        <v>44490</v>
      </c>
      <c r="J115" s="170">
        <v>44559</v>
      </c>
      <c r="K115" s="175">
        <v>1311000</v>
      </c>
      <c r="L115" s="176">
        <f>K115/H115</f>
        <v>6555</v>
      </c>
      <c r="M115" s="175" t="s">
        <v>290</v>
      </c>
      <c r="N115" s="175" t="s">
        <v>291</v>
      </c>
      <c r="O115" s="168">
        <v>20</v>
      </c>
      <c r="P115" s="168">
        <v>8</v>
      </c>
      <c r="Q115" s="168">
        <v>9</v>
      </c>
      <c r="R115" s="172">
        <f t="shared" si="19"/>
        <v>0.4</v>
      </c>
      <c r="S115" s="173">
        <f t="shared" si="20"/>
        <v>0.45</v>
      </c>
    </row>
    <row r="116" spans="1:20">
      <c r="A116" s="82">
        <v>115</v>
      </c>
      <c r="B116" s="160" t="s">
        <v>255</v>
      </c>
      <c r="C116" s="168" t="s">
        <v>292</v>
      </c>
      <c r="D116" s="168" t="s">
        <v>293</v>
      </c>
      <c r="E116" s="168" t="s">
        <v>275</v>
      </c>
      <c r="F116" s="169" t="s">
        <v>294</v>
      </c>
      <c r="G116" s="168">
        <v>124</v>
      </c>
      <c r="H116" s="168">
        <v>370</v>
      </c>
      <c r="I116" s="170">
        <v>44495</v>
      </c>
      <c r="J116" s="170">
        <v>44673</v>
      </c>
      <c r="K116" s="171">
        <v>2305470</v>
      </c>
      <c r="L116" s="171">
        <f>K116/H116</f>
        <v>6231</v>
      </c>
      <c r="M116" s="171" t="s">
        <v>262</v>
      </c>
      <c r="N116" s="171" t="s">
        <v>263</v>
      </c>
      <c r="O116" s="168">
        <v>12</v>
      </c>
      <c r="P116" s="159">
        <v>10</v>
      </c>
      <c r="Q116" s="168">
        <v>11</v>
      </c>
      <c r="R116" s="172">
        <f t="shared" si="19"/>
        <v>0.83333333333333337</v>
      </c>
      <c r="S116" s="173">
        <f t="shared" si="20"/>
        <v>0.91666666666666663</v>
      </c>
    </row>
    <row r="117" spans="1:20" ht="17.25" thickBot="1">
      <c r="A117" s="82">
        <v>116</v>
      </c>
      <c r="B117" s="177" t="s">
        <v>255</v>
      </c>
      <c r="C117" s="178" t="s">
        <v>295</v>
      </c>
      <c r="D117" s="178" t="s">
        <v>296</v>
      </c>
      <c r="E117" s="178" t="s">
        <v>260</v>
      </c>
      <c r="F117" s="179" t="s">
        <v>297</v>
      </c>
      <c r="G117" s="178">
        <v>70</v>
      </c>
      <c r="H117" s="178">
        <v>280</v>
      </c>
      <c r="I117" s="180">
        <v>44497</v>
      </c>
      <c r="J117" s="180">
        <v>44599</v>
      </c>
      <c r="K117" s="181">
        <v>1832600</v>
      </c>
      <c r="L117" s="182">
        <f>K117/H117</f>
        <v>6545</v>
      </c>
      <c r="M117" s="181" t="s">
        <v>298</v>
      </c>
      <c r="N117" s="181" t="s">
        <v>299</v>
      </c>
      <c r="O117" s="178">
        <v>14</v>
      </c>
      <c r="P117" s="177">
        <v>7</v>
      </c>
      <c r="Q117" s="178">
        <v>9</v>
      </c>
      <c r="R117" s="183">
        <f t="shared" si="19"/>
        <v>0.5</v>
      </c>
      <c r="S117" s="184">
        <f t="shared" si="20"/>
        <v>0.6428571428571429</v>
      </c>
    </row>
    <row r="118" spans="1:20">
      <c r="A118" s="82">
        <v>117</v>
      </c>
      <c r="B118" s="202" t="s">
        <v>300</v>
      </c>
      <c r="C118" s="38" t="s">
        <v>3</v>
      </c>
      <c r="D118" s="38" t="s">
        <v>328</v>
      </c>
      <c r="E118" s="186" t="s">
        <v>2</v>
      </c>
      <c r="F118" s="203" t="s">
        <v>350</v>
      </c>
      <c r="G118" s="113">
        <v>103</v>
      </c>
      <c r="H118" s="113">
        <v>933</v>
      </c>
      <c r="I118" s="185">
        <v>44504</v>
      </c>
      <c r="J118" s="185">
        <v>44657</v>
      </c>
      <c r="K118" s="112">
        <v>5921960</v>
      </c>
      <c r="L118" s="112">
        <v>6588</v>
      </c>
      <c r="M118" s="113" t="s">
        <v>301</v>
      </c>
      <c r="N118" s="113" t="s">
        <v>302</v>
      </c>
      <c r="O118" s="38">
        <v>21</v>
      </c>
      <c r="P118" s="38">
        <v>21</v>
      </c>
      <c r="Q118" s="186">
        <v>21</v>
      </c>
      <c r="R118" s="117">
        <f t="shared" si="19"/>
        <v>1</v>
      </c>
      <c r="S118" s="114">
        <f t="shared" si="20"/>
        <v>1</v>
      </c>
    </row>
    <row r="119" spans="1:20">
      <c r="A119" s="82">
        <v>118</v>
      </c>
      <c r="B119" s="100" t="s">
        <v>300</v>
      </c>
      <c r="C119" s="19" t="s">
        <v>50</v>
      </c>
      <c r="D119" s="19" t="s">
        <v>230</v>
      </c>
      <c r="E119" s="187" t="s">
        <v>329</v>
      </c>
      <c r="F119" s="25" t="s">
        <v>351</v>
      </c>
      <c r="G119" s="83">
        <v>60</v>
      </c>
      <c r="H119" s="83">
        <v>300</v>
      </c>
      <c r="I119" s="27">
        <v>44508</v>
      </c>
      <c r="J119" s="27">
        <v>44589</v>
      </c>
      <c r="K119" s="86">
        <v>1940400</v>
      </c>
      <c r="L119" s="95">
        <f>K119/H119</f>
        <v>6468</v>
      </c>
      <c r="M119" s="86" t="s">
        <v>303</v>
      </c>
      <c r="N119" s="86" t="s">
        <v>304</v>
      </c>
      <c r="O119" s="19">
        <v>11</v>
      </c>
      <c r="P119" s="21">
        <v>11</v>
      </c>
      <c r="Q119" s="187">
        <v>11</v>
      </c>
      <c r="R119" s="96">
        <f t="shared" si="19"/>
        <v>1</v>
      </c>
      <c r="S119" s="115">
        <f t="shared" si="20"/>
        <v>1</v>
      </c>
    </row>
    <row r="120" spans="1:20" s="14" customFormat="1">
      <c r="A120" s="223">
        <v>119</v>
      </c>
      <c r="B120" s="911" t="s">
        <v>300</v>
      </c>
      <c r="C120" s="275" t="s">
        <v>330</v>
      </c>
      <c r="D120" s="275" t="s">
        <v>331</v>
      </c>
      <c r="E120" s="303" t="s">
        <v>332</v>
      </c>
      <c r="F120" s="344" t="s">
        <v>352</v>
      </c>
      <c r="G120" s="275">
        <v>33</v>
      </c>
      <c r="H120" s="275">
        <v>130</v>
      </c>
      <c r="I120" s="300">
        <v>44508</v>
      </c>
      <c r="J120" s="300">
        <v>44552</v>
      </c>
      <c r="K120" s="301">
        <v>1026380</v>
      </c>
      <c r="L120" s="861">
        <v>7126</v>
      </c>
      <c r="M120" s="301" t="s">
        <v>305</v>
      </c>
      <c r="N120" s="301" t="s">
        <v>306</v>
      </c>
      <c r="O120" s="275">
        <v>20</v>
      </c>
      <c r="P120" s="223">
        <v>9</v>
      </c>
      <c r="Q120" s="303">
        <v>9</v>
      </c>
      <c r="R120" s="893">
        <f t="shared" si="19"/>
        <v>0.45</v>
      </c>
      <c r="S120" s="894">
        <f t="shared" si="20"/>
        <v>0.45</v>
      </c>
    </row>
    <row r="121" spans="1:20">
      <c r="A121" s="82">
        <v>120</v>
      </c>
      <c r="B121" s="100" t="s">
        <v>300</v>
      </c>
      <c r="C121" s="19" t="s">
        <v>234</v>
      </c>
      <c r="D121" s="19" t="s">
        <v>333</v>
      </c>
      <c r="E121" s="187" t="s">
        <v>334</v>
      </c>
      <c r="F121" s="25" t="s">
        <v>253</v>
      </c>
      <c r="G121" s="83">
        <v>123</v>
      </c>
      <c r="H121" s="83">
        <v>610</v>
      </c>
      <c r="I121" s="27">
        <v>44508</v>
      </c>
      <c r="J121" s="27">
        <v>44684</v>
      </c>
      <c r="K121" s="86">
        <v>4018680</v>
      </c>
      <c r="L121" s="86">
        <f t="shared" ref="L121:L130" si="21">K121/H121</f>
        <v>6588</v>
      </c>
      <c r="M121" s="86" t="s">
        <v>30</v>
      </c>
      <c r="N121" s="86" t="s">
        <v>307</v>
      </c>
      <c r="O121" s="19">
        <v>20</v>
      </c>
      <c r="P121" s="21">
        <v>16</v>
      </c>
      <c r="Q121" s="187">
        <v>28</v>
      </c>
      <c r="R121" s="96">
        <f t="shared" si="19"/>
        <v>0.8</v>
      </c>
      <c r="S121" s="115">
        <f t="shared" si="20"/>
        <v>1.4</v>
      </c>
    </row>
    <row r="122" spans="1:20">
      <c r="A122" s="82">
        <v>121</v>
      </c>
      <c r="B122" s="100" t="s">
        <v>300</v>
      </c>
      <c r="C122" s="21" t="s">
        <v>335</v>
      </c>
      <c r="D122" s="21" t="s">
        <v>336</v>
      </c>
      <c r="E122" s="188" t="s">
        <v>337</v>
      </c>
      <c r="F122" s="31" t="s">
        <v>353</v>
      </c>
      <c r="G122" s="82">
        <v>89</v>
      </c>
      <c r="H122" s="82">
        <v>712</v>
      </c>
      <c r="I122" s="32">
        <v>44509</v>
      </c>
      <c r="J122" s="32">
        <v>44687</v>
      </c>
      <c r="K122" s="86">
        <v>4680680</v>
      </c>
      <c r="L122" s="86">
        <f t="shared" si="21"/>
        <v>6573.9887640449442</v>
      </c>
      <c r="M122" s="82" t="s">
        <v>72</v>
      </c>
      <c r="N122" s="82" t="s">
        <v>308</v>
      </c>
      <c r="O122" s="21">
        <v>35</v>
      </c>
      <c r="P122" s="21">
        <v>27</v>
      </c>
      <c r="Q122" s="188">
        <v>31</v>
      </c>
      <c r="R122" s="96">
        <f t="shared" si="19"/>
        <v>0.77142857142857146</v>
      </c>
      <c r="S122" s="115">
        <f t="shared" si="20"/>
        <v>0.88571428571428568</v>
      </c>
    </row>
    <row r="123" spans="1:20">
      <c r="A123" s="82">
        <v>122</v>
      </c>
      <c r="B123" s="100" t="s">
        <v>300</v>
      </c>
      <c r="C123" s="19" t="s">
        <v>338</v>
      </c>
      <c r="D123" s="19" t="s">
        <v>339</v>
      </c>
      <c r="E123" s="187" t="s">
        <v>340</v>
      </c>
      <c r="F123" s="25" t="s">
        <v>309</v>
      </c>
      <c r="G123" s="83">
        <v>93</v>
      </c>
      <c r="H123" s="83">
        <v>370</v>
      </c>
      <c r="I123" s="27">
        <v>44509</v>
      </c>
      <c r="J123" s="27">
        <v>44677</v>
      </c>
      <c r="K123" s="86">
        <v>2305470</v>
      </c>
      <c r="L123" s="86">
        <f t="shared" si="21"/>
        <v>6231</v>
      </c>
      <c r="M123" s="86" t="s">
        <v>310</v>
      </c>
      <c r="N123" s="86" t="s">
        <v>311</v>
      </c>
      <c r="O123" s="19">
        <v>20</v>
      </c>
      <c r="P123" s="21">
        <v>17</v>
      </c>
      <c r="Q123" s="187">
        <v>19</v>
      </c>
      <c r="R123" s="96">
        <f t="shared" si="19"/>
        <v>0.85</v>
      </c>
      <c r="S123" s="115">
        <f t="shared" si="20"/>
        <v>0.95</v>
      </c>
    </row>
    <row r="124" spans="1:20">
      <c r="A124" s="82">
        <v>123</v>
      </c>
      <c r="B124" s="100" t="s">
        <v>300</v>
      </c>
      <c r="C124" s="19" t="s">
        <v>338</v>
      </c>
      <c r="D124" s="19" t="s">
        <v>341</v>
      </c>
      <c r="E124" s="187" t="s">
        <v>340</v>
      </c>
      <c r="F124" s="25" t="s">
        <v>236</v>
      </c>
      <c r="G124" s="83">
        <v>120</v>
      </c>
      <c r="H124" s="83">
        <v>360</v>
      </c>
      <c r="I124" s="27">
        <v>44509</v>
      </c>
      <c r="J124" s="27">
        <v>44691</v>
      </c>
      <c r="K124" s="86">
        <v>2243160</v>
      </c>
      <c r="L124" s="86">
        <f t="shared" si="21"/>
        <v>6231</v>
      </c>
      <c r="M124" s="86" t="s">
        <v>262</v>
      </c>
      <c r="N124" s="86" t="s">
        <v>312</v>
      </c>
      <c r="O124" s="19">
        <v>10</v>
      </c>
      <c r="P124" s="107">
        <v>9</v>
      </c>
      <c r="Q124" s="187">
        <v>9</v>
      </c>
      <c r="R124" s="96">
        <f t="shared" si="19"/>
        <v>0.9</v>
      </c>
      <c r="S124" s="115">
        <f t="shared" si="20"/>
        <v>0.9</v>
      </c>
      <c r="T124">
        <v>4.7</v>
      </c>
    </row>
    <row r="125" spans="1:20">
      <c r="A125" s="82">
        <v>124</v>
      </c>
      <c r="B125" s="100" t="s">
        <v>300</v>
      </c>
      <c r="C125" s="19" t="s">
        <v>342</v>
      </c>
      <c r="D125" s="19" t="s">
        <v>339</v>
      </c>
      <c r="E125" s="187" t="s">
        <v>334</v>
      </c>
      <c r="F125" s="25" t="s">
        <v>354</v>
      </c>
      <c r="G125" s="83">
        <v>100</v>
      </c>
      <c r="H125" s="83">
        <v>600</v>
      </c>
      <c r="I125" s="27">
        <v>44509</v>
      </c>
      <c r="J125" s="27">
        <v>44657</v>
      </c>
      <c r="K125" s="86">
        <v>3371400</v>
      </c>
      <c r="L125" s="86">
        <f t="shared" si="21"/>
        <v>5619</v>
      </c>
      <c r="M125" s="86" t="s">
        <v>72</v>
      </c>
      <c r="N125" s="86" t="s">
        <v>313</v>
      </c>
      <c r="O125" s="19">
        <v>20</v>
      </c>
      <c r="P125" s="21">
        <v>9</v>
      </c>
      <c r="Q125" s="187">
        <v>22</v>
      </c>
      <c r="R125" s="96">
        <f t="shared" si="19"/>
        <v>0.45</v>
      </c>
      <c r="S125" s="115">
        <f t="shared" si="20"/>
        <v>1.1000000000000001</v>
      </c>
    </row>
    <row r="126" spans="1:20">
      <c r="A126" s="82">
        <v>125</v>
      </c>
      <c r="B126" s="100" t="s">
        <v>300</v>
      </c>
      <c r="C126" s="19" t="s">
        <v>343</v>
      </c>
      <c r="D126" s="19" t="s">
        <v>333</v>
      </c>
      <c r="E126" s="187" t="s">
        <v>334</v>
      </c>
      <c r="F126" s="25" t="s">
        <v>355</v>
      </c>
      <c r="G126" s="83">
        <v>123</v>
      </c>
      <c r="H126" s="83">
        <v>610</v>
      </c>
      <c r="I126" s="27">
        <v>44510</v>
      </c>
      <c r="J126" s="27">
        <v>44687</v>
      </c>
      <c r="K126" s="86">
        <v>3427590</v>
      </c>
      <c r="L126" s="86">
        <f t="shared" si="21"/>
        <v>5619</v>
      </c>
      <c r="M126" s="86" t="s">
        <v>314</v>
      </c>
      <c r="N126" s="86" t="s">
        <v>268</v>
      </c>
      <c r="O126" s="19">
        <v>20</v>
      </c>
      <c r="P126" s="21">
        <v>12</v>
      </c>
      <c r="Q126" s="187">
        <v>21</v>
      </c>
      <c r="R126" s="96">
        <f t="shared" si="19"/>
        <v>0.6</v>
      </c>
      <c r="S126" s="115">
        <f t="shared" si="20"/>
        <v>1.05</v>
      </c>
    </row>
    <row r="127" spans="1:20">
      <c r="A127" s="82">
        <v>126</v>
      </c>
      <c r="B127" s="100" t="s">
        <v>300</v>
      </c>
      <c r="C127" s="19" t="s">
        <v>344</v>
      </c>
      <c r="D127" s="19" t="s">
        <v>336</v>
      </c>
      <c r="E127" s="187" t="s">
        <v>334</v>
      </c>
      <c r="F127" s="55" t="s">
        <v>237</v>
      </c>
      <c r="G127" s="83">
        <v>96</v>
      </c>
      <c r="H127" s="83">
        <v>675</v>
      </c>
      <c r="I127" s="27">
        <v>44511</v>
      </c>
      <c r="J127" s="27">
        <v>44704</v>
      </c>
      <c r="K127" s="86">
        <v>3792820</v>
      </c>
      <c r="L127" s="95">
        <f t="shared" si="21"/>
        <v>5618.9925925925927</v>
      </c>
      <c r="M127" s="86" t="s">
        <v>267</v>
      </c>
      <c r="N127" s="86" t="s">
        <v>315</v>
      </c>
      <c r="O127" s="19">
        <v>20</v>
      </c>
      <c r="P127" s="21">
        <v>13</v>
      </c>
      <c r="Q127" s="187">
        <v>16</v>
      </c>
      <c r="R127" s="96">
        <f t="shared" si="19"/>
        <v>0.65</v>
      </c>
      <c r="S127" s="115">
        <f t="shared" si="20"/>
        <v>0.8</v>
      </c>
    </row>
    <row r="128" spans="1:20">
      <c r="A128" s="82">
        <v>127</v>
      </c>
      <c r="B128" s="100" t="s">
        <v>300</v>
      </c>
      <c r="C128" s="21" t="s">
        <v>345</v>
      </c>
      <c r="D128" s="21" t="s">
        <v>328</v>
      </c>
      <c r="E128" s="188" t="s">
        <v>334</v>
      </c>
      <c r="F128" s="31" t="s">
        <v>356</v>
      </c>
      <c r="G128" s="82">
        <v>103</v>
      </c>
      <c r="H128" s="82">
        <v>818</v>
      </c>
      <c r="I128" s="32">
        <v>44516</v>
      </c>
      <c r="J128" s="32">
        <v>44669</v>
      </c>
      <c r="K128" s="86">
        <v>5388980</v>
      </c>
      <c r="L128" s="86">
        <f t="shared" si="21"/>
        <v>6587.9951100244498</v>
      </c>
      <c r="M128" s="82" t="s">
        <v>316</v>
      </c>
      <c r="N128" s="82" t="s">
        <v>302</v>
      </c>
      <c r="O128" s="21">
        <v>21</v>
      </c>
      <c r="P128" s="21">
        <v>16</v>
      </c>
      <c r="Q128" s="188">
        <v>17</v>
      </c>
      <c r="R128" s="96">
        <f t="shared" si="19"/>
        <v>0.76190476190476186</v>
      </c>
      <c r="S128" s="115">
        <f t="shared" si="20"/>
        <v>0.80952380952380953</v>
      </c>
    </row>
    <row r="129" spans="1:19">
      <c r="A129" s="82">
        <v>128</v>
      </c>
      <c r="B129" s="100" t="s">
        <v>300</v>
      </c>
      <c r="C129" s="21" t="s">
        <v>335</v>
      </c>
      <c r="D129" s="21" t="s">
        <v>346</v>
      </c>
      <c r="E129" s="188" t="s">
        <v>340</v>
      </c>
      <c r="F129" s="79" t="s">
        <v>357</v>
      </c>
      <c r="G129" s="82">
        <v>70</v>
      </c>
      <c r="H129" s="82">
        <v>280</v>
      </c>
      <c r="I129" s="32">
        <v>44516</v>
      </c>
      <c r="J129" s="32">
        <v>44616</v>
      </c>
      <c r="K129" s="86">
        <v>1844640</v>
      </c>
      <c r="L129" s="86">
        <f t="shared" si="21"/>
        <v>6588</v>
      </c>
      <c r="M129" s="82" t="s">
        <v>316</v>
      </c>
      <c r="N129" s="82" t="s">
        <v>317</v>
      </c>
      <c r="O129" s="21">
        <v>20</v>
      </c>
      <c r="P129" s="21">
        <v>18</v>
      </c>
      <c r="Q129" s="188">
        <v>20</v>
      </c>
      <c r="R129" s="96">
        <f t="shared" si="19"/>
        <v>0.9</v>
      </c>
      <c r="S129" s="115">
        <f t="shared" si="20"/>
        <v>1</v>
      </c>
    </row>
    <row r="130" spans="1:19">
      <c r="A130" s="82">
        <v>129</v>
      </c>
      <c r="B130" s="100" t="s">
        <v>300</v>
      </c>
      <c r="C130" s="19" t="s">
        <v>347</v>
      </c>
      <c r="D130" s="19" t="s">
        <v>348</v>
      </c>
      <c r="E130" s="187" t="s">
        <v>340</v>
      </c>
      <c r="F130" s="25" t="s">
        <v>358</v>
      </c>
      <c r="G130" s="83">
        <v>83</v>
      </c>
      <c r="H130" s="83">
        <v>288</v>
      </c>
      <c r="I130" s="27">
        <v>44516</v>
      </c>
      <c r="J130" s="27">
        <v>44642</v>
      </c>
      <c r="K130" s="86">
        <v>1618270</v>
      </c>
      <c r="L130" s="86">
        <f t="shared" si="21"/>
        <v>5618.9930555555557</v>
      </c>
      <c r="M130" s="86" t="s">
        <v>283</v>
      </c>
      <c r="N130" s="86" t="s">
        <v>318</v>
      </c>
      <c r="O130" s="19">
        <v>12</v>
      </c>
      <c r="P130" s="21">
        <v>7</v>
      </c>
      <c r="Q130" s="187">
        <v>7</v>
      </c>
      <c r="R130" s="96">
        <f t="shared" si="19"/>
        <v>0.58333333333333337</v>
      </c>
      <c r="S130" s="115">
        <f t="shared" si="20"/>
        <v>0.58333333333333337</v>
      </c>
    </row>
    <row r="131" spans="1:19">
      <c r="A131" s="82">
        <v>130</v>
      </c>
      <c r="B131" s="100" t="s">
        <v>300</v>
      </c>
      <c r="C131" s="19" t="s">
        <v>240</v>
      </c>
      <c r="D131" s="19" t="s">
        <v>346</v>
      </c>
      <c r="E131" s="187" t="s">
        <v>329</v>
      </c>
      <c r="F131" s="25" t="s">
        <v>359</v>
      </c>
      <c r="G131" s="83">
        <v>52</v>
      </c>
      <c r="H131" s="83">
        <v>260</v>
      </c>
      <c r="I131" s="27">
        <v>44517</v>
      </c>
      <c r="J131" s="27">
        <v>44588</v>
      </c>
      <c r="K131" s="86">
        <v>1681680</v>
      </c>
      <c r="L131" s="95">
        <v>6468</v>
      </c>
      <c r="M131" s="86" t="s">
        <v>319</v>
      </c>
      <c r="N131" s="86" t="s">
        <v>320</v>
      </c>
      <c r="O131" s="19">
        <v>10</v>
      </c>
      <c r="P131" s="21">
        <v>10</v>
      </c>
      <c r="Q131" s="187">
        <v>12</v>
      </c>
      <c r="R131" s="96">
        <f t="shared" si="19"/>
        <v>1</v>
      </c>
      <c r="S131" s="115">
        <f t="shared" si="20"/>
        <v>1.2</v>
      </c>
    </row>
    <row r="132" spans="1:19">
      <c r="A132" s="82">
        <v>131</v>
      </c>
      <c r="B132" s="100" t="s">
        <v>300</v>
      </c>
      <c r="C132" s="19" t="s">
        <v>338</v>
      </c>
      <c r="D132" s="19" t="s">
        <v>328</v>
      </c>
      <c r="E132" s="187" t="s">
        <v>340</v>
      </c>
      <c r="F132" s="25" t="s">
        <v>242</v>
      </c>
      <c r="G132" s="83">
        <v>90</v>
      </c>
      <c r="H132" s="83">
        <v>360</v>
      </c>
      <c r="I132" s="27">
        <v>44518</v>
      </c>
      <c r="J132" s="27">
        <v>44649</v>
      </c>
      <c r="K132" s="86">
        <v>2243160</v>
      </c>
      <c r="L132" s="93">
        <f>K132/H132</f>
        <v>6231</v>
      </c>
      <c r="M132" s="86" t="s">
        <v>283</v>
      </c>
      <c r="N132" s="86" t="s">
        <v>321</v>
      </c>
      <c r="O132" s="19">
        <v>20</v>
      </c>
      <c r="P132" s="21">
        <v>7</v>
      </c>
      <c r="Q132" s="187">
        <v>9</v>
      </c>
      <c r="R132" s="96">
        <f t="shared" si="19"/>
        <v>0.35</v>
      </c>
      <c r="S132" s="115">
        <f t="shared" si="20"/>
        <v>0.45</v>
      </c>
    </row>
    <row r="133" spans="1:19">
      <c r="A133" s="82">
        <v>132</v>
      </c>
      <c r="B133" s="100" t="s">
        <v>300</v>
      </c>
      <c r="C133" s="21" t="s">
        <v>335</v>
      </c>
      <c r="D133" s="21" t="s">
        <v>349</v>
      </c>
      <c r="E133" s="188" t="s">
        <v>334</v>
      </c>
      <c r="F133" s="31" t="s">
        <v>360</v>
      </c>
      <c r="G133" s="82">
        <v>95</v>
      </c>
      <c r="H133" s="82">
        <v>756</v>
      </c>
      <c r="I133" s="32">
        <v>44524</v>
      </c>
      <c r="J133" s="32">
        <v>44663</v>
      </c>
      <c r="K133" s="86">
        <v>6474380</v>
      </c>
      <c r="L133" s="86">
        <f>K133/H133</f>
        <v>8563.9947089947091</v>
      </c>
      <c r="M133" s="82" t="s">
        <v>301</v>
      </c>
      <c r="N133" s="82" t="s">
        <v>322</v>
      </c>
      <c r="O133" s="21">
        <v>30</v>
      </c>
      <c r="P133" s="21">
        <v>17</v>
      </c>
      <c r="Q133" s="188">
        <v>17</v>
      </c>
      <c r="R133" s="96">
        <f t="shared" si="19"/>
        <v>0.56666666666666665</v>
      </c>
      <c r="S133" s="115">
        <f t="shared" si="20"/>
        <v>0.56666666666666665</v>
      </c>
    </row>
    <row r="134" spans="1:19">
      <c r="A134" s="82">
        <v>133</v>
      </c>
      <c r="B134" s="100" t="s">
        <v>300</v>
      </c>
      <c r="C134" s="83" t="s">
        <v>338</v>
      </c>
      <c r="D134" s="83" t="s">
        <v>333</v>
      </c>
      <c r="E134" s="110" t="s">
        <v>340</v>
      </c>
      <c r="F134" s="88" t="s">
        <v>243</v>
      </c>
      <c r="G134" s="83">
        <v>124</v>
      </c>
      <c r="H134" s="83">
        <v>370</v>
      </c>
      <c r="I134" s="85">
        <v>44524</v>
      </c>
      <c r="J134" s="85">
        <v>44712</v>
      </c>
      <c r="K134" s="86">
        <v>2305470</v>
      </c>
      <c r="L134" s="86">
        <v>6231</v>
      </c>
      <c r="M134" s="86" t="s">
        <v>283</v>
      </c>
      <c r="N134" s="86" t="s">
        <v>323</v>
      </c>
      <c r="O134" s="83">
        <v>13</v>
      </c>
      <c r="P134" s="82">
        <v>11</v>
      </c>
      <c r="Q134" s="110">
        <v>13</v>
      </c>
      <c r="R134" s="96">
        <f t="shared" si="19"/>
        <v>0.84615384615384615</v>
      </c>
      <c r="S134" s="115">
        <f t="shared" si="20"/>
        <v>1</v>
      </c>
    </row>
    <row r="135" spans="1:19">
      <c r="A135" s="82">
        <v>134</v>
      </c>
      <c r="B135" s="100" t="s">
        <v>300</v>
      </c>
      <c r="C135" s="82" t="s">
        <v>335</v>
      </c>
      <c r="D135" s="82" t="s">
        <v>336</v>
      </c>
      <c r="E135" s="109" t="s">
        <v>334</v>
      </c>
      <c r="F135" s="89" t="s">
        <v>361</v>
      </c>
      <c r="G135" s="82">
        <v>103</v>
      </c>
      <c r="H135" s="82">
        <v>818</v>
      </c>
      <c r="I135" s="84">
        <v>44525</v>
      </c>
      <c r="J135" s="84">
        <v>44732</v>
      </c>
      <c r="K135" s="86">
        <v>5388980</v>
      </c>
      <c r="L135" s="86">
        <f>K135/H135</f>
        <v>6587.9951100244498</v>
      </c>
      <c r="M135" s="82" t="s">
        <v>283</v>
      </c>
      <c r="N135" s="82" t="s">
        <v>308</v>
      </c>
      <c r="O135" s="82">
        <v>35</v>
      </c>
      <c r="P135" s="82">
        <v>25</v>
      </c>
      <c r="Q135" s="109">
        <v>25</v>
      </c>
      <c r="R135" s="96">
        <f t="shared" si="19"/>
        <v>0.7142857142857143</v>
      </c>
      <c r="S135" s="115">
        <f t="shared" si="20"/>
        <v>0.7142857142857143</v>
      </c>
    </row>
    <row r="136" spans="1:19">
      <c r="A136" s="82">
        <v>135</v>
      </c>
      <c r="B136" s="100" t="s">
        <v>300</v>
      </c>
      <c r="C136" s="83" t="s">
        <v>347</v>
      </c>
      <c r="D136" s="83" t="s">
        <v>348</v>
      </c>
      <c r="E136" s="110" t="s">
        <v>340</v>
      </c>
      <c r="F136" s="88" t="s">
        <v>362</v>
      </c>
      <c r="G136" s="83">
        <v>67</v>
      </c>
      <c r="H136" s="83">
        <v>200</v>
      </c>
      <c r="I136" s="85">
        <v>44525</v>
      </c>
      <c r="J136" s="85">
        <v>44652</v>
      </c>
      <c r="K136" s="86">
        <v>1311000</v>
      </c>
      <c r="L136" s="86">
        <f>K136/H136</f>
        <v>6555</v>
      </c>
      <c r="M136" s="86" t="s">
        <v>283</v>
      </c>
      <c r="N136" s="86" t="s">
        <v>324</v>
      </c>
      <c r="O136" s="83">
        <v>12</v>
      </c>
      <c r="P136" s="82">
        <v>6</v>
      </c>
      <c r="Q136" s="110">
        <v>6</v>
      </c>
      <c r="R136" s="96">
        <f t="shared" si="19"/>
        <v>0.5</v>
      </c>
      <c r="S136" s="115">
        <f t="shared" si="20"/>
        <v>0.5</v>
      </c>
    </row>
    <row r="137" spans="1:19" ht="17.25" thickBot="1">
      <c r="A137" s="82">
        <v>136</v>
      </c>
      <c r="B137" s="235" t="s">
        <v>300</v>
      </c>
      <c r="C137" s="205" t="s">
        <v>338</v>
      </c>
      <c r="D137" s="205" t="s">
        <v>336</v>
      </c>
      <c r="E137" s="206" t="s">
        <v>340</v>
      </c>
      <c r="F137" s="207" t="s">
        <v>363</v>
      </c>
      <c r="G137" s="205">
        <v>93</v>
      </c>
      <c r="H137" s="205">
        <v>370</v>
      </c>
      <c r="I137" s="208">
        <v>44530</v>
      </c>
      <c r="J137" s="208">
        <v>44664</v>
      </c>
      <c r="K137" s="228">
        <v>2305470</v>
      </c>
      <c r="L137" s="236">
        <f>K137/H137</f>
        <v>6231</v>
      </c>
      <c r="M137" s="228" t="s">
        <v>310</v>
      </c>
      <c r="N137" s="228" t="s">
        <v>325</v>
      </c>
      <c r="O137" s="205">
        <v>20</v>
      </c>
      <c r="P137" s="191">
        <v>12</v>
      </c>
      <c r="Q137" s="206">
        <v>12</v>
      </c>
      <c r="R137" s="226">
        <f t="shared" si="19"/>
        <v>0.6</v>
      </c>
      <c r="S137" s="227">
        <f t="shared" si="20"/>
        <v>0.6</v>
      </c>
    </row>
    <row r="138" spans="1:19">
      <c r="A138" s="82">
        <v>137</v>
      </c>
      <c r="B138" s="233" t="s">
        <v>367</v>
      </c>
      <c r="C138" s="161" t="s">
        <v>396</v>
      </c>
      <c r="D138" s="161" t="s">
        <v>397</v>
      </c>
      <c r="E138" s="161" t="s">
        <v>398</v>
      </c>
      <c r="F138" s="234" t="s">
        <v>369</v>
      </c>
      <c r="G138" s="161">
        <v>134</v>
      </c>
      <c r="H138" s="161">
        <v>675</v>
      </c>
      <c r="I138" s="163">
        <v>44532</v>
      </c>
      <c r="J138" s="163">
        <v>44656</v>
      </c>
      <c r="K138" s="164">
        <v>4417870</v>
      </c>
      <c r="L138" s="165">
        <v>6545</v>
      </c>
      <c r="M138" s="164" t="s">
        <v>399</v>
      </c>
      <c r="N138" s="164" t="s">
        <v>400</v>
      </c>
      <c r="O138" s="161">
        <v>20</v>
      </c>
      <c r="P138" s="160">
        <v>19</v>
      </c>
      <c r="Q138" s="161">
        <v>23</v>
      </c>
      <c r="R138" s="166">
        <f t="shared" ref="R138:R164" si="22">P138/O138</f>
        <v>0.95</v>
      </c>
      <c r="S138" s="166">
        <f t="shared" ref="S138:S164" si="23">Q138/O138</f>
        <v>1.1499999999999999</v>
      </c>
    </row>
    <row r="139" spans="1:19">
      <c r="A139" s="82">
        <v>138</v>
      </c>
      <c r="B139" s="199" t="s">
        <v>367</v>
      </c>
      <c r="C139" s="168" t="s">
        <v>401</v>
      </c>
      <c r="D139" s="168" t="s">
        <v>402</v>
      </c>
      <c r="E139" s="168" t="s">
        <v>271</v>
      </c>
      <c r="F139" s="169" t="s">
        <v>386</v>
      </c>
      <c r="G139" s="168">
        <v>90</v>
      </c>
      <c r="H139" s="168">
        <v>360</v>
      </c>
      <c r="I139" s="170">
        <v>44536</v>
      </c>
      <c r="J139" s="170">
        <v>44652</v>
      </c>
      <c r="K139" s="171">
        <v>2179550</v>
      </c>
      <c r="L139" s="171">
        <v>6231</v>
      </c>
      <c r="M139" s="171" t="s">
        <v>403</v>
      </c>
      <c r="N139" s="171" t="s">
        <v>404</v>
      </c>
      <c r="O139" s="168">
        <v>20</v>
      </c>
      <c r="P139" s="159">
        <v>10</v>
      </c>
      <c r="Q139" s="168">
        <v>12</v>
      </c>
      <c r="R139" s="172">
        <f t="shared" si="22"/>
        <v>0.5</v>
      </c>
      <c r="S139" s="172">
        <f t="shared" si="23"/>
        <v>0.6</v>
      </c>
    </row>
    <row r="140" spans="1:19">
      <c r="A140" s="82">
        <v>139</v>
      </c>
      <c r="B140" s="199" t="s">
        <v>367</v>
      </c>
      <c r="C140" s="168" t="s">
        <v>396</v>
      </c>
      <c r="D140" s="168" t="s">
        <v>380</v>
      </c>
      <c r="E140" s="168" t="s">
        <v>405</v>
      </c>
      <c r="F140" s="169" t="s">
        <v>406</v>
      </c>
      <c r="G140" s="168">
        <v>64</v>
      </c>
      <c r="H140" s="168">
        <v>320</v>
      </c>
      <c r="I140" s="170">
        <v>44536</v>
      </c>
      <c r="J140" s="170">
        <v>44644</v>
      </c>
      <c r="K140" s="171">
        <v>2012160</v>
      </c>
      <c r="L140" s="171">
        <f>K140/H140</f>
        <v>6288</v>
      </c>
      <c r="M140" s="171" t="s">
        <v>407</v>
      </c>
      <c r="N140" s="171" t="s">
        <v>59</v>
      </c>
      <c r="O140" s="168">
        <v>21</v>
      </c>
      <c r="P140" s="159">
        <v>6</v>
      </c>
      <c r="Q140" s="168">
        <v>6</v>
      </c>
      <c r="R140" s="172">
        <f t="shared" si="22"/>
        <v>0.2857142857142857</v>
      </c>
      <c r="S140" s="172">
        <f t="shared" si="23"/>
        <v>0.2857142857142857</v>
      </c>
    </row>
    <row r="141" spans="1:19">
      <c r="A141" s="82">
        <v>140</v>
      </c>
      <c r="B141" s="199" t="s">
        <v>367</v>
      </c>
      <c r="C141" s="168" t="s">
        <v>394</v>
      </c>
      <c r="D141" s="168" t="s">
        <v>408</v>
      </c>
      <c r="E141" s="168" t="s">
        <v>405</v>
      </c>
      <c r="F141" s="169" t="s">
        <v>393</v>
      </c>
      <c r="G141" s="168">
        <v>60</v>
      </c>
      <c r="H141" s="168">
        <v>300</v>
      </c>
      <c r="I141" s="170">
        <v>44536</v>
      </c>
      <c r="J141" s="170">
        <v>44589</v>
      </c>
      <c r="K141" s="171">
        <v>1940400</v>
      </c>
      <c r="L141" s="174">
        <f>K141/H141</f>
        <v>6468</v>
      </c>
      <c r="M141" s="171" t="s">
        <v>409</v>
      </c>
      <c r="N141" s="171" t="s">
        <v>410</v>
      </c>
      <c r="O141" s="168">
        <v>13</v>
      </c>
      <c r="P141" s="159">
        <v>5</v>
      </c>
      <c r="Q141" s="168">
        <v>6</v>
      </c>
      <c r="R141" s="172">
        <f t="shared" si="22"/>
        <v>0.38461538461538464</v>
      </c>
      <c r="S141" s="172">
        <f t="shared" si="23"/>
        <v>0.46153846153846156</v>
      </c>
    </row>
    <row r="142" spans="1:19">
      <c r="A142" s="82">
        <v>141</v>
      </c>
      <c r="B142" s="199" t="s">
        <v>367</v>
      </c>
      <c r="C142" s="159" t="s">
        <v>411</v>
      </c>
      <c r="D142" s="159" t="s">
        <v>371</v>
      </c>
      <c r="E142" s="159" t="s">
        <v>405</v>
      </c>
      <c r="F142" s="229" t="s">
        <v>412</v>
      </c>
      <c r="G142" s="159">
        <v>87</v>
      </c>
      <c r="H142" s="159">
        <v>348</v>
      </c>
      <c r="I142" s="230">
        <v>44537</v>
      </c>
      <c r="J142" s="230">
        <v>44663</v>
      </c>
      <c r="K142" s="171">
        <v>2292620</v>
      </c>
      <c r="L142" s="171">
        <f>K142/H142</f>
        <v>6587.9885057471265</v>
      </c>
      <c r="M142" s="159" t="s">
        <v>381</v>
      </c>
      <c r="N142" s="159" t="s">
        <v>61</v>
      </c>
      <c r="O142" s="159">
        <v>20</v>
      </c>
      <c r="P142" s="159">
        <v>9</v>
      </c>
      <c r="Q142" s="159">
        <v>13</v>
      </c>
      <c r="R142" s="172">
        <f t="shared" si="22"/>
        <v>0.45</v>
      </c>
      <c r="S142" s="172">
        <f t="shared" si="23"/>
        <v>0.65</v>
      </c>
    </row>
    <row r="143" spans="1:19">
      <c r="A143" s="82">
        <v>142</v>
      </c>
      <c r="B143" s="199" t="s">
        <v>367</v>
      </c>
      <c r="C143" s="168" t="s">
        <v>401</v>
      </c>
      <c r="D143" s="168" t="s">
        <v>380</v>
      </c>
      <c r="E143" s="168" t="s">
        <v>405</v>
      </c>
      <c r="F143" s="169" t="s">
        <v>413</v>
      </c>
      <c r="G143" s="168">
        <v>124</v>
      </c>
      <c r="H143" s="168">
        <v>370</v>
      </c>
      <c r="I143" s="170">
        <v>44538</v>
      </c>
      <c r="J143" s="170">
        <v>44356</v>
      </c>
      <c r="K143" s="171">
        <v>2305470</v>
      </c>
      <c r="L143" s="171">
        <v>6231</v>
      </c>
      <c r="M143" s="171" t="s">
        <v>414</v>
      </c>
      <c r="N143" s="171" t="s">
        <v>379</v>
      </c>
      <c r="O143" s="168">
        <v>13</v>
      </c>
      <c r="P143" s="159">
        <v>8</v>
      </c>
      <c r="Q143" s="168">
        <v>10</v>
      </c>
      <c r="R143" s="172">
        <f t="shared" si="22"/>
        <v>0.61538461538461542</v>
      </c>
      <c r="S143" s="172">
        <f t="shared" si="23"/>
        <v>0.76923076923076927</v>
      </c>
    </row>
    <row r="144" spans="1:19">
      <c r="A144" s="82">
        <v>143</v>
      </c>
      <c r="B144" s="199" t="s">
        <v>367</v>
      </c>
      <c r="C144" s="168" t="s">
        <v>401</v>
      </c>
      <c r="D144" s="168" t="s">
        <v>415</v>
      </c>
      <c r="E144" s="168" t="s">
        <v>370</v>
      </c>
      <c r="F144" s="169" t="s">
        <v>416</v>
      </c>
      <c r="G144" s="168">
        <v>174</v>
      </c>
      <c r="H144" s="168">
        <v>870</v>
      </c>
      <c r="I144" s="170">
        <v>44538</v>
      </c>
      <c r="J144" s="170">
        <v>44797</v>
      </c>
      <c r="K144" s="171">
        <v>2179550</v>
      </c>
      <c r="L144" s="171">
        <v>6231</v>
      </c>
      <c r="M144" s="171" t="s">
        <v>381</v>
      </c>
      <c r="N144" s="171" t="s">
        <v>382</v>
      </c>
      <c r="O144" s="168">
        <v>25</v>
      </c>
      <c r="P144" s="159">
        <v>17</v>
      </c>
      <c r="Q144" s="168">
        <v>18</v>
      </c>
      <c r="R144" s="172">
        <f t="shared" si="22"/>
        <v>0.68</v>
      </c>
      <c r="S144" s="172">
        <f t="shared" si="23"/>
        <v>0.72</v>
      </c>
    </row>
    <row r="145" spans="1:22">
      <c r="A145" s="82">
        <v>144</v>
      </c>
      <c r="B145" s="199" t="s">
        <v>367</v>
      </c>
      <c r="C145" s="168" t="s">
        <v>295</v>
      </c>
      <c r="D145" s="168" t="s">
        <v>296</v>
      </c>
      <c r="E145" s="168" t="s">
        <v>281</v>
      </c>
      <c r="F145" s="169" t="s">
        <v>374</v>
      </c>
      <c r="G145" s="168">
        <v>120</v>
      </c>
      <c r="H145" s="168">
        <v>600</v>
      </c>
      <c r="I145" s="170">
        <v>44543</v>
      </c>
      <c r="J145" s="170">
        <v>44719</v>
      </c>
      <c r="K145" s="171">
        <v>3371400</v>
      </c>
      <c r="L145" s="171">
        <f>K145/H145</f>
        <v>5619</v>
      </c>
      <c r="M145" s="171" t="s">
        <v>399</v>
      </c>
      <c r="N145" s="171" t="s">
        <v>417</v>
      </c>
      <c r="O145" s="168">
        <v>20</v>
      </c>
      <c r="P145" s="159">
        <v>9</v>
      </c>
      <c r="Q145" s="168">
        <v>9</v>
      </c>
      <c r="R145" s="172">
        <f t="shared" si="22"/>
        <v>0.45</v>
      </c>
      <c r="S145" s="172">
        <f t="shared" si="23"/>
        <v>0.45</v>
      </c>
    </row>
    <row r="146" spans="1:22">
      <c r="A146" s="82">
        <v>145</v>
      </c>
      <c r="B146" s="199" t="s">
        <v>367</v>
      </c>
      <c r="C146" s="168" t="s">
        <v>378</v>
      </c>
      <c r="D146" s="168" t="s">
        <v>229</v>
      </c>
      <c r="E146" s="168" t="s">
        <v>398</v>
      </c>
      <c r="F146" s="169" t="s">
        <v>383</v>
      </c>
      <c r="G146" s="168">
        <v>124</v>
      </c>
      <c r="H146" s="168">
        <v>370</v>
      </c>
      <c r="I146" s="170">
        <v>44544</v>
      </c>
      <c r="J146" s="170">
        <v>44683</v>
      </c>
      <c r="K146" s="171">
        <v>2305470</v>
      </c>
      <c r="L146" s="171">
        <v>6231</v>
      </c>
      <c r="M146" s="171" t="s">
        <v>418</v>
      </c>
      <c r="N146" s="171" t="s">
        <v>385</v>
      </c>
      <c r="O146" s="168">
        <v>13</v>
      </c>
      <c r="P146" s="159">
        <v>11</v>
      </c>
      <c r="Q146" s="168">
        <v>16</v>
      </c>
      <c r="R146" s="172">
        <f t="shared" si="22"/>
        <v>0.84615384615384615</v>
      </c>
      <c r="S146" s="172">
        <f t="shared" si="23"/>
        <v>1.2307692307692308</v>
      </c>
    </row>
    <row r="147" spans="1:22">
      <c r="A147" s="82">
        <v>146</v>
      </c>
      <c r="B147" s="199" t="s">
        <v>367</v>
      </c>
      <c r="C147" s="168" t="s">
        <v>295</v>
      </c>
      <c r="D147" s="168" t="s">
        <v>402</v>
      </c>
      <c r="E147" s="168" t="s">
        <v>405</v>
      </c>
      <c r="F147" s="169" t="s">
        <v>419</v>
      </c>
      <c r="G147" s="168">
        <v>70</v>
      </c>
      <c r="H147" s="168" t="s">
        <v>370</v>
      </c>
      <c r="I147" s="170">
        <v>44545</v>
      </c>
      <c r="J147" s="170">
        <v>44648</v>
      </c>
      <c r="K147" s="175">
        <v>1770360</v>
      </c>
      <c r="L147" s="176">
        <v>6545</v>
      </c>
      <c r="M147" s="175" t="s">
        <v>418</v>
      </c>
      <c r="N147" s="175" t="s">
        <v>387</v>
      </c>
      <c r="O147" s="168">
        <v>20</v>
      </c>
      <c r="P147" s="168">
        <v>9</v>
      </c>
      <c r="Q147" s="168">
        <v>9</v>
      </c>
      <c r="R147" s="172">
        <f t="shared" si="22"/>
        <v>0.45</v>
      </c>
      <c r="S147" s="172">
        <f t="shared" si="23"/>
        <v>0.45</v>
      </c>
    </row>
    <row r="148" spans="1:22">
      <c r="A148" s="82">
        <v>147</v>
      </c>
      <c r="B148" s="199" t="s">
        <v>367</v>
      </c>
      <c r="C148" s="168" t="s">
        <v>249</v>
      </c>
      <c r="D148" s="168" t="s">
        <v>368</v>
      </c>
      <c r="E148" s="168" t="s">
        <v>405</v>
      </c>
      <c r="F148" s="169" t="s">
        <v>377</v>
      </c>
      <c r="G148" s="168">
        <v>64</v>
      </c>
      <c r="H148" s="168">
        <v>320</v>
      </c>
      <c r="I148" s="170">
        <v>44545</v>
      </c>
      <c r="J148" s="170">
        <v>44638</v>
      </c>
      <c r="K148" s="171">
        <v>2108160</v>
      </c>
      <c r="L148" s="171">
        <f>K148/H148</f>
        <v>6588</v>
      </c>
      <c r="M148" s="171" t="s">
        <v>418</v>
      </c>
      <c r="N148" s="171" t="s">
        <v>417</v>
      </c>
      <c r="O148" s="168">
        <v>20</v>
      </c>
      <c r="P148" s="159">
        <v>10</v>
      </c>
      <c r="Q148" s="168">
        <v>13</v>
      </c>
      <c r="R148" s="172">
        <f t="shared" si="22"/>
        <v>0.5</v>
      </c>
      <c r="S148" s="172">
        <f t="shared" si="23"/>
        <v>0.65</v>
      </c>
    </row>
    <row r="149" spans="1:22">
      <c r="A149" s="82">
        <v>148</v>
      </c>
      <c r="B149" s="199" t="s">
        <v>367</v>
      </c>
      <c r="C149" s="168" t="s">
        <v>295</v>
      </c>
      <c r="D149" s="168" t="s">
        <v>420</v>
      </c>
      <c r="E149" s="168" t="s">
        <v>398</v>
      </c>
      <c r="F149" s="169" t="s">
        <v>421</v>
      </c>
      <c r="G149" s="168">
        <v>86</v>
      </c>
      <c r="H149" s="168">
        <v>600</v>
      </c>
      <c r="I149" s="170">
        <v>44546</v>
      </c>
      <c r="J149" s="170">
        <v>44672</v>
      </c>
      <c r="K149" s="171">
        <v>3927000</v>
      </c>
      <c r="L149" s="171">
        <v>6545</v>
      </c>
      <c r="M149" s="171" t="s">
        <v>422</v>
      </c>
      <c r="N149" s="171" t="s">
        <v>423</v>
      </c>
      <c r="O149" s="168">
        <v>20</v>
      </c>
      <c r="P149" s="159">
        <v>19</v>
      </c>
      <c r="Q149" s="168">
        <v>24</v>
      </c>
      <c r="R149" s="172">
        <f t="shared" si="22"/>
        <v>0.95</v>
      </c>
      <c r="S149" s="172">
        <f t="shared" si="23"/>
        <v>1.2</v>
      </c>
    </row>
    <row r="150" spans="1:22">
      <c r="A150" s="82">
        <v>149</v>
      </c>
      <c r="B150" s="199" t="s">
        <v>367</v>
      </c>
      <c r="C150" s="168" t="s">
        <v>295</v>
      </c>
      <c r="D150" s="168" t="s">
        <v>420</v>
      </c>
      <c r="E150" s="168" t="s">
        <v>398</v>
      </c>
      <c r="F150" s="169" t="s">
        <v>424</v>
      </c>
      <c r="G150" s="168">
        <v>95</v>
      </c>
      <c r="H150" s="168">
        <v>660</v>
      </c>
      <c r="I150" s="170">
        <v>44546</v>
      </c>
      <c r="J150" s="170">
        <v>44685</v>
      </c>
      <c r="K150" s="171">
        <v>3708540</v>
      </c>
      <c r="L150" s="171">
        <v>6231</v>
      </c>
      <c r="M150" s="171" t="s">
        <v>399</v>
      </c>
      <c r="N150" s="171" t="s">
        <v>423</v>
      </c>
      <c r="O150" s="168">
        <v>25</v>
      </c>
      <c r="P150" s="159">
        <v>23</v>
      </c>
      <c r="Q150" s="168">
        <v>25</v>
      </c>
      <c r="R150" s="172">
        <f t="shared" si="22"/>
        <v>0.92</v>
      </c>
      <c r="S150" s="172">
        <f t="shared" si="23"/>
        <v>1</v>
      </c>
    </row>
    <row r="151" spans="1:22">
      <c r="A151" s="82">
        <v>150</v>
      </c>
      <c r="B151" s="199" t="s">
        <v>367</v>
      </c>
      <c r="C151" s="168" t="s">
        <v>252</v>
      </c>
      <c r="D151" s="168" t="s">
        <v>425</v>
      </c>
      <c r="E151" s="168" t="s">
        <v>398</v>
      </c>
      <c r="F151" s="169" t="s">
        <v>426</v>
      </c>
      <c r="G151" s="168">
        <v>107</v>
      </c>
      <c r="H151" s="168">
        <v>600</v>
      </c>
      <c r="I151" s="170">
        <v>44550</v>
      </c>
      <c r="J151" s="170">
        <v>44719</v>
      </c>
      <c r="K151" s="175">
        <v>3798630</v>
      </c>
      <c r="L151" s="176">
        <v>6288</v>
      </c>
      <c r="M151" s="175" t="s">
        <v>384</v>
      </c>
      <c r="N151" s="175" t="s">
        <v>417</v>
      </c>
      <c r="O151" s="168">
        <v>23</v>
      </c>
      <c r="P151" s="168">
        <v>17</v>
      </c>
      <c r="Q151" s="168">
        <v>17</v>
      </c>
      <c r="R151" s="172">
        <f t="shared" si="22"/>
        <v>0.73913043478260865</v>
      </c>
      <c r="S151" s="172">
        <f t="shared" si="23"/>
        <v>0.73913043478260865</v>
      </c>
      <c r="T151" s="444">
        <v>4.5999999999999996</v>
      </c>
    </row>
    <row r="152" spans="1:22">
      <c r="A152" s="82">
        <v>151</v>
      </c>
      <c r="B152" s="199" t="s">
        <v>367</v>
      </c>
      <c r="C152" s="168" t="s">
        <v>240</v>
      </c>
      <c r="D152" s="168" t="s">
        <v>371</v>
      </c>
      <c r="E152" s="168" t="s">
        <v>405</v>
      </c>
      <c r="F152" s="169" t="s">
        <v>390</v>
      </c>
      <c r="G152" s="168">
        <v>60</v>
      </c>
      <c r="H152" s="168">
        <v>320</v>
      </c>
      <c r="I152" s="170">
        <v>44550</v>
      </c>
      <c r="J152" s="170">
        <v>44638</v>
      </c>
      <c r="K152" s="171">
        <v>2069760</v>
      </c>
      <c r="L152" s="174">
        <v>6468</v>
      </c>
      <c r="M152" s="171" t="s">
        <v>391</v>
      </c>
      <c r="N152" s="171" t="s">
        <v>410</v>
      </c>
      <c r="O152" s="168">
        <v>13</v>
      </c>
      <c r="P152" s="159">
        <v>9</v>
      </c>
      <c r="Q152" s="168">
        <v>10</v>
      </c>
      <c r="R152" s="172">
        <f t="shared" si="22"/>
        <v>0.69230769230769229</v>
      </c>
      <c r="S152" s="172">
        <f t="shared" si="23"/>
        <v>0.76923076923076927</v>
      </c>
    </row>
    <row r="153" spans="1:22">
      <c r="A153" s="82">
        <v>152</v>
      </c>
      <c r="B153" s="199" t="s">
        <v>367</v>
      </c>
      <c r="C153" s="168" t="s">
        <v>240</v>
      </c>
      <c r="D153" s="168" t="s">
        <v>420</v>
      </c>
      <c r="E153" s="168" t="s">
        <v>372</v>
      </c>
      <c r="F153" s="169" t="s">
        <v>427</v>
      </c>
      <c r="G153" s="168">
        <v>60</v>
      </c>
      <c r="H153" s="168">
        <v>300</v>
      </c>
      <c r="I153" s="170">
        <v>44550</v>
      </c>
      <c r="J153" s="170">
        <v>44662</v>
      </c>
      <c r="K153" s="171">
        <v>1940400</v>
      </c>
      <c r="L153" s="174">
        <f>K153/H153</f>
        <v>6468</v>
      </c>
      <c r="M153" s="171" t="s">
        <v>409</v>
      </c>
      <c r="N153" s="171" t="s">
        <v>392</v>
      </c>
      <c r="O153" s="168">
        <v>14</v>
      </c>
      <c r="P153" s="159">
        <v>13</v>
      </c>
      <c r="Q153" s="168">
        <v>17</v>
      </c>
      <c r="R153" s="172">
        <f t="shared" si="22"/>
        <v>0.9285714285714286</v>
      </c>
      <c r="S153" s="172">
        <f t="shared" si="23"/>
        <v>1.2142857142857142</v>
      </c>
    </row>
    <row r="154" spans="1:22">
      <c r="A154" s="82">
        <v>153</v>
      </c>
      <c r="B154" s="199" t="s">
        <v>367</v>
      </c>
      <c r="C154" s="159" t="s">
        <v>411</v>
      </c>
      <c r="D154" s="159" t="s">
        <v>397</v>
      </c>
      <c r="E154" s="159" t="s">
        <v>370</v>
      </c>
      <c r="F154" s="231" t="s">
        <v>388</v>
      </c>
      <c r="G154" s="159">
        <v>92</v>
      </c>
      <c r="H154" s="159">
        <v>736</v>
      </c>
      <c r="I154" s="230">
        <v>44551</v>
      </c>
      <c r="J154" s="230">
        <v>44706</v>
      </c>
      <c r="K154" s="171">
        <v>5388980</v>
      </c>
      <c r="L154" s="171">
        <f>K154/H154</f>
        <v>7321.983695652174</v>
      </c>
      <c r="M154" s="159" t="s">
        <v>428</v>
      </c>
      <c r="N154" s="159" t="s">
        <v>429</v>
      </c>
      <c r="O154" s="159">
        <v>35</v>
      </c>
      <c r="P154" s="232">
        <v>24</v>
      </c>
      <c r="Q154" s="159">
        <v>25</v>
      </c>
      <c r="R154" s="172">
        <f t="shared" si="22"/>
        <v>0.68571428571428572</v>
      </c>
      <c r="S154" s="172">
        <f t="shared" si="23"/>
        <v>0.7142857142857143</v>
      </c>
    </row>
    <row r="155" spans="1:22">
      <c r="A155" s="82">
        <v>154</v>
      </c>
      <c r="B155" s="199" t="s">
        <v>367</v>
      </c>
      <c r="C155" s="168" t="s">
        <v>295</v>
      </c>
      <c r="D155" s="168" t="s">
        <v>375</v>
      </c>
      <c r="E155" s="168" t="s">
        <v>405</v>
      </c>
      <c r="F155" s="169" t="s">
        <v>430</v>
      </c>
      <c r="G155" s="168">
        <v>70</v>
      </c>
      <c r="H155" s="168">
        <v>280</v>
      </c>
      <c r="I155" s="170">
        <v>44557</v>
      </c>
      <c r="J155" s="170">
        <v>44663</v>
      </c>
      <c r="K155" s="171">
        <v>1832600</v>
      </c>
      <c r="L155" s="171">
        <f>K155/H155</f>
        <v>6545</v>
      </c>
      <c r="M155" s="171" t="s">
        <v>407</v>
      </c>
      <c r="N155" s="171" t="s">
        <v>431</v>
      </c>
      <c r="O155" s="168">
        <v>12</v>
      </c>
      <c r="P155" s="159">
        <v>9</v>
      </c>
      <c r="Q155" s="168">
        <v>9</v>
      </c>
      <c r="R155" s="172">
        <f t="shared" si="22"/>
        <v>0.75</v>
      </c>
      <c r="S155" s="172">
        <f t="shared" si="23"/>
        <v>0.75</v>
      </c>
    </row>
    <row r="156" spans="1:22">
      <c r="A156" s="82">
        <v>155</v>
      </c>
      <c r="B156" s="199" t="s">
        <v>367</v>
      </c>
      <c r="C156" s="168" t="s">
        <v>295</v>
      </c>
      <c r="D156" s="168" t="s">
        <v>425</v>
      </c>
      <c r="E156" s="168" t="s">
        <v>405</v>
      </c>
      <c r="F156" s="169" t="s">
        <v>432</v>
      </c>
      <c r="G156" s="168">
        <v>70</v>
      </c>
      <c r="H156" s="168">
        <v>280</v>
      </c>
      <c r="I156" s="170">
        <v>44558</v>
      </c>
      <c r="J156" s="170">
        <v>44669</v>
      </c>
      <c r="K156" s="175">
        <v>1573320</v>
      </c>
      <c r="L156" s="176">
        <v>6231</v>
      </c>
      <c r="M156" s="175" t="s">
        <v>418</v>
      </c>
      <c r="N156" s="175" t="s">
        <v>433</v>
      </c>
      <c r="O156" s="168">
        <v>23</v>
      </c>
      <c r="P156" s="168">
        <v>10</v>
      </c>
      <c r="Q156" s="168">
        <v>13</v>
      </c>
      <c r="R156" s="172">
        <f t="shared" si="22"/>
        <v>0.43478260869565216</v>
      </c>
      <c r="S156" s="172">
        <f t="shared" si="23"/>
        <v>0.56521739130434778</v>
      </c>
      <c r="T156" s="444">
        <v>4.4000000000000004</v>
      </c>
    </row>
    <row r="157" spans="1:22">
      <c r="A157" s="82">
        <v>156</v>
      </c>
      <c r="B157" s="199" t="s">
        <v>367</v>
      </c>
      <c r="C157" s="168" t="s">
        <v>295</v>
      </c>
      <c r="D157" s="168" t="s">
        <v>420</v>
      </c>
      <c r="E157" s="168" t="s">
        <v>372</v>
      </c>
      <c r="F157" s="169" t="s">
        <v>434</v>
      </c>
      <c r="G157" s="168">
        <v>75</v>
      </c>
      <c r="H157" s="168">
        <v>300</v>
      </c>
      <c r="I157" s="170">
        <v>44558</v>
      </c>
      <c r="J157" s="170">
        <v>44669</v>
      </c>
      <c r="K157" s="171">
        <v>1869300</v>
      </c>
      <c r="L157" s="171">
        <v>6231</v>
      </c>
      <c r="M157" s="171" t="s">
        <v>373</v>
      </c>
      <c r="N157" s="171" t="s">
        <v>435</v>
      </c>
      <c r="O157" s="168">
        <v>20</v>
      </c>
      <c r="P157" s="159">
        <v>14</v>
      </c>
      <c r="Q157" s="168">
        <v>26</v>
      </c>
      <c r="R157" s="172">
        <f t="shared" si="22"/>
        <v>0.7</v>
      </c>
      <c r="S157" s="172">
        <f t="shared" si="23"/>
        <v>1.3</v>
      </c>
    </row>
    <row r="158" spans="1:22">
      <c r="A158" s="82">
        <v>157</v>
      </c>
      <c r="B158" s="199" t="s">
        <v>367</v>
      </c>
      <c r="C158" s="159" t="s">
        <v>411</v>
      </c>
      <c r="D158" s="159" t="s">
        <v>246</v>
      </c>
      <c r="E158" s="159" t="s">
        <v>370</v>
      </c>
      <c r="F158" s="231" t="s">
        <v>436</v>
      </c>
      <c r="G158" s="159">
        <v>92</v>
      </c>
      <c r="H158" s="159">
        <v>736</v>
      </c>
      <c r="I158" s="230">
        <v>44558</v>
      </c>
      <c r="J158" s="230">
        <v>44704</v>
      </c>
      <c r="K158" s="171">
        <v>4848760</v>
      </c>
      <c r="L158" s="171">
        <f>K158/H158</f>
        <v>6587.989130434783</v>
      </c>
      <c r="M158" s="159" t="s">
        <v>399</v>
      </c>
      <c r="N158" s="159" t="s">
        <v>429</v>
      </c>
      <c r="O158" s="159">
        <v>35</v>
      </c>
      <c r="P158" s="159">
        <v>18</v>
      </c>
      <c r="Q158" s="159">
        <v>23</v>
      </c>
      <c r="R158" s="172">
        <f t="shared" si="22"/>
        <v>0.51428571428571423</v>
      </c>
      <c r="S158" s="172">
        <f t="shared" si="23"/>
        <v>0.65714285714285714</v>
      </c>
    </row>
    <row r="159" spans="1:22" s="248" customFormat="1">
      <c r="A159" s="82">
        <v>158</v>
      </c>
      <c r="B159" s="199" t="s">
        <v>247</v>
      </c>
      <c r="C159" s="168" t="s">
        <v>462</v>
      </c>
      <c r="D159" s="168" t="s">
        <v>226</v>
      </c>
      <c r="E159" s="168" t="s">
        <v>463</v>
      </c>
      <c r="F159" s="169" t="s">
        <v>464</v>
      </c>
      <c r="G159" s="168">
        <v>84</v>
      </c>
      <c r="H159" s="168">
        <v>280</v>
      </c>
      <c r="I159" s="170">
        <v>44558</v>
      </c>
      <c r="J159" s="170">
        <v>44680</v>
      </c>
      <c r="K159" s="171">
        <v>1788970</v>
      </c>
      <c r="L159" s="171">
        <f t="shared" ref="L159" si="24">K159/H159</f>
        <v>6389.1785714285716</v>
      </c>
      <c r="M159" s="171" t="s">
        <v>465</v>
      </c>
      <c r="N159" s="171" t="s">
        <v>466</v>
      </c>
      <c r="O159" s="168">
        <v>30</v>
      </c>
      <c r="P159" s="159">
        <v>14</v>
      </c>
      <c r="Q159" s="168">
        <v>15</v>
      </c>
      <c r="R159" s="172">
        <f t="shared" ref="R159" si="25">P159/O159</f>
        <v>0.46666666666666667</v>
      </c>
      <c r="S159" s="172">
        <f t="shared" ref="S159" si="26">Q159/O159</f>
        <v>0.5</v>
      </c>
      <c r="T159" s="444">
        <v>3.4</v>
      </c>
      <c r="U159" s="246"/>
      <c r="V159" s="247" t="s">
        <v>467</v>
      </c>
    </row>
    <row r="160" spans="1:22">
      <c r="A160" s="82">
        <v>159</v>
      </c>
      <c r="B160" s="199" t="s">
        <v>247</v>
      </c>
      <c r="C160" s="168" t="s">
        <v>456</v>
      </c>
      <c r="D160" s="168" t="s">
        <v>457</v>
      </c>
      <c r="E160" s="168" t="s">
        <v>458</v>
      </c>
      <c r="F160" s="249" t="s">
        <v>459</v>
      </c>
      <c r="G160" s="168">
        <v>70</v>
      </c>
      <c r="H160" s="168">
        <v>350</v>
      </c>
      <c r="I160" s="170">
        <v>44560</v>
      </c>
      <c r="J160" s="170">
        <v>44663</v>
      </c>
      <c r="K160" s="171">
        <v>2305800</v>
      </c>
      <c r="L160" s="174">
        <v>6588</v>
      </c>
      <c r="M160" s="171" t="s">
        <v>460</v>
      </c>
      <c r="N160" s="171" t="s">
        <v>461</v>
      </c>
      <c r="O160" s="168">
        <v>20</v>
      </c>
      <c r="P160" s="159">
        <v>8</v>
      </c>
      <c r="Q160" s="168">
        <v>10</v>
      </c>
      <c r="R160" s="172">
        <f t="shared" si="22"/>
        <v>0.4</v>
      </c>
      <c r="S160" s="172">
        <f t="shared" si="23"/>
        <v>0.5</v>
      </c>
    </row>
    <row r="161" spans="1:19">
      <c r="A161" s="82">
        <v>160</v>
      </c>
      <c r="B161" s="199" t="s">
        <v>367</v>
      </c>
      <c r="C161" s="168" t="s">
        <v>401</v>
      </c>
      <c r="D161" s="168" t="s">
        <v>246</v>
      </c>
      <c r="E161" s="168" t="s">
        <v>405</v>
      </c>
      <c r="F161" s="169" t="s">
        <v>437</v>
      </c>
      <c r="G161" s="168">
        <v>93</v>
      </c>
      <c r="H161" s="168">
        <v>370</v>
      </c>
      <c r="I161" s="170">
        <v>44561</v>
      </c>
      <c r="J161" s="170">
        <v>44672</v>
      </c>
      <c r="K161" s="171">
        <v>2305470</v>
      </c>
      <c r="L161" s="176">
        <f>K161/H161</f>
        <v>6231</v>
      </c>
      <c r="M161" s="171" t="s">
        <v>438</v>
      </c>
      <c r="N161" s="171" t="s">
        <v>439</v>
      </c>
      <c r="O161" s="168">
        <v>20</v>
      </c>
      <c r="P161" s="159">
        <v>7</v>
      </c>
      <c r="Q161" s="168">
        <v>8</v>
      </c>
      <c r="R161" s="172">
        <f t="shared" si="22"/>
        <v>0.35</v>
      </c>
      <c r="S161" s="172">
        <f t="shared" si="23"/>
        <v>0.4</v>
      </c>
    </row>
    <row r="162" spans="1:19">
      <c r="A162" s="82">
        <v>161</v>
      </c>
      <c r="B162" s="199" t="s">
        <v>367</v>
      </c>
      <c r="C162" s="168" t="s">
        <v>396</v>
      </c>
      <c r="D162" s="168" t="s">
        <v>415</v>
      </c>
      <c r="E162" s="168" t="s">
        <v>405</v>
      </c>
      <c r="F162" s="169" t="s">
        <v>440</v>
      </c>
      <c r="G162" s="168">
        <v>56</v>
      </c>
      <c r="H162" s="168">
        <v>280</v>
      </c>
      <c r="I162" s="170">
        <v>44561</v>
      </c>
      <c r="J162" s="170">
        <v>44644</v>
      </c>
      <c r="K162" s="171">
        <v>1832600</v>
      </c>
      <c r="L162" s="171">
        <f>K162/H162</f>
        <v>6545</v>
      </c>
      <c r="M162" s="171" t="s">
        <v>407</v>
      </c>
      <c r="N162" s="171" t="s">
        <v>441</v>
      </c>
      <c r="O162" s="168">
        <v>21</v>
      </c>
      <c r="P162" s="159">
        <v>11</v>
      </c>
      <c r="Q162" s="168">
        <v>11</v>
      </c>
      <c r="R162" s="172">
        <f t="shared" si="22"/>
        <v>0.52380952380952384</v>
      </c>
      <c r="S162" s="172">
        <f t="shared" si="23"/>
        <v>0.52380952380952384</v>
      </c>
    </row>
    <row r="163" spans="1:19">
      <c r="A163" s="82">
        <v>162</v>
      </c>
      <c r="B163" s="199" t="s">
        <v>367</v>
      </c>
      <c r="C163" s="168" t="s">
        <v>396</v>
      </c>
      <c r="D163" s="168" t="s">
        <v>380</v>
      </c>
      <c r="E163" s="168" t="s">
        <v>405</v>
      </c>
      <c r="F163" s="169" t="s">
        <v>389</v>
      </c>
      <c r="G163" s="168">
        <v>58</v>
      </c>
      <c r="H163" s="168">
        <v>290</v>
      </c>
      <c r="I163" s="170">
        <v>44561</v>
      </c>
      <c r="J163" s="170">
        <v>44648</v>
      </c>
      <c r="K163" s="171">
        <v>1629510</v>
      </c>
      <c r="L163" s="171">
        <f>K163/H163</f>
        <v>5619</v>
      </c>
      <c r="M163" s="171" t="s">
        <v>376</v>
      </c>
      <c r="N163" s="171" t="s">
        <v>442</v>
      </c>
      <c r="O163" s="168">
        <v>21</v>
      </c>
      <c r="P163" s="159">
        <v>7</v>
      </c>
      <c r="Q163" s="168">
        <v>8</v>
      </c>
      <c r="R163" s="172">
        <f t="shared" si="22"/>
        <v>0.33333333333333331</v>
      </c>
      <c r="S163" s="172">
        <f t="shared" si="23"/>
        <v>0.38095238095238093</v>
      </c>
    </row>
    <row r="164" spans="1:19">
      <c r="A164" s="82">
        <v>163</v>
      </c>
      <c r="B164" s="199" t="s">
        <v>367</v>
      </c>
      <c r="C164" s="168" t="s">
        <v>394</v>
      </c>
      <c r="D164" s="168" t="s">
        <v>443</v>
      </c>
      <c r="E164" s="168" t="s">
        <v>405</v>
      </c>
      <c r="F164" s="169" t="s">
        <v>444</v>
      </c>
      <c r="G164" s="168">
        <v>48</v>
      </c>
      <c r="H164" s="168">
        <v>240</v>
      </c>
      <c r="I164" s="170">
        <v>44561</v>
      </c>
      <c r="J164" s="170">
        <v>44678</v>
      </c>
      <c r="K164" s="171">
        <v>1552320</v>
      </c>
      <c r="L164" s="174">
        <f>K164/H164</f>
        <v>6468</v>
      </c>
      <c r="M164" s="171" t="s">
        <v>395</v>
      </c>
      <c r="N164" s="171" t="s">
        <v>410</v>
      </c>
      <c r="O164" s="168">
        <v>11</v>
      </c>
      <c r="P164" s="159">
        <v>7</v>
      </c>
      <c r="Q164" s="168">
        <v>7</v>
      </c>
      <c r="R164" s="172">
        <f t="shared" si="22"/>
        <v>0.63636363636363635</v>
      </c>
      <c r="S164" s="172">
        <f t="shared" si="23"/>
        <v>0.63636363636363635</v>
      </c>
    </row>
  </sheetData>
  <autoFilter ref="A1:S164" xr:uid="{00000000-0009-0000-0000-000006000000}"/>
  <phoneticPr fontId="6" type="noConversion"/>
  <pageMargins left="0.7" right="0.7" top="0.75" bottom="0.75" header="0.3" footer="0.3"/>
  <pageSetup paperSize="9" scale="53" orientation="landscape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0.79998168889431442"/>
    <pageSetUpPr fitToPage="1"/>
  </sheetPr>
  <dimension ref="A1:T148"/>
  <sheetViews>
    <sheetView zoomScaleNormal="100" workbookViewId="0">
      <selection activeCell="J12" sqref="J12"/>
    </sheetView>
  </sheetViews>
  <sheetFormatPr defaultColWidth="9" defaultRowHeight="13.5"/>
  <cols>
    <col min="1" max="1" width="6.5" style="1" customWidth="1"/>
    <col min="2" max="2" width="10.375" style="481" customWidth="1"/>
    <col min="3" max="3" width="8.875" style="481" customWidth="1"/>
    <col min="4" max="4" width="7.375" style="481" customWidth="1"/>
    <col min="5" max="5" width="51.25" style="481" customWidth="1"/>
    <col min="6" max="6" width="5.75" style="481" customWidth="1"/>
    <col min="7" max="7" width="8" style="481" bestFit="1" customWidth="1"/>
    <col min="8" max="9" width="9.75" style="481" bestFit="1" customWidth="1"/>
    <col min="10" max="10" width="11.5" style="481" bestFit="1" customWidth="1"/>
    <col min="11" max="11" width="9.25" style="481" bestFit="1" customWidth="1"/>
    <col min="12" max="12" width="8" style="481" bestFit="1" customWidth="1"/>
    <col min="13" max="13" width="11.75" style="481" bestFit="1" customWidth="1"/>
    <col min="14" max="14" width="5" style="481" customWidth="1"/>
    <col min="15" max="15" width="7.875" style="1" customWidth="1"/>
    <col min="16" max="16" width="7.5" style="481" customWidth="1"/>
    <col min="17" max="17" width="6.875" style="1" customWidth="1"/>
    <col min="18" max="18" width="7.25" style="1" customWidth="1"/>
    <col min="19" max="19" width="9" style="1"/>
    <col min="20" max="20" width="11.5" style="1" bestFit="1" customWidth="1"/>
    <col min="21" max="16384" width="9" style="1"/>
  </cols>
  <sheetData>
    <row r="1" spans="1:20" ht="21" thickBot="1">
      <c r="B1" s="777" t="s">
        <v>1277</v>
      </c>
      <c r="C1" s="777"/>
      <c r="D1" s="777"/>
      <c r="E1" s="777"/>
      <c r="F1" s="777"/>
      <c r="G1" s="777"/>
      <c r="H1" s="777"/>
      <c r="I1" s="777"/>
      <c r="J1" s="777"/>
      <c r="K1" s="777"/>
      <c r="L1" s="777"/>
      <c r="M1" s="777"/>
      <c r="N1" s="777"/>
      <c r="O1" s="777"/>
      <c r="P1" s="777"/>
      <c r="Q1" s="777"/>
      <c r="R1" s="777"/>
    </row>
    <row r="2" spans="1:20" ht="15" customHeight="1" thickBot="1">
      <c r="A2" s="1259" t="s">
        <v>1278</v>
      </c>
      <c r="B2" s="1242" t="s">
        <v>1279</v>
      </c>
      <c r="C2" s="1242" t="s">
        <v>13</v>
      </c>
      <c r="D2" s="1242" t="s">
        <v>12</v>
      </c>
      <c r="E2" s="1261" t="s">
        <v>11</v>
      </c>
      <c r="F2" s="1242" t="s">
        <v>1280</v>
      </c>
      <c r="G2" s="1242" t="s">
        <v>1281</v>
      </c>
      <c r="H2" s="1266" t="s">
        <v>1282</v>
      </c>
      <c r="I2" s="1266"/>
      <c r="J2" s="1255" t="s">
        <v>21</v>
      </c>
      <c r="K2" s="1255" t="s">
        <v>1283</v>
      </c>
      <c r="L2" s="1255" t="s">
        <v>1284</v>
      </c>
      <c r="M2" s="1255" t="s">
        <v>1285</v>
      </c>
      <c r="N2" s="1242" t="s">
        <v>10</v>
      </c>
      <c r="O2" s="1242" t="s">
        <v>1286</v>
      </c>
      <c r="P2" s="1242" t="s">
        <v>25</v>
      </c>
      <c r="Q2" s="1242" t="s">
        <v>26</v>
      </c>
      <c r="R2" s="1263" t="s">
        <v>1287</v>
      </c>
      <c r="S2" s="1" t="s">
        <v>1288</v>
      </c>
      <c r="T2" s="1" t="s">
        <v>1289</v>
      </c>
    </row>
    <row r="3" spans="1:20" ht="15" customHeight="1" thickBot="1">
      <c r="A3" s="1265"/>
      <c r="B3" s="1243"/>
      <c r="C3" s="1243"/>
      <c r="D3" s="1243"/>
      <c r="E3" s="1262"/>
      <c r="F3" s="1243"/>
      <c r="G3" s="1243"/>
      <c r="H3" s="778" t="s">
        <v>1290</v>
      </c>
      <c r="I3" s="778" t="s">
        <v>1291</v>
      </c>
      <c r="J3" s="1256"/>
      <c r="K3" s="1256"/>
      <c r="L3" s="1256"/>
      <c r="M3" s="1256"/>
      <c r="N3" s="1243"/>
      <c r="O3" s="1243"/>
      <c r="P3" s="1243"/>
      <c r="Q3" s="1243"/>
      <c r="R3" s="1264"/>
    </row>
    <row r="4" spans="1:20" ht="22.5" customHeight="1">
      <c r="A4" s="1268" t="s">
        <v>1292</v>
      </c>
      <c r="B4" s="282" t="s">
        <v>825</v>
      </c>
      <c r="C4" s="224" t="s">
        <v>1293</v>
      </c>
      <c r="D4" s="224" t="s">
        <v>1214</v>
      </c>
      <c r="E4" s="224" t="s">
        <v>1294</v>
      </c>
      <c r="F4" s="224">
        <v>92</v>
      </c>
      <c r="G4" s="224">
        <v>730</v>
      </c>
      <c r="H4" s="225">
        <v>43850</v>
      </c>
      <c r="I4" s="225">
        <v>43992</v>
      </c>
      <c r="J4" s="37">
        <v>4799020</v>
      </c>
      <c r="K4" s="37"/>
      <c r="L4" s="37"/>
      <c r="M4" s="37"/>
      <c r="N4" s="224">
        <v>35</v>
      </c>
      <c r="O4" s="113">
        <v>33</v>
      </c>
      <c r="P4" s="284">
        <v>33</v>
      </c>
      <c r="Q4" s="114">
        <f t="shared" ref="Q4:Q7" si="0">O4/N4</f>
        <v>0.94285714285714284</v>
      </c>
      <c r="R4" s="323">
        <f t="shared" ref="R4:R7" si="1">P4/N4</f>
        <v>0.94285714285714284</v>
      </c>
      <c r="S4" s="779">
        <f>O4*90%</f>
        <v>29.7</v>
      </c>
      <c r="T4" s="780">
        <f>J4*S4</f>
        <v>142530894</v>
      </c>
    </row>
    <row r="5" spans="1:20" ht="22.5" customHeight="1" thickBot="1">
      <c r="A5" s="1268"/>
      <c r="B5" s="270" t="s">
        <v>825</v>
      </c>
      <c r="C5" s="83" t="s">
        <v>1293</v>
      </c>
      <c r="D5" s="83" t="s">
        <v>1214</v>
      </c>
      <c r="E5" s="83" t="s">
        <v>1295</v>
      </c>
      <c r="F5" s="83">
        <v>89</v>
      </c>
      <c r="G5" s="83">
        <v>708</v>
      </c>
      <c r="H5" s="85">
        <v>43851</v>
      </c>
      <c r="I5" s="85">
        <v>43986</v>
      </c>
      <c r="J5" s="28">
        <v>4640230</v>
      </c>
      <c r="K5" s="28"/>
      <c r="L5" s="28"/>
      <c r="M5" s="28"/>
      <c r="N5" s="83">
        <v>21</v>
      </c>
      <c r="O5" s="82">
        <v>21</v>
      </c>
      <c r="P5" s="110">
        <v>21</v>
      </c>
      <c r="Q5" s="115">
        <f t="shared" si="0"/>
        <v>1</v>
      </c>
      <c r="R5" s="312">
        <f t="shared" si="1"/>
        <v>1</v>
      </c>
      <c r="S5" s="779">
        <f t="shared" ref="S5:S6" si="2">O5*90%</f>
        <v>18.900000000000002</v>
      </c>
      <c r="T5" s="780">
        <f t="shared" ref="T5:T6" si="3">J5*S5</f>
        <v>87700347.000000015</v>
      </c>
    </row>
    <row r="6" spans="1:20" ht="22.5" customHeight="1" thickBot="1">
      <c r="A6" s="1268"/>
      <c r="B6" s="781" t="s">
        <v>1296</v>
      </c>
      <c r="C6" s="782" t="s">
        <v>1297</v>
      </c>
      <c r="D6" s="782" t="s">
        <v>1298</v>
      </c>
      <c r="E6" s="782" t="s">
        <v>1299</v>
      </c>
      <c r="F6" s="782">
        <v>48</v>
      </c>
      <c r="G6" s="782">
        <v>190</v>
      </c>
      <c r="H6" s="783">
        <v>43840</v>
      </c>
      <c r="I6" s="783">
        <v>43887</v>
      </c>
      <c r="J6" s="784">
        <v>1391560</v>
      </c>
      <c r="K6" s="784"/>
      <c r="L6" s="784"/>
      <c r="M6" s="784"/>
      <c r="N6" s="782">
        <v>22</v>
      </c>
      <c r="O6" s="785">
        <v>11</v>
      </c>
      <c r="P6" s="786">
        <v>11</v>
      </c>
      <c r="Q6" s="787">
        <f t="shared" si="0"/>
        <v>0.5</v>
      </c>
      <c r="R6" s="788">
        <f t="shared" si="1"/>
        <v>0.5</v>
      </c>
      <c r="S6" s="779">
        <f t="shared" si="2"/>
        <v>9.9</v>
      </c>
      <c r="T6" s="780">
        <f t="shared" si="3"/>
        <v>13776444</v>
      </c>
    </row>
    <row r="7" spans="1:20" ht="22.5" customHeight="1" thickBot="1">
      <c r="A7" s="1269"/>
      <c r="B7" s="1252" t="s">
        <v>1300</v>
      </c>
      <c r="C7" s="1252"/>
      <c r="D7" s="1253"/>
      <c r="E7" s="789" t="s">
        <v>1301</v>
      </c>
      <c r="F7" s="790">
        <f>SUM(F4:F6)/3</f>
        <v>76.333333333333329</v>
      </c>
      <c r="G7" s="790">
        <f>SUM(G4:G6)/3</f>
        <v>542.66666666666663</v>
      </c>
      <c r="H7" s="790"/>
      <c r="I7" s="790"/>
      <c r="J7" s="791">
        <f>SUM(J4:J6)/3</f>
        <v>3610270</v>
      </c>
      <c r="K7" s="791"/>
      <c r="L7" s="791"/>
      <c r="M7" s="791"/>
      <c r="N7" s="789">
        <f>SUM(N4:N6)</f>
        <v>78</v>
      </c>
      <c r="O7" s="789">
        <f>SUM(O4:O6)</f>
        <v>65</v>
      </c>
      <c r="P7" s="789">
        <f>SUM(P4:P6)</f>
        <v>65</v>
      </c>
      <c r="Q7" s="792">
        <f t="shared" si="0"/>
        <v>0.83333333333333337</v>
      </c>
      <c r="R7" s="793">
        <f t="shared" si="1"/>
        <v>0.83333333333333337</v>
      </c>
      <c r="S7" s="779">
        <f>SUM(S4:S6)</f>
        <v>58.5</v>
      </c>
      <c r="T7" s="780">
        <f>SUM(T4:T6)</f>
        <v>244007685</v>
      </c>
    </row>
    <row r="8" spans="1:20" ht="19.5" customHeight="1">
      <c r="B8" s="794" t="s">
        <v>1302</v>
      </c>
      <c r="O8" s="326"/>
    </row>
    <row r="9" spans="1:20" ht="21" thickBot="1">
      <c r="B9" s="777" t="s">
        <v>1303</v>
      </c>
      <c r="C9" s="777"/>
      <c r="D9" s="777"/>
      <c r="E9" s="777"/>
      <c r="F9" s="777"/>
      <c r="G9" s="777"/>
      <c r="H9" s="777"/>
      <c r="I9" s="777"/>
      <c r="J9" s="777"/>
      <c r="K9" s="777"/>
      <c r="L9" s="777"/>
      <c r="M9" s="777"/>
      <c r="N9" s="777"/>
      <c r="O9" s="777"/>
      <c r="P9" s="777"/>
      <c r="Q9" s="777"/>
      <c r="R9" s="777"/>
    </row>
    <row r="10" spans="1:20" ht="20.25" customHeight="1" thickBot="1">
      <c r="A10" s="1259" t="s">
        <v>1278</v>
      </c>
      <c r="B10" s="1242" t="s">
        <v>1279</v>
      </c>
      <c r="C10" s="1242" t="s">
        <v>1304</v>
      </c>
      <c r="D10" s="1242" t="s">
        <v>12</v>
      </c>
      <c r="E10" s="1261" t="s">
        <v>11</v>
      </c>
      <c r="F10" s="1242" t="s">
        <v>1280</v>
      </c>
      <c r="G10" s="1242" t="s">
        <v>1281</v>
      </c>
      <c r="H10" s="1266" t="s">
        <v>1282</v>
      </c>
      <c r="I10" s="1266"/>
      <c r="J10" s="1255" t="s">
        <v>1305</v>
      </c>
      <c r="K10" s="1255" t="s">
        <v>1283</v>
      </c>
      <c r="L10" s="1255" t="s">
        <v>1284</v>
      </c>
      <c r="M10" s="1255" t="s">
        <v>1285</v>
      </c>
      <c r="N10" s="1242" t="s">
        <v>10</v>
      </c>
      <c r="O10" s="1242" t="s">
        <v>1286</v>
      </c>
      <c r="P10" s="1242" t="s">
        <v>1306</v>
      </c>
      <c r="Q10" s="1242" t="s">
        <v>1307</v>
      </c>
      <c r="R10" s="1263" t="s">
        <v>1287</v>
      </c>
    </row>
    <row r="11" spans="1:20" ht="20.25" customHeight="1" thickBot="1">
      <c r="A11" s="1265"/>
      <c r="B11" s="1243"/>
      <c r="C11" s="1243"/>
      <c r="D11" s="1243"/>
      <c r="E11" s="1262"/>
      <c r="F11" s="1243"/>
      <c r="G11" s="1243"/>
      <c r="H11" s="778" t="s">
        <v>1290</v>
      </c>
      <c r="I11" s="778" t="s">
        <v>1291</v>
      </c>
      <c r="J11" s="1256"/>
      <c r="K11" s="1256"/>
      <c r="L11" s="1256"/>
      <c r="M11" s="1256"/>
      <c r="N11" s="1243"/>
      <c r="O11" s="1243"/>
      <c r="P11" s="1243"/>
      <c r="Q11" s="1243"/>
      <c r="R11" s="1264"/>
    </row>
    <row r="12" spans="1:20" ht="22.5" customHeight="1">
      <c r="A12" s="1268" t="s">
        <v>1308</v>
      </c>
      <c r="B12" s="282" t="s">
        <v>1309</v>
      </c>
      <c r="C12" s="224" t="s">
        <v>1310</v>
      </c>
      <c r="D12" s="224" t="s">
        <v>1298</v>
      </c>
      <c r="E12" s="224" t="s">
        <v>1311</v>
      </c>
      <c r="F12" s="224">
        <v>70</v>
      </c>
      <c r="G12" s="224">
        <v>280</v>
      </c>
      <c r="H12" s="225">
        <v>43874</v>
      </c>
      <c r="I12" s="225">
        <v>43977</v>
      </c>
      <c r="J12" s="37">
        <v>1757280</v>
      </c>
      <c r="K12" s="37"/>
      <c r="L12" s="37"/>
      <c r="M12" s="37"/>
      <c r="N12" s="224">
        <v>12</v>
      </c>
      <c r="O12" s="113">
        <v>5</v>
      </c>
      <c r="P12" s="284">
        <v>5</v>
      </c>
      <c r="Q12" s="114">
        <f t="shared" ref="Q12:Q19" si="4">O12/N12</f>
        <v>0.41666666666666669</v>
      </c>
      <c r="R12" s="114">
        <f t="shared" ref="R12:R19" si="5">P12/N12</f>
        <v>0.41666666666666669</v>
      </c>
      <c r="S12" s="779">
        <v>4</v>
      </c>
      <c r="T12" s="780">
        <f>J12*S12</f>
        <v>7029120</v>
      </c>
    </row>
    <row r="13" spans="1:20" ht="22.5" customHeight="1" thickBot="1">
      <c r="A13" s="1268"/>
      <c r="B13" s="329" t="s">
        <v>1309</v>
      </c>
      <c r="C13" s="205" t="s">
        <v>1310</v>
      </c>
      <c r="D13" s="205" t="s">
        <v>1312</v>
      </c>
      <c r="E13" s="205" t="s">
        <v>1313</v>
      </c>
      <c r="F13" s="205">
        <v>120</v>
      </c>
      <c r="G13" s="205">
        <v>600</v>
      </c>
      <c r="H13" s="208">
        <v>43874</v>
      </c>
      <c r="I13" s="208">
        <v>44054</v>
      </c>
      <c r="J13" s="44">
        <v>3157800</v>
      </c>
      <c r="K13" s="44"/>
      <c r="L13" s="44"/>
      <c r="M13" s="44"/>
      <c r="N13" s="205">
        <v>20</v>
      </c>
      <c r="O13" s="191">
        <v>7</v>
      </c>
      <c r="P13" s="206">
        <v>9</v>
      </c>
      <c r="Q13" s="227">
        <f t="shared" si="4"/>
        <v>0.35</v>
      </c>
      <c r="R13" s="227">
        <f t="shared" si="5"/>
        <v>0.45</v>
      </c>
      <c r="S13" s="779">
        <f t="shared" ref="S13:S18" si="6">O13*90%</f>
        <v>6.3</v>
      </c>
      <c r="T13" s="780">
        <f t="shared" ref="T13:T18" si="7">J13*S13</f>
        <v>19894140</v>
      </c>
    </row>
    <row r="14" spans="1:20" ht="22.5" customHeight="1" thickBot="1">
      <c r="A14" s="1268"/>
      <c r="B14" s="282" t="s">
        <v>1314</v>
      </c>
      <c r="C14" s="224" t="s">
        <v>1315</v>
      </c>
      <c r="D14" s="224" t="s">
        <v>1312</v>
      </c>
      <c r="E14" s="224" t="s">
        <v>1316</v>
      </c>
      <c r="F14" s="224">
        <v>145</v>
      </c>
      <c r="G14" s="224">
        <v>870</v>
      </c>
      <c r="H14" s="225">
        <v>43888</v>
      </c>
      <c r="I14" s="225">
        <v>44096</v>
      </c>
      <c r="J14" s="37">
        <v>5420970</v>
      </c>
      <c r="K14" s="37"/>
      <c r="L14" s="37"/>
      <c r="M14" s="37"/>
      <c r="N14" s="224">
        <v>20</v>
      </c>
      <c r="O14" s="113">
        <v>20</v>
      </c>
      <c r="P14" s="284">
        <v>45</v>
      </c>
      <c r="Q14" s="114">
        <f t="shared" si="4"/>
        <v>1</v>
      </c>
      <c r="R14" s="323">
        <f t="shared" si="5"/>
        <v>2.25</v>
      </c>
      <c r="S14" s="779">
        <f t="shared" si="6"/>
        <v>18</v>
      </c>
      <c r="T14" s="780">
        <f t="shared" si="7"/>
        <v>97577460</v>
      </c>
    </row>
    <row r="15" spans="1:20" ht="22.5" customHeight="1" thickBot="1">
      <c r="A15" s="1268"/>
      <c r="B15" s="282" t="s">
        <v>825</v>
      </c>
      <c r="C15" s="224" t="s">
        <v>1293</v>
      </c>
      <c r="D15" s="224" t="s">
        <v>1214</v>
      </c>
      <c r="E15" s="224" t="s">
        <v>1317</v>
      </c>
      <c r="F15" s="224">
        <v>136</v>
      </c>
      <c r="G15" s="224">
        <v>680</v>
      </c>
      <c r="H15" s="225">
        <v>43887</v>
      </c>
      <c r="I15" s="225">
        <v>44082</v>
      </c>
      <c r="J15" s="37">
        <v>4470320</v>
      </c>
      <c r="K15" s="37"/>
      <c r="L15" s="37"/>
      <c r="M15" s="37"/>
      <c r="N15" s="224">
        <v>21</v>
      </c>
      <c r="O15" s="113">
        <v>15</v>
      </c>
      <c r="P15" s="284">
        <v>18</v>
      </c>
      <c r="Q15" s="114">
        <f t="shared" si="4"/>
        <v>0.7142857142857143</v>
      </c>
      <c r="R15" s="323">
        <f t="shared" si="5"/>
        <v>0.8571428571428571</v>
      </c>
      <c r="S15" s="779">
        <f t="shared" si="6"/>
        <v>13.5</v>
      </c>
      <c r="T15" s="780">
        <f t="shared" si="7"/>
        <v>60349320</v>
      </c>
    </row>
    <row r="16" spans="1:20" ht="22.5" customHeight="1" thickBot="1">
      <c r="A16" s="1268"/>
      <c r="B16" s="781" t="s">
        <v>1296</v>
      </c>
      <c r="C16" s="782" t="s">
        <v>1297</v>
      </c>
      <c r="D16" s="782" t="s">
        <v>1312</v>
      </c>
      <c r="E16" s="782" t="s">
        <v>1318</v>
      </c>
      <c r="F16" s="782">
        <v>123</v>
      </c>
      <c r="G16" s="782">
        <v>860</v>
      </c>
      <c r="H16" s="783">
        <v>43885</v>
      </c>
      <c r="I16" s="783">
        <v>44039</v>
      </c>
      <c r="J16" s="784">
        <v>5665680</v>
      </c>
      <c r="K16" s="784"/>
      <c r="L16" s="784"/>
      <c r="M16" s="784"/>
      <c r="N16" s="782">
        <v>30</v>
      </c>
      <c r="O16" s="785">
        <v>30</v>
      </c>
      <c r="P16" s="786">
        <v>46</v>
      </c>
      <c r="Q16" s="787">
        <f t="shared" si="4"/>
        <v>1</v>
      </c>
      <c r="R16" s="788">
        <f t="shared" si="5"/>
        <v>1.5333333333333334</v>
      </c>
      <c r="S16" s="779">
        <f t="shared" si="6"/>
        <v>27</v>
      </c>
      <c r="T16" s="780">
        <f t="shared" si="7"/>
        <v>152973360</v>
      </c>
    </row>
    <row r="17" spans="1:20" ht="22.5" customHeight="1" thickBot="1">
      <c r="A17" s="1268"/>
      <c r="B17" s="282" t="s">
        <v>825</v>
      </c>
      <c r="C17" s="224" t="s">
        <v>1319</v>
      </c>
      <c r="D17" s="224" t="s">
        <v>1320</v>
      </c>
      <c r="E17" s="224" t="s">
        <v>1321</v>
      </c>
      <c r="F17" s="224">
        <v>90</v>
      </c>
      <c r="G17" s="224">
        <v>360</v>
      </c>
      <c r="H17" s="225">
        <v>43874</v>
      </c>
      <c r="I17" s="225">
        <v>44005</v>
      </c>
      <c r="J17" s="37">
        <v>2366640</v>
      </c>
      <c r="K17" s="37"/>
      <c r="L17" s="37"/>
      <c r="M17" s="37"/>
      <c r="N17" s="224">
        <v>20</v>
      </c>
      <c r="O17" s="113">
        <v>9</v>
      </c>
      <c r="P17" s="284">
        <v>9</v>
      </c>
      <c r="Q17" s="114">
        <f t="shared" si="4"/>
        <v>0.45</v>
      </c>
      <c r="R17" s="795">
        <f t="shared" si="5"/>
        <v>0.45</v>
      </c>
      <c r="S17" s="779">
        <f t="shared" si="6"/>
        <v>8.1</v>
      </c>
      <c r="T17" s="780">
        <f t="shared" si="7"/>
        <v>19169784</v>
      </c>
    </row>
    <row r="18" spans="1:20" ht="22.5" customHeight="1" thickBot="1">
      <c r="A18" s="1268"/>
      <c r="B18" s="282" t="s">
        <v>1322</v>
      </c>
      <c r="C18" s="224" t="s">
        <v>1315</v>
      </c>
      <c r="D18" s="224" t="s">
        <v>1312</v>
      </c>
      <c r="E18" s="224" t="s">
        <v>1323</v>
      </c>
      <c r="F18" s="224">
        <v>80</v>
      </c>
      <c r="G18" s="224">
        <v>640</v>
      </c>
      <c r="H18" s="225">
        <v>43886</v>
      </c>
      <c r="I18" s="225">
        <v>44004</v>
      </c>
      <c r="J18" s="37">
        <v>4024320</v>
      </c>
      <c r="K18" s="37"/>
      <c r="L18" s="37"/>
      <c r="M18" s="37"/>
      <c r="N18" s="224">
        <v>25</v>
      </c>
      <c r="O18" s="113">
        <v>19</v>
      </c>
      <c r="P18" s="284">
        <v>28</v>
      </c>
      <c r="Q18" s="114">
        <f t="shared" si="4"/>
        <v>0.76</v>
      </c>
      <c r="R18" s="795">
        <f t="shared" si="5"/>
        <v>1.1200000000000001</v>
      </c>
      <c r="S18" s="779">
        <f t="shared" si="6"/>
        <v>17.100000000000001</v>
      </c>
      <c r="T18" s="780">
        <f t="shared" si="7"/>
        <v>68815872</v>
      </c>
    </row>
    <row r="19" spans="1:20" ht="22.5" customHeight="1" thickBot="1">
      <c r="A19" s="1269"/>
      <c r="B19" s="1252" t="s">
        <v>1324</v>
      </c>
      <c r="C19" s="1252"/>
      <c r="D19" s="1253"/>
      <c r="E19" s="789" t="s">
        <v>1325</v>
      </c>
      <c r="F19" s="796">
        <f>SUM(F12:F18)/7</f>
        <v>109.14285714285714</v>
      </c>
      <c r="G19" s="796">
        <f>SUM(G12:G18)/7</f>
        <v>612.85714285714289</v>
      </c>
      <c r="H19" s="796"/>
      <c r="I19" s="796"/>
      <c r="J19" s="797">
        <f>SUM(J12:J18)/7</f>
        <v>3837572.8571428573</v>
      </c>
      <c r="K19" s="797"/>
      <c r="L19" s="797"/>
      <c r="M19" s="797"/>
      <c r="N19" s="789">
        <f>SUM(N12:N18)</f>
        <v>148</v>
      </c>
      <c r="O19" s="789">
        <f>SUM(O12:O18)</f>
        <v>105</v>
      </c>
      <c r="P19" s="789">
        <f>SUM(P12:P18)</f>
        <v>160</v>
      </c>
      <c r="Q19" s="792">
        <f t="shared" si="4"/>
        <v>0.70945945945945943</v>
      </c>
      <c r="R19" s="793">
        <f t="shared" si="5"/>
        <v>1.0810810810810811</v>
      </c>
      <c r="S19" s="779">
        <f>SUM(S12:S18)</f>
        <v>94</v>
      </c>
      <c r="T19" s="780">
        <f>SUM(T12:T18)</f>
        <v>425809056</v>
      </c>
    </row>
    <row r="20" spans="1:20" ht="17.25">
      <c r="B20" s="794" t="s">
        <v>1326</v>
      </c>
    </row>
    <row r="21" spans="1:20" ht="21" thickBot="1">
      <c r="B21" s="777" t="s">
        <v>1327</v>
      </c>
      <c r="C21" s="777"/>
      <c r="D21" s="777"/>
      <c r="E21" s="777"/>
      <c r="F21" s="777"/>
      <c r="G21" s="777"/>
      <c r="H21" s="777"/>
      <c r="I21" s="777"/>
      <c r="J21" s="777"/>
      <c r="K21" s="777"/>
      <c r="L21" s="777"/>
      <c r="M21" s="777"/>
      <c r="N21" s="777"/>
      <c r="O21" s="777"/>
      <c r="P21" s="777"/>
      <c r="Q21" s="777"/>
      <c r="R21" s="777"/>
    </row>
    <row r="22" spans="1:20" ht="20.25" customHeight="1" thickBot="1">
      <c r="A22" s="1259" t="s">
        <v>1278</v>
      </c>
      <c r="B22" s="1242" t="s">
        <v>1279</v>
      </c>
      <c r="C22" s="1242" t="s">
        <v>1304</v>
      </c>
      <c r="D22" s="1242" t="s">
        <v>12</v>
      </c>
      <c r="E22" s="1261" t="s">
        <v>11</v>
      </c>
      <c r="F22" s="1242" t="s">
        <v>1280</v>
      </c>
      <c r="G22" s="1242" t="s">
        <v>1281</v>
      </c>
      <c r="H22" s="1266" t="s">
        <v>1282</v>
      </c>
      <c r="I22" s="1266"/>
      <c r="J22" s="1255" t="s">
        <v>1305</v>
      </c>
      <c r="K22" s="1255" t="s">
        <v>1283</v>
      </c>
      <c r="L22" s="1255" t="s">
        <v>1284</v>
      </c>
      <c r="M22" s="1255" t="s">
        <v>1285</v>
      </c>
      <c r="N22" s="1242" t="s">
        <v>10</v>
      </c>
      <c r="O22" s="1242" t="s">
        <v>1286</v>
      </c>
      <c r="P22" s="1242" t="s">
        <v>1306</v>
      </c>
      <c r="Q22" s="1242" t="s">
        <v>1328</v>
      </c>
      <c r="R22" s="1263" t="s">
        <v>1287</v>
      </c>
    </row>
    <row r="23" spans="1:20" ht="20.25" customHeight="1" thickBot="1">
      <c r="A23" s="1265"/>
      <c r="B23" s="1243"/>
      <c r="C23" s="1243"/>
      <c r="D23" s="1243"/>
      <c r="E23" s="1262"/>
      <c r="F23" s="1243"/>
      <c r="G23" s="1243"/>
      <c r="H23" s="778" t="s">
        <v>1290</v>
      </c>
      <c r="I23" s="778" t="s">
        <v>1291</v>
      </c>
      <c r="J23" s="1256"/>
      <c r="K23" s="1256"/>
      <c r="L23" s="1256"/>
      <c r="M23" s="1256"/>
      <c r="N23" s="1243"/>
      <c r="O23" s="1243"/>
      <c r="P23" s="1243"/>
      <c r="Q23" s="1243"/>
      <c r="R23" s="1264"/>
    </row>
    <row r="24" spans="1:20" ht="22.5" customHeight="1">
      <c r="A24" s="1267" t="s">
        <v>1329</v>
      </c>
      <c r="B24" s="798" t="s">
        <v>1309</v>
      </c>
      <c r="C24" s="224" t="s">
        <v>1330</v>
      </c>
      <c r="D24" s="224" t="s">
        <v>1312</v>
      </c>
      <c r="E24" s="224" t="s">
        <v>1331</v>
      </c>
      <c r="F24" s="224">
        <v>120</v>
      </c>
      <c r="G24" s="224">
        <v>600</v>
      </c>
      <c r="H24" s="225">
        <v>43916</v>
      </c>
      <c r="I24" s="225">
        <v>44092</v>
      </c>
      <c r="J24" s="37">
        <v>3927000</v>
      </c>
      <c r="K24" s="37"/>
      <c r="L24" s="37"/>
      <c r="M24" s="37"/>
      <c r="N24" s="224">
        <v>20</v>
      </c>
      <c r="O24" s="113">
        <v>20</v>
      </c>
      <c r="P24" s="284">
        <v>40</v>
      </c>
      <c r="Q24" s="114">
        <f t="shared" ref="Q24:Q33" si="8">O24/N24</f>
        <v>1</v>
      </c>
      <c r="R24" s="114">
        <f t="shared" ref="R24:R32" si="9">P24/N24</f>
        <v>2</v>
      </c>
      <c r="S24" s="779">
        <f t="shared" ref="S24:S33" si="10">O24*90%</f>
        <v>18</v>
      </c>
      <c r="T24" s="780">
        <f>J24*S24</f>
        <v>70686000</v>
      </c>
    </row>
    <row r="25" spans="1:20" ht="22.5" customHeight="1">
      <c r="A25" s="1249"/>
      <c r="B25" s="799" t="s">
        <v>1309</v>
      </c>
      <c r="C25" s="83" t="s">
        <v>1332</v>
      </c>
      <c r="D25" s="83" t="s">
        <v>1312</v>
      </c>
      <c r="E25" s="83" t="s">
        <v>1333</v>
      </c>
      <c r="F25" s="83">
        <v>120</v>
      </c>
      <c r="G25" s="83">
        <v>600</v>
      </c>
      <c r="H25" s="85">
        <v>43916</v>
      </c>
      <c r="I25" s="85">
        <v>44092</v>
      </c>
      <c r="J25" s="28">
        <v>3772800</v>
      </c>
      <c r="K25" s="28"/>
      <c r="L25" s="28"/>
      <c r="M25" s="28"/>
      <c r="N25" s="83">
        <v>20</v>
      </c>
      <c r="O25" s="82">
        <v>20</v>
      </c>
      <c r="P25" s="110">
        <v>41</v>
      </c>
      <c r="Q25" s="115">
        <f t="shared" si="8"/>
        <v>1</v>
      </c>
      <c r="R25" s="115">
        <f t="shared" si="9"/>
        <v>2.0499999999999998</v>
      </c>
      <c r="S25" s="779">
        <f t="shared" si="10"/>
        <v>18</v>
      </c>
      <c r="T25" s="780">
        <f t="shared" ref="T25:T33" si="11">J25*S25</f>
        <v>67910400</v>
      </c>
    </row>
    <row r="26" spans="1:20" ht="22.5" customHeight="1" thickBot="1">
      <c r="A26" s="1249"/>
      <c r="B26" s="800" t="s">
        <v>1334</v>
      </c>
      <c r="C26" s="205" t="s">
        <v>1332</v>
      </c>
      <c r="D26" s="205" t="s">
        <v>1312</v>
      </c>
      <c r="E26" s="205" t="s">
        <v>1335</v>
      </c>
      <c r="F26" s="205">
        <v>120</v>
      </c>
      <c r="G26" s="205">
        <v>600</v>
      </c>
      <c r="H26" s="208">
        <v>43916</v>
      </c>
      <c r="I26" s="208">
        <v>44090</v>
      </c>
      <c r="J26" s="44">
        <v>3371400</v>
      </c>
      <c r="K26" s="44"/>
      <c r="L26" s="44"/>
      <c r="M26" s="44"/>
      <c r="N26" s="205">
        <v>23</v>
      </c>
      <c r="O26" s="191">
        <v>23</v>
      </c>
      <c r="P26" s="206">
        <v>35</v>
      </c>
      <c r="Q26" s="227">
        <f t="shared" si="8"/>
        <v>1</v>
      </c>
      <c r="R26" s="227">
        <f t="shared" si="9"/>
        <v>1.5217391304347827</v>
      </c>
      <c r="S26" s="779">
        <f t="shared" si="10"/>
        <v>20.7</v>
      </c>
      <c r="T26" s="780">
        <f t="shared" si="11"/>
        <v>69787980</v>
      </c>
    </row>
    <row r="27" spans="1:20" ht="22.5" customHeight="1" thickBot="1">
      <c r="A27" s="1249"/>
      <c r="B27" s="801" t="s">
        <v>1309</v>
      </c>
      <c r="C27" s="802" t="s">
        <v>1336</v>
      </c>
      <c r="D27" s="802" t="s">
        <v>1337</v>
      </c>
      <c r="E27" s="802" t="s">
        <v>1335</v>
      </c>
      <c r="F27" s="802">
        <v>86</v>
      </c>
      <c r="G27" s="802">
        <v>600</v>
      </c>
      <c r="H27" s="803">
        <v>43902</v>
      </c>
      <c r="I27" s="803">
        <v>44029</v>
      </c>
      <c r="J27" s="804">
        <v>3371400</v>
      </c>
      <c r="K27" s="804"/>
      <c r="L27" s="804"/>
      <c r="M27" s="804"/>
      <c r="N27" s="802">
        <v>20</v>
      </c>
      <c r="O27" s="194">
        <v>14</v>
      </c>
      <c r="P27" s="805">
        <v>33</v>
      </c>
      <c r="Q27" s="806">
        <f t="shared" si="8"/>
        <v>0.7</v>
      </c>
      <c r="R27" s="806">
        <f t="shared" si="9"/>
        <v>1.65</v>
      </c>
      <c r="S27" s="779">
        <f t="shared" si="10"/>
        <v>12.6</v>
      </c>
      <c r="T27" s="780">
        <f t="shared" si="11"/>
        <v>42479640</v>
      </c>
    </row>
    <row r="28" spans="1:20" ht="22.5" customHeight="1" thickBot="1">
      <c r="A28" s="1249"/>
      <c r="B28" s="798" t="s">
        <v>1314</v>
      </c>
      <c r="C28" s="224" t="s">
        <v>1297</v>
      </c>
      <c r="D28" s="224" t="s">
        <v>1337</v>
      </c>
      <c r="E28" s="224" t="s">
        <v>1338</v>
      </c>
      <c r="F28" s="224">
        <v>174</v>
      </c>
      <c r="G28" s="224">
        <v>870</v>
      </c>
      <c r="H28" s="225">
        <v>43909</v>
      </c>
      <c r="I28" s="225">
        <v>44168</v>
      </c>
      <c r="J28" s="37">
        <v>5420970</v>
      </c>
      <c r="K28" s="37"/>
      <c r="L28" s="37"/>
      <c r="M28" s="37"/>
      <c r="N28" s="224">
        <v>25</v>
      </c>
      <c r="O28" s="113">
        <v>20</v>
      </c>
      <c r="P28" s="284">
        <v>26</v>
      </c>
      <c r="Q28" s="114">
        <f t="shared" si="8"/>
        <v>0.8</v>
      </c>
      <c r="R28" s="323">
        <f t="shared" si="9"/>
        <v>1.04</v>
      </c>
      <c r="S28" s="779">
        <f t="shared" si="10"/>
        <v>18</v>
      </c>
      <c r="T28" s="780">
        <f t="shared" si="11"/>
        <v>97577460</v>
      </c>
    </row>
    <row r="29" spans="1:20" ht="22.5" customHeight="1" thickBot="1">
      <c r="A29" s="1249"/>
      <c r="B29" s="807" t="s">
        <v>1314</v>
      </c>
      <c r="C29" s="782" t="s">
        <v>1339</v>
      </c>
      <c r="D29" s="782" t="s">
        <v>1340</v>
      </c>
      <c r="E29" s="782" t="s">
        <v>1341</v>
      </c>
      <c r="F29" s="782">
        <v>90</v>
      </c>
      <c r="G29" s="782">
        <v>360</v>
      </c>
      <c r="H29" s="783">
        <v>43916</v>
      </c>
      <c r="I29" s="783">
        <v>44092</v>
      </c>
      <c r="J29" s="784">
        <v>2243160</v>
      </c>
      <c r="K29" s="784"/>
      <c r="L29" s="784"/>
      <c r="M29" s="784"/>
      <c r="N29" s="782">
        <v>15</v>
      </c>
      <c r="O29" s="785">
        <v>11</v>
      </c>
      <c r="P29" s="786">
        <v>12</v>
      </c>
      <c r="Q29" s="787">
        <f t="shared" si="8"/>
        <v>0.73333333333333328</v>
      </c>
      <c r="R29" s="808">
        <f t="shared" si="9"/>
        <v>0.8</v>
      </c>
      <c r="S29" s="779">
        <f t="shared" si="10"/>
        <v>9.9</v>
      </c>
      <c r="T29" s="780">
        <f t="shared" si="11"/>
        <v>22207284</v>
      </c>
    </row>
    <row r="30" spans="1:20" ht="22.5" customHeight="1">
      <c r="A30" s="1249"/>
      <c r="B30" s="798" t="s">
        <v>1342</v>
      </c>
      <c r="C30" s="224" t="s">
        <v>1343</v>
      </c>
      <c r="D30" s="224" t="s">
        <v>1337</v>
      </c>
      <c r="E30" s="224" t="s">
        <v>1344</v>
      </c>
      <c r="F30" s="224">
        <v>97</v>
      </c>
      <c r="G30" s="224">
        <v>776</v>
      </c>
      <c r="H30" s="225">
        <v>43906</v>
      </c>
      <c r="I30" s="225">
        <v>44046</v>
      </c>
      <c r="J30" s="37">
        <v>5112280</v>
      </c>
      <c r="K30" s="37"/>
      <c r="L30" s="37"/>
      <c r="M30" s="37"/>
      <c r="N30" s="224">
        <v>35</v>
      </c>
      <c r="O30" s="113">
        <v>34</v>
      </c>
      <c r="P30" s="284">
        <v>46</v>
      </c>
      <c r="Q30" s="114">
        <f t="shared" si="8"/>
        <v>0.97142857142857142</v>
      </c>
      <c r="R30" s="323">
        <f t="shared" si="9"/>
        <v>1.3142857142857143</v>
      </c>
      <c r="S30" s="779">
        <f t="shared" si="10"/>
        <v>30.6</v>
      </c>
      <c r="T30" s="780">
        <f t="shared" si="11"/>
        <v>156435768</v>
      </c>
    </row>
    <row r="31" spans="1:20" ht="22.5" customHeight="1">
      <c r="A31" s="1249"/>
      <c r="B31" s="799" t="s">
        <v>1296</v>
      </c>
      <c r="C31" s="83" t="s">
        <v>1315</v>
      </c>
      <c r="D31" s="83" t="s">
        <v>1345</v>
      </c>
      <c r="E31" s="83" t="s">
        <v>1346</v>
      </c>
      <c r="F31" s="83">
        <v>168</v>
      </c>
      <c r="G31" s="83">
        <v>840</v>
      </c>
      <c r="H31" s="85">
        <v>43906</v>
      </c>
      <c r="I31" s="85">
        <v>44151</v>
      </c>
      <c r="J31" s="28">
        <v>5533920</v>
      </c>
      <c r="K31" s="28"/>
      <c r="L31" s="28"/>
      <c r="M31" s="28"/>
      <c r="N31" s="83">
        <v>21</v>
      </c>
      <c r="O31" s="82">
        <v>19</v>
      </c>
      <c r="P31" s="110">
        <v>31</v>
      </c>
      <c r="Q31" s="115">
        <f t="shared" si="8"/>
        <v>0.90476190476190477</v>
      </c>
      <c r="R31" s="312">
        <f t="shared" si="9"/>
        <v>1.4761904761904763</v>
      </c>
      <c r="S31" s="779">
        <f t="shared" si="10"/>
        <v>17.100000000000001</v>
      </c>
      <c r="T31" s="780">
        <f t="shared" si="11"/>
        <v>94630032.000000015</v>
      </c>
    </row>
    <row r="32" spans="1:20" ht="22.5" customHeight="1" thickBot="1">
      <c r="A32" s="1249"/>
      <c r="B32" s="800" t="s">
        <v>1347</v>
      </c>
      <c r="C32" s="205" t="s">
        <v>1343</v>
      </c>
      <c r="D32" s="205" t="s">
        <v>1345</v>
      </c>
      <c r="E32" s="205" t="s">
        <v>1348</v>
      </c>
      <c r="F32" s="205">
        <v>109</v>
      </c>
      <c r="G32" s="205">
        <v>868</v>
      </c>
      <c r="H32" s="208">
        <v>43920</v>
      </c>
      <c r="I32" s="208">
        <v>44097</v>
      </c>
      <c r="J32" s="44">
        <v>5706230</v>
      </c>
      <c r="K32" s="44"/>
      <c r="L32" s="44"/>
      <c r="M32" s="44"/>
      <c r="N32" s="205">
        <v>21</v>
      </c>
      <c r="O32" s="191">
        <v>15</v>
      </c>
      <c r="P32" s="206">
        <v>17</v>
      </c>
      <c r="Q32" s="227">
        <f t="shared" si="8"/>
        <v>0.7142857142857143</v>
      </c>
      <c r="R32" s="328">
        <f t="shared" si="9"/>
        <v>0.80952380952380953</v>
      </c>
      <c r="S32" s="779">
        <f t="shared" si="10"/>
        <v>13.5</v>
      </c>
      <c r="T32" s="780">
        <f t="shared" si="11"/>
        <v>77034105</v>
      </c>
    </row>
    <row r="33" spans="1:20" ht="22.5" customHeight="1" thickBot="1">
      <c r="A33" s="1249"/>
      <c r="B33" s="809" t="s">
        <v>1349</v>
      </c>
      <c r="C33" s="296" t="s">
        <v>1293</v>
      </c>
      <c r="D33" s="296" t="s">
        <v>1214</v>
      </c>
      <c r="E33" s="296" t="s">
        <v>1350</v>
      </c>
      <c r="F33" s="296">
        <v>75</v>
      </c>
      <c r="G33" s="296">
        <v>600</v>
      </c>
      <c r="H33" s="810">
        <v>43917</v>
      </c>
      <c r="I33" s="810">
        <v>44028</v>
      </c>
      <c r="J33" s="22">
        <v>3371400</v>
      </c>
      <c r="K33" s="22"/>
      <c r="L33" s="22"/>
      <c r="M33" s="22"/>
      <c r="N33" s="296">
        <v>20</v>
      </c>
      <c r="O33" s="189">
        <v>20</v>
      </c>
      <c r="P33" s="297">
        <v>38</v>
      </c>
      <c r="Q33" s="227">
        <f t="shared" si="8"/>
        <v>1</v>
      </c>
      <c r="R33" s="811">
        <v>1.65</v>
      </c>
      <c r="S33" s="779">
        <f t="shared" si="10"/>
        <v>18</v>
      </c>
      <c r="T33" s="780">
        <f t="shared" si="11"/>
        <v>60685200</v>
      </c>
    </row>
    <row r="34" spans="1:20" ht="22.5" customHeight="1" thickBot="1">
      <c r="A34" s="1250"/>
      <c r="B34" s="1251" t="s">
        <v>1324</v>
      </c>
      <c r="C34" s="1252"/>
      <c r="D34" s="1253"/>
      <c r="E34" s="789" t="s">
        <v>1351</v>
      </c>
      <c r="F34" s="796">
        <f>SUM(F24:F33)/10</f>
        <v>115.9</v>
      </c>
      <c r="G34" s="796">
        <f>SUM(G24:G33)/10</f>
        <v>671.4</v>
      </c>
      <c r="H34" s="796"/>
      <c r="I34" s="796"/>
      <c r="J34" s="797">
        <f>SUM(J24:J33)/10</f>
        <v>4183056</v>
      </c>
      <c r="K34" s="797"/>
      <c r="L34" s="797"/>
      <c r="M34" s="797"/>
      <c r="N34" s="789">
        <f>SUM(N24:N33)</f>
        <v>220</v>
      </c>
      <c r="O34" s="789">
        <f>SUM(O24:O33)</f>
        <v>196</v>
      </c>
      <c r="P34" s="789">
        <f>SUM(P24:P33)</f>
        <v>319</v>
      </c>
      <c r="Q34" s="792">
        <f>O34/N34</f>
        <v>0.89090909090909087</v>
      </c>
      <c r="R34" s="793">
        <f>P34/N34</f>
        <v>1.45</v>
      </c>
      <c r="S34" s="779">
        <f>SUM(S24:S33)</f>
        <v>176.4</v>
      </c>
      <c r="T34" s="780">
        <f>SUM(T24:T33)</f>
        <v>759433869</v>
      </c>
    </row>
    <row r="35" spans="1:20" ht="17.25">
      <c r="B35" s="794" t="s">
        <v>1352</v>
      </c>
    </row>
    <row r="36" spans="1:20" ht="21" thickBot="1">
      <c r="B36" s="777" t="s">
        <v>1353</v>
      </c>
      <c r="C36" s="777"/>
      <c r="D36" s="777"/>
      <c r="E36" s="777"/>
      <c r="F36" s="777"/>
      <c r="G36" s="777"/>
      <c r="H36" s="777"/>
      <c r="I36" s="777"/>
      <c r="J36" s="777"/>
      <c r="K36" s="777"/>
      <c r="L36" s="777"/>
      <c r="M36" s="777"/>
      <c r="N36" s="777"/>
      <c r="O36" s="777"/>
      <c r="P36" s="777"/>
      <c r="Q36" s="777"/>
      <c r="R36" s="777"/>
    </row>
    <row r="37" spans="1:20" ht="14.25" thickBot="1">
      <c r="A37" s="1259" t="s">
        <v>1278</v>
      </c>
      <c r="B37" s="1242" t="s">
        <v>1279</v>
      </c>
      <c r="C37" s="1242" t="s">
        <v>1304</v>
      </c>
      <c r="D37" s="1242" t="s">
        <v>12</v>
      </c>
      <c r="E37" s="1261" t="s">
        <v>11</v>
      </c>
      <c r="F37" s="1242" t="s">
        <v>1280</v>
      </c>
      <c r="G37" s="1242" t="s">
        <v>1281</v>
      </c>
      <c r="H37" s="1266" t="s">
        <v>1282</v>
      </c>
      <c r="I37" s="1266"/>
      <c r="J37" s="1255" t="s">
        <v>1354</v>
      </c>
      <c r="K37" s="1255" t="s">
        <v>1283</v>
      </c>
      <c r="L37" s="1255" t="s">
        <v>1284</v>
      </c>
      <c r="M37" s="1255" t="s">
        <v>1285</v>
      </c>
      <c r="N37" s="1242" t="s">
        <v>10</v>
      </c>
      <c r="O37" s="1242" t="s">
        <v>1286</v>
      </c>
      <c r="P37" s="1242" t="s">
        <v>1306</v>
      </c>
      <c r="Q37" s="1242" t="s">
        <v>1307</v>
      </c>
      <c r="R37" s="1263" t="s">
        <v>1287</v>
      </c>
    </row>
    <row r="38" spans="1:20" ht="14.25" thickBot="1">
      <c r="A38" s="1265"/>
      <c r="B38" s="1243"/>
      <c r="C38" s="1243"/>
      <c r="D38" s="1243"/>
      <c r="E38" s="1262"/>
      <c r="F38" s="1243"/>
      <c r="G38" s="1243"/>
      <c r="H38" s="778" t="s">
        <v>1355</v>
      </c>
      <c r="I38" s="778" t="s">
        <v>1356</v>
      </c>
      <c r="J38" s="1256"/>
      <c r="K38" s="1256"/>
      <c r="L38" s="1256"/>
      <c r="M38" s="1256"/>
      <c r="N38" s="1243"/>
      <c r="O38" s="1243"/>
      <c r="P38" s="1243"/>
      <c r="Q38" s="1243"/>
      <c r="R38" s="1264"/>
    </row>
    <row r="39" spans="1:20" ht="21" customHeight="1">
      <c r="A39" s="1267" t="s">
        <v>1357</v>
      </c>
      <c r="B39" s="798" t="s">
        <v>1358</v>
      </c>
      <c r="C39" s="224" t="s">
        <v>1359</v>
      </c>
      <c r="D39" s="224" t="s">
        <v>1312</v>
      </c>
      <c r="E39" s="224" t="s">
        <v>1360</v>
      </c>
      <c r="F39" s="224">
        <v>150</v>
      </c>
      <c r="G39" s="224">
        <v>600</v>
      </c>
      <c r="H39" s="225">
        <v>43930</v>
      </c>
      <c r="I39" s="225">
        <v>44153</v>
      </c>
      <c r="J39" s="37">
        <v>3371400</v>
      </c>
      <c r="K39" s="37">
        <f t="shared" ref="K39:K46" si="12">J39/G39</f>
        <v>5619</v>
      </c>
      <c r="L39" s="37" t="s">
        <v>1361</v>
      </c>
      <c r="M39" s="37" t="s">
        <v>1362</v>
      </c>
      <c r="N39" s="224">
        <v>20</v>
      </c>
      <c r="O39" s="113">
        <v>10</v>
      </c>
      <c r="P39" s="284">
        <v>31</v>
      </c>
      <c r="Q39" s="114">
        <f t="shared" ref="Q39:Q46" si="13">O39/N39</f>
        <v>0.5</v>
      </c>
      <c r="R39" s="114">
        <f t="shared" ref="R39:R46" si="14">P39/N39</f>
        <v>1.55</v>
      </c>
      <c r="S39" s="779">
        <f t="shared" ref="S39:S48" si="15">O39*90%</f>
        <v>9</v>
      </c>
      <c r="T39" s="780">
        <f t="shared" ref="T39:T48" si="16">J39*S39</f>
        <v>30342600</v>
      </c>
    </row>
    <row r="40" spans="1:20" ht="21" customHeight="1" thickBot="1">
      <c r="A40" s="1249"/>
      <c r="B40" s="800" t="s">
        <v>1309</v>
      </c>
      <c r="C40" s="205" t="s">
        <v>1359</v>
      </c>
      <c r="D40" s="205" t="s">
        <v>1298</v>
      </c>
      <c r="E40" s="205" t="s">
        <v>1363</v>
      </c>
      <c r="F40" s="205">
        <v>70</v>
      </c>
      <c r="G40" s="205">
        <v>280</v>
      </c>
      <c r="H40" s="208">
        <v>43930</v>
      </c>
      <c r="I40" s="208">
        <v>44035</v>
      </c>
      <c r="J40" s="44">
        <v>1832600</v>
      </c>
      <c r="K40" s="44">
        <f t="shared" si="12"/>
        <v>6545</v>
      </c>
      <c r="L40" s="44" t="s">
        <v>1364</v>
      </c>
      <c r="M40" s="44" t="s">
        <v>1362</v>
      </c>
      <c r="N40" s="205">
        <v>11</v>
      </c>
      <c r="O40" s="191">
        <v>10</v>
      </c>
      <c r="P40" s="206">
        <v>20</v>
      </c>
      <c r="Q40" s="227">
        <f t="shared" si="13"/>
        <v>0.90909090909090906</v>
      </c>
      <c r="R40" s="227">
        <f t="shared" si="14"/>
        <v>1.8181818181818181</v>
      </c>
      <c r="S40" s="779">
        <f t="shared" si="15"/>
        <v>9</v>
      </c>
      <c r="T40" s="780">
        <f t="shared" si="16"/>
        <v>16493400</v>
      </c>
    </row>
    <row r="41" spans="1:20" ht="21" customHeight="1">
      <c r="A41" s="1249"/>
      <c r="B41" s="798" t="s">
        <v>1309</v>
      </c>
      <c r="C41" s="224" t="s">
        <v>1339</v>
      </c>
      <c r="D41" s="224" t="s">
        <v>1345</v>
      </c>
      <c r="E41" s="224" t="s">
        <v>1365</v>
      </c>
      <c r="F41" s="224">
        <v>120</v>
      </c>
      <c r="G41" s="224">
        <v>600</v>
      </c>
      <c r="H41" s="225">
        <v>43930</v>
      </c>
      <c r="I41" s="225">
        <v>44103</v>
      </c>
      <c r="J41" s="37">
        <v>3371400</v>
      </c>
      <c r="K41" s="37">
        <f t="shared" si="12"/>
        <v>5619</v>
      </c>
      <c r="L41" s="37" t="s">
        <v>1366</v>
      </c>
      <c r="M41" s="37" t="s">
        <v>1367</v>
      </c>
      <c r="N41" s="224">
        <v>20</v>
      </c>
      <c r="O41" s="113">
        <v>20</v>
      </c>
      <c r="P41" s="284">
        <v>44</v>
      </c>
      <c r="Q41" s="114">
        <f t="shared" si="13"/>
        <v>1</v>
      </c>
      <c r="R41" s="114">
        <f t="shared" si="14"/>
        <v>2.2000000000000002</v>
      </c>
      <c r="S41" s="779">
        <f t="shared" si="15"/>
        <v>18</v>
      </c>
      <c r="T41" s="780">
        <f t="shared" si="16"/>
        <v>60685200</v>
      </c>
    </row>
    <row r="42" spans="1:20" ht="21" customHeight="1">
      <c r="A42" s="1249"/>
      <c r="B42" s="799" t="s">
        <v>1309</v>
      </c>
      <c r="C42" s="83" t="s">
        <v>1368</v>
      </c>
      <c r="D42" s="83" t="s">
        <v>1337</v>
      </c>
      <c r="E42" s="83" t="s">
        <v>1369</v>
      </c>
      <c r="F42" s="83">
        <v>120</v>
      </c>
      <c r="G42" s="83">
        <v>600</v>
      </c>
      <c r="H42" s="85">
        <v>43930</v>
      </c>
      <c r="I42" s="85">
        <v>44103</v>
      </c>
      <c r="J42" s="28">
        <v>3952800</v>
      </c>
      <c r="K42" s="28">
        <f t="shared" si="12"/>
        <v>6588</v>
      </c>
      <c r="L42" s="28" t="s">
        <v>1370</v>
      </c>
      <c r="M42" s="28" t="s">
        <v>1371</v>
      </c>
      <c r="N42" s="83">
        <v>20</v>
      </c>
      <c r="O42" s="82">
        <v>20</v>
      </c>
      <c r="P42" s="110">
        <v>49</v>
      </c>
      <c r="Q42" s="115">
        <f t="shared" si="13"/>
        <v>1</v>
      </c>
      <c r="R42" s="115">
        <f t="shared" si="14"/>
        <v>2.4500000000000002</v>
      </c>
      <c r="S42" s="779">
        <f t="shared" si="15"/>
        <v>18</v>
      </c>
      <c r="T42" s="780">
        <f t="shared" si="16"/>
        <v>71150400</v>
      </c>
    </row>
    <row r="43" spans="1:20" ht="21" customHeight="1" thickBot="1">
      <c r="A43" s="1249"/>
      <c r="B43" s="800" t="s">
        <v>1358</v>
      </c>
      <c r="C43" s="205" t="s">
        <v>1368</v>
      </c>
      <c r="D43" s="205" t="s">
        <v>1312</v>
      </c>
      <c r="E43" s="205" t="s">
        <v>1372</v>
      </c>
      <c r="F43" s="205">
        <v>120</v>
      </c>
      <c r="G43" s="205">
        <v>600</v>
      </c>
      <c r="H43" s="208">
        <v>43930</v>
      </c>
      <c r="I43" s="208">
        <v>44103</v>
      </c>
      <c r="J43" s="44">
        <v>3927000</v>
      </c>
      <c r="K43" s="44">
        <f t="shared" si="12"/>
        <v>6545</v>
      </c>
      <c r="L43" s="44" t="s">
        <v>1373</v>
      </c>
      <c r="M43" s="44" t="s">
        <v>1367</v>
      </c>
      <c r="N43" s="205">
        <v>20</v>
      </c>
      <c r="O43" s="191">
        <v>20</v>
      </c>
      <c r="P43" s="206">
        <v>24</v>
      </c>
      <c r="Q43" s="227">
        <f t="shared" si="13"/>
        <v>1</v>
      </c>
      <c r="R43" s="227">
        <f t="shared" si="14"/>
        <v>1.2</v>
      </c>
      <c r="S43" s="779">
        <f t="shared" si="15"/>
        <v>18</v>
      </c>
      <c r="T43" s="780">
        <f t="shared" si="16"/>
        <v>70686000</v>
      </c>
    </row>
    <row r="44" spans="1:20" ht="21" customHeight="1">
      <c r="A44" s="1249"/>
      <c r="B44" s="798" t="s">
        <v>1314</v>
      </c>
      <c r="C44" s="224" t="s">
        <v>1343</v>
      </c>
      <c r="D44" s="224" t="s">
        <v>1298</v>
      </c>
      <c r="E44" s="224" t="s">
        <v>1374</v>
      </c>
      <c r="F44" s="224">
        <v>90</v>
      </c>
      <c r="G44" s="224">
        <v>360</v>
      </c>
      <c r="H44" s="225">
        <v>43944</v>
      </c>
      <c r="I44" s="225">
        <v>44092</v>
      </c>
      <c r="J44" s="37">
        <v>2243160</v>
      </c>
      <c r="K44" s="37">
        <f t="shared" si="12"/>
        <v>6231</v>
      </c>
      <c r="L44" s="37" t="s">
        <v>1375</v>
      </c>
      <c r="M44" s="37" t="s">
        <v>1376</v>
      </c>
      <c r="N44" s="224">
        <v>20</v>
      </c>
      <c r="O44" s="113">
        <v>20</v>
      </c>
      <c r="P44" s="284">
        <v>20</v>
      </c>
      <c r="Q44" s="114">
        <f t="shared" si="13"/>
        <v>1</v>
      </c>
      <c r="R44" s="323">
        <f t="shared" si="14"/>
        <v>1</v>
      </c>
      <c r="S44" s="779">
        <f t="shared" si="15"/>
        <v>18</v>
      </c>
      <c r="T44" s="780">
        <f t="shared" si="16"/>
        <v>40376880</v>
      </c>
    </row>
    <row r="45" spans="1:20" ht="21" customHeight="1">
      <c r="A45" s="1249"/>
      <c r="B45" s="799" t="s">
        <v>1347</v>
      </c>
      <c r="C45" s="83" t="s">
        <v>1315</v>
      </c>
      <c r="D45" s="83" t="s">
        <v>1345</v>
      </c>
      <c r="E45" s="83" t="s">
        <v>1377</v>
      </c>
      <c r="F45" s="83">
        <v>172</v>
      </c>
      <c r="G45" s="83">
        <v>856</v>
      </c>
      <c r="H45" s="85">
        <v>43924</v>
      </c>
      <c r="I45" s="85">
        <v>44227</v>
      </c>
      <c r="J45" s="28">
        <v>5639320</v>
      </c>
      <c r="K45" s="28">
        <f t="shared" si="12"/>
        <v>6587.9906542056078</v>
      </c>
      <c r="L45" s="28" t="s">
        <v>1378</v>
      </c>
      <c r="M45" s="28" t="s">
        <v>1379</v>
      </c>
      <c r="N45" s="83">
        <v>35</v>
      </c>
      <c r="O45" s="82">
        <v>31</v>
      </c>
      <c r="P45" s="110">
        <v>47</v>
      </c>
      <c r="Q45" s="115">
        <f t="shared" si="13"/>
        <v>0.88571428571428568</v>
      </c>
      <c r="R45" s="312">
        <f t="shared" si="14"/>
        <v>1.3428571428571427</v>
      </c>
      <c r="S45" s="779">
        <f t="shared" si="15"/>
        <v>27.900000000000002</v>
      </c>
      <c r="T45" s="780">
        <f t="shared" si="16"/>
        <v>157337028</v>
      </c>
    </row>
    <row r="46" spans="1:20" ht="21" customHeight="1" thickBot="1">
      <c r="A46" s="1249"/>
      <c r="B46" s="799" t="s">
        <v>1342</v>
      </c>
      <c r="C46" s="83" t="s">
        <v>1315</v>
      </c>
      <c r="D46" s="83" t="s">
        <v>1345</v>
      </c>
      <c r="E46" s="83" t="s">
        <v>1380</v>
      </c>
      <c r="F46" s="83">
        <v>172</v>
      </c>
      <c r="G46" s="83">
        <v>856</v>
      </c>
      <c r="H46" s="85">
        <v>43949</v>
      </c>
      <c r="I46" s="85">
        <v>44175</v>
      </c>
      <c r="J46" s="28">
        <v>5639320</v>
      </c>
      <c r="K46" s="28">
        <f t="shared" si="12"/>
        <v>6587.9906542056078</v>
      </c>
      <c r="L46" s="28" t="s">
        <v>1381</v>
      </c>
      <c r="M46" s="28" t="s">
        <v>1382</v>
      </c>
      <c r="N46" s="83">
        <v>35</v>
      </c>
      <c r="O46" s="82">
        <v>16</v>
      </c>
      <c r="P46" s="110">
        <v>16</v>
      </c>
      <c r="Q46" s="115">
        <f t="shared" si="13"/>
        <v>0.45714285714285713</v>
      </c>
      <c r="R46" s="312">
        <f t="shared" si="14"/>
        <v>0.45714285714285713</v>
      </c>
      <c r="S46" s="779">
        <f t="shared" si="15"/>
        <v>14.4</v>
      </c>
      <c r="T46" s="780">
        <f t="shared" si="16"/>
        <v>81206208</v>
      </c>
    </row>
    <row r="47" spans="1:20" ht="21" customHeight="1">
      <c r="A47" s="1249"/>
      <c r="B47" s="798" t="s">
        <v>1342</v>
      </c>
      <c r="C47" s="224" t="s">
        <v>1383</v>
      </c>
      <c r="D47" s="224" t="s">
        <v>1340</v>
      </c>
      <c r="E47" s="224" t="s">
        <v>1384</v>
      </c>
      <c r="F47" s="224">
        <v>80</v>
      </c>
      <c r="G47" s="224">
        <v>400</v>
      </c>
      <c r="H47" s="225">
        <v>43941</v>
      </c>
      <c r="I47" s="225">
        <v>44054</v>
      </c>
      <c r="J47" s="37">
        <v>2635200</v>
      </c>
      <c r="K47" s="37">
        <f>J47/G47</f>
        <v>6588</v>
      </c>
      <c r="L47" s="37" t="s">
        <v>1370</v>
      </c>
      <c r="M47" s="37" t="s">
        <v>1385</v>
      </c>
      <c r="N47" s="224">
        <v>20</v>
      </c>
      <c r="O47" s="113">
        <v>15</v>
      </c>
      <c r="P47" s="284">
        <v>22</v>
      </c>
      <c r="Q47" s="114">
        <f>O47/N47</f>
        <v>0.75</v>
      </c>
      <c r="R47" s="795">
        <f>P47/N47</f>
        <v>1.1000000000000001</v>
      </c>
      <c r="S47" s="779">
        <f t="shared" si="15"/>
        <v>13.5</v>
      </c>
      <c r="T47" s="780">
        <f t="shared" si="16"/>
        <v>35575200</v>
      </c>
    </row>
    <row r="48" spans="1:20" ht="21" customHeight="1" thickBot="1">
      <c r="A48" s="1249"/>
      <c r="B48" s="812" t="s">
        <v>1386</v>
      </c>
      <c r="C48" s="584" t="s">
        <v>1343</v>
      </c>
      <c r="D48" s="584" t="s">
        <v>1340</v>
      </c>
      <c r="E48" s="584" t="s">
        <v>1387</v>
      </c>
      <c r="F48" s="584">
        <v>50</v>
      </c>
      <c r="G48" s="584">
        <v>300</v>
      </c>
      <c r="H48" s="813">
        <v>43938</v>
      </c>
      <c r="I48" s="813">
        <v>44013</v>
      </c>
      <c r="J48" s="814">
        <v>1869300</v>
      </c>
      <c r="K48" s="814">
        <f>J48/G48</f>
        <v>6231</v>
      </c>
      <c r="L48" s="814" t="s">
        <v>1375</v>
      </c>
      <c r="M48" s="814" t="s">
        <v>1388</v>
      </c>
      <c r="N48" s="584">
        <v>20</v>
      </c>
      <c r="O48" s="815">
        <v>20</v>
      </c>
      <c r="P48" s="816">
        <v>20</v>
      </c>
      <c r="Q48" s="817">
        <f>O48/N48</f>
        <v>1</v>
      </c>
      <c r="R48" s="818">
        <f>P48/N48</f>
        <v>1</v>
      </c>
      <c r="S48" s="779">
        <f t="shared" si="15"/>
        <v>18</v>
      </c>
      <c r="T48" s="780">
        <f t="shared" si="16"/>
        <v>33647400</v>
      </c>
    </row>
    <row r="49" spans="1:20" ht="18" thickBot="1">
      <c r="A49" s="1250"/>
      <c r="B49" s="1251" t="s">
        <v>1300</v>
      </c>
      <c r="C49" s="1252"/>
      <c r="D49" s="1253"/>
      <c r="E49" s="789" t="s">
        <v>1389</v>
      </c>
      <c r="F49" s="796">
        <f>SUM(F39:F48)/10</f>
        <v>114.4</v>
      </c>
      <c r="G49" s="796">
        <f>SUM(G39:G48)/10</f>
        <v>545.20000000000005</v>
      </c>
      <c r="H49" s="796"/>
      <c r="I49" s="796"/>
      <c r="J49" s="797">
        <f>SUM(J39:J48)/10</f>
        <v>3448150</v>
      </c>
      <c r="K49" s="797"/>
      <c r="L49" s="791"/>
      <c r="M49" s="791"/>
      <c r="N49" s="789">
        <f>SUM(N39:N48)</f>
        <v>221</v>
      </c>
      <c r="O49" s="789">
        <f>SUM(O39:O48)</f>
        <v>182</v>
      </c>
      <c r="P49" s="789">
        <f>SUM(P39:P48)</f>
        <v>293</v>
      </c>
      <c r="Q49" s="792">
        <f>O49/N49</f>
        <v>0.82352941176470584</v>
      </c>
      <c r="R49" s="793">
        <f>P49/N49</f>
        <v>1.3257918552036199</v>
      </c>
      <c r="S49" s="779">
        <f>SUM(S39:S48)</f>
        <v>163.80000000000001</v>
      </c>
      <c r="T49" s="780">
        <f>SUM(T39:T48)</f>
        <v>597500316</v>
      </c>
    </row>
    <row r="51" spans="1:20" ht="21.75" customHeight="1" thickBot="1">
      <c r="B51" s="777" t="s">
        <v>1390</v>
      </c>
      <c r="C51" s="777"/>
      <c r="D51" s="777"/>
      <c r="E51" s="777"/>
      <c r="F51" s="777"/>
      <c r="G51" s="777"/>
      <c r="H51" s="777"/>
      <c r="I51" s="777"/>
      <c r="J51" s="777"/>
      <c r="K51" s="777"/>
      <c r="L51" s="777"/>
      <c r="M51" s="777"/>
      <c r="N51" s="777"/>
      <c r="O51" s="777"/>
      <c r="P51" s="777"/>
      <c r="Q51" s="777"/>
      <c r="R51" s="777"/>
    </row>
    <row r="52" spans="1:20" ht="14.25" thickBot="1">
      <c r="A52" s="1259" t="s">
        <v>1278</v>
      </c>
      <c r="B52" s="1242" t="s">
        <v>1279</v>
      </c>
      <c r="C52" s="1242" t="s">
        <v>1304</v>
      </c>
      <c r="D52" s="1242" t="s">
        <v>12</v>
      </c>
      <c r="E52" s="1261" t="s">
        <v>11</v>
      </c>
      <c r="F52" s="1242" t="s">
        <v>1391</v>
      </c>
      <c r="G52" s="1242" t="s">
        <v>1392</v>
      </c>
      <c r="H52" s="1266" t="s">
        <v>1393</v>
      </c>
      <c r="I52" s="1266"/>
      <c r="J52" s="1255" t="s">
        <v>1394</v>
      </c>
      <c r="K52" s="1255" t="s">
        <v>1395</v>
      </c>
      <c r="L52" s="1255" t="s">
        <v>1396</v>
      </c>
      <c r="M52" s="1255" t="s">
        <v>1285</v>
      </c>
      <c r="N52" s="1242" t="s">
        <v>10</v>
      </c>
      <c r="O52" s="1242" t="s">
        <v>1397</v>
      </c>
      <c r="P52" s="1242" t="s">
        <v>1398</v>
      </c>
      <c r="Q52" s="1242" t="s">
        <v>1307</v>
      </c>
      <c r="R52" s="1263" t="s">
        <v>1399</v>
      </c>
    </row>
    <row r="53" spans="1:20" ht="14.25" thickBot="1">
      <c r="A53" s="1265"/>
      <c r="B53" s="1243"/>
      <c r="C53" s="1243"/>
      <c r="D53" s="1243"/>
      <c r="E53" s="1262"/>
      <c r="F53" s="1243"/>
      <c r="G53" s="1243"/>
      <c r="H53" s="778" t="s">
        <v>1400</v>
      </c>
      <c r="I53" s="778" t="s">
        <v>1356</v>
      </c>
      <c r="J53" s="1256"/>
      <c r="K53" s="1256"/>
      <c r="L53" s="1256"/>
      <c r="M53" s="1256"/>
      <c r="N53" s="1243"/>
      <c r="O53" s="1243"/>
      <c r="P53" s="1243"/>
      <c r="Q53" s="1243"/>
      <c r="R53" s="1264"/>
    </row>
    <row r="54" spans="1:20" ht="22.5" customHeight="1">
      <c r="A54" s="1248" t="s">
        <v>1401</v>
      </c>
      <c r="B54" s="798" t="s">
        <v>1358</v>
      </c>
      <c r="C54" s="224" t="s">
        <v>1343</v>
      </c>
      <c r="D54" s="224" t="s">
        <v>1340</v>
      </c>
      <c r="E54" s="224" t="s">
        <v>1402</v>
      </c>
      <c r="F54" s="224">
        <v>50</v>
      </c>
      <c r="G54" s="224">
        <v>200</v>
      </c>
      <c r="H54" s="225">
        <v>43957</v>
      </c>
      <c r="I54" s="225">
        <v>44026</v>
      </c>
      <c r="J54" s="37">
        <v>1311000</v>
      </c>
      <c r="K54" s="37">
        <v>6555</v>
      </c>
      <c r="L54" s="37" t="s">
        <v>1403</v>
      </c>
      <c r="M54" s="37" t="s">
        <v>1404</v>
      </c>
      <c r="N54" s="224">
        <v>20</v>
      </c>
      <c r="O54" s="113">
        <v>13</v>
      </c>
      <c r="P54" s="284">
        <v>13</v>
      </c>
      <c r="Q54" s="114">
        <f t="shared" ref="Q54:Q63" si="17">O54/N54</f>
        <v>0.65</v>
      </c>
      <c r="R54" s="114">
        <f t="shared" ref="R54:R56" si="18">P54/N54</f>
        <v>0.65</v>
      </c>
      <c r="S54" s="779">
        <f t="shared" ref="S54:S62" si="19">O54*90%</f>
        <v>11.700000000000001</v>
      </c>
      <c r="T54" s="780">
        <f t="shared" ref="T54:T62" si="20">J54*S54</f>
        <v>15338700.000000002</v>
      </c>
    </row>
    <row r="55" spans="1:20" ht="22.5" customHeight="1" thickBot="1">
      <c r="A55" s="1249"/>
      <c r="B55" s="800" t="s">
        <v>1358</v>
      </c>
      <c r="C55" s="205" t="s">
        <v>1315</v>
      </c>
      <c r="D55" s="205" t="s">
        <v>1320</v>
      </c>
      <c r="E55" s="205" t="s">
        <v>1405</v>
      </c>
      <c r="F55" s="205">
        <v>72</v>
      </c>
      <c r="G55" s="205">
        <v>288</v>
      </c>
      <c r="H55" s="208">
        <v>43976</v>
      </c>
      <c r="I55" s="208">
        <v>44081</v>
      </c>
      <c r="J55" s="44">
        <v>1618270</v>
      </c>
      <c r="K55" s="44">
        <v>5618</v>
      </c>
      <c r="L55" s="44" t="s">
        <v>1406</v>
      </c>
      <c r="M55" s="44" t="s">
        <v>1407</v>
      </c>
      <c r="N55" s="205">
        <v>20</v>
      </c>
      <c r="O55" s="191">
        <v>12</v>
      </c>
      <c r="P55" s="206">
        <v>13</v>
      </c>
      <c r="Q55" s="227">
        <f t="shared" si="17"/>
        <v>0.6</v>
      </c>
      <c r="R55" s="227">
        <f t="shared" si="18"/>
        <v>0.65</v>
      </c>
      <c r="S55" s="779">
        <f t="shared" si="19"/>
        <v>10.8</v>
      </c>
      <c r="T55" s="780">
        <f t="shared" si="20"/>
        <v>17477316</v>
      </c>
    </row>
    <row r="56" spans="1:20" ht="22.5" customHeight="1">
      <c r="A56" s="1249"/>
      <c r="B56" s="798" t="s">
        <v>1334</v>
      </c>
      <c r="C56" s="819" t="s">
        <v>1408</v>
      </c>
      <c r="D56" s="224" t="s">
        <v>1340</v>
      </c>
      <c r="E56" s="224" t="s">
        <v>1409</v>
      </c>
      <c r="F56" s="224">
        <v>80</v>
      </c>
      <c r="G56" s="224">
        <v>280</v>
      </c>
      <c r="H56" s="225">
        <v>43963</v>
      </c>
      <c r="I56" s="225">
        <v>44078</v>
      </c>
      <c r="J56" s="37">
        <v>1838870</v>
      </c>
      <c r="K56" s="37">
        <f>J56/G56</f>
        <v>6567.3928571428569</v>
      </c>
      <c r="L56" s="37" t="s">
        <v>1410</v>
      </c>
      <c r="M56" s="37" t="s">
        <v>1411</v>
      </c>
      <c r="N56" s="224">
        <v>10</v>
      </c>
      <c r="O56" s="113">
        <v>10</v>
      </c>
      <c r="P56" s="284">
        <v>12</v>
      </c>
      <c r="Q56" s="114">
        <f t="shared" si="17"/>
        <v>1</v>
      </c>
      <c r="R56" s="114">
        <f t="shared" si="18"/>
        <v>1.2</v>
      </c>
      <c r="S56" s="779">
        <f t="shared" si="19"/>
        <v>9</v>
      </c>
      <c r="T56" s="780">
        <f t="shared" si="20"/>
        <v>16549830</v>
      </c>
    </row>
    <row r="57" spans="1:20" ht="22.5" customHeight="1" thickBot="1">
      <c r="A57" s="1249"/>
      <c r="B57" s="799" t="s">
        <v>1412</v>
      </c>
      <c r="C57" s="83" t="s">
        <v>1293</v>
      </c>
      <c r="D57" s="83" t="s">
        <v>1214</v>
      </c>
      <c r="E57" s="83" t="s">
        <v>1413</v>
      </c>
      <c r="F57" s="83">
        <v>144</v>
      </c>
      <c r="G57" s="83">
        <v>860</v>
      </c>
      <c r="H57" s="85">
        <v>43957</v>
      </c>
      <c r="I57" s="85">
        <v>44162</v>
      </c>
      <c r="J57" s="28">
        <v>5358660</v>
      </c>
      <c r="K57" s="28">
        <v>6231</v>
      </c>
      <c r="L57" s="28" t="s">
        <v>1414</v>
      </c>
      <c r="M57" s="28" t="s">
        <v>1415</v>
      </c>
      <c r="N57" s="83">
        <v>20</v>
      </c>
      <c r="O57" s="82">
        <v>20</v>
      </c>
      <c r="P57" s="110">
        <v>27</v>
      </c>
      <c r="Q57" s="115">
        <f t="shared" si="17"/>
        <v>1</v>
      </c>
      <c r="R57" s="312">
        <v>1.3</v>
      </c>
      <c r="S57" s="779">
        <f t="shared" si="19"/>
        <v>18</v>
      </c>
      <c r="T57" s="780">
        <f t="shared" si="20"/>
        <v>96455880</v>
      </c>
    </row>
    <row r="58" spans="1:20" ht="22.5" customHeight="1" thickBot="1">
      <c r="A58" s="1249"/>
      <c r="B58" s="807" t="s">
        <v>1314</v>
      </c>
      <c r="C58" s="820" t="s">
        <v>1416</v>
      </c>
      <c r="D58" s="782" t="s">
        <v>1340</v>
      </c>
      <c r="E58" s="782" t="s">
        <v>1417</v>
      </c>
      <c r="F58" s="782">
        <v>93</v>
      </c>
      <c r="G58" s="782">
        <v>370</v>
      </c>
      <c r="H58" s="783">
        <v>43977</v>
      </c>
      <c r="I58" s="821">
        <v>44123</v>
      </c>
      <c r="J58" s="784">
        <v>2305470</v>
      </c>
      <c r="K58" s="784">
        <f>J58/G58</f>
        <v>6231</v>
      </c>
      <c r="L58" s="784" t="s">
        <v>1370</v>
      </c>
      <c r="M58" s="784" t="s">
        <v>1418</v>
      </c>
      <c r="N58" s="782">
        <v>25</v>
      </c>
      <c r="O58" s="785">
        <v>9</v>
      </c>
      <c r="P58" s="786">
        <v>9</v>
      </c>
      <c r="Q58" s="787">
        <f t="shared" si="17"/>
        <v>0.36</v>
      </c>
      <c r="R58" s="808">
        <f t="shared" ref="R58:R63" si="21">P58/N58</f>
        <v>0.36</v>
      </c>
      <c r="S58" s="779">
        <f t="shared" si="19"/>
        <v>8.1</v>
      </c>
      <c r="T58" s="780">
        <f t="shared" si="20"/>
        <v>18674307</v>
      </c>
    </row>
    <row r="59" spans="1:20" ht="22.5" customHeight="1">
      <c r="A59" s="1249"/>
      <c r="B59" s="799" t="s">
        <v>1347</v>
      </c>
      <c r="C59" s="83" t="s">
        <v>1343</v>
      </c>
      <c r="D59" s="83" t="s">
        <v>1345</v>
      </c>
      <c r="E59" s="83" t="s">
        <v>1419</v>
      </c>
      <c r="F59" s="83">
        <v>163</v>
      </c>
      <c r="G59" s="83">
        <v>896</v>
      </c>
      <c r="H59" s="85">
        <v>43957</v>
      </c>
      <c r="I59" s="85">
        <v>44189</v>
      </c>
      <c r="J59" s="28">
        <v>5902840</v>
      </c>
      <c r="K59" s="28">
        <f>J59/G59</f>
        <v>6587.9910714285716</v>
      </c>
      <c r="L59" s="28" t="s">
        <v>1420</v>
      </c>
      <c r="M59" s="28" t="s">
        <v>1421</v>
      </c>
      <c r="N59" s="83">
        <v>35</v>
      </c>
      <c r="O59" s="82">
        <v>24</v>
      </c>
      <c r="P59" s="110">
        <v>28</v>
      </c>
      <c r="Q59" s="115">
        <f t="shared" si="17"/>
        <v>0.68571428571428572</v>
      </c>
      <c r="R59" s="312">
        <f t="shared" si="21"/>
        <v>0.8</v>
      </c>
      <c r="S59" s="779">
        <f t="shared" si="19"/>
        <v>21.6</v>
      </c>
      <c r="T59" s="780">
        <f t="shared" si="20"/>
        <v>127501344.00000001</v>
      </c>
    </row>
    <row r="60" spans="1:20" ht="22.5" customHeight="1" thickBot="1">
      <c r="A60" s="1249"/>
      <c r="B60" s="799" t="s">
        <v>1342</v>
      </c>
      <c r="C60" s="83" t="s">
        <v>1343</v>
      </c>
      <c r="D60" s="83" t="s">
        <v>1345</v>
      </c>
      <c r="E60" s="83" t="s">
        <v>1422</v>
      </c>
      <c r="F60" s="83">
        <v>162</v>
      </c>
      <c r="G60" s="83">
        <v>888</v>
      </c>
      <c r="H60" s="85">
        <v>43962</v>
      </c>
      <c r="I60" s="85">
        <v>44194</v>
      </c>
      <c r="J60" s="28">
        <v>5850140</v>
      </c>
      <c r="K60" s="28">
        <f>J60/G60</f>
        <v>6587.9954954954956</v>
      </c>
      <c r="L60" s="28" t="s">
        <v>1423</v>
      </c>
      <c r="M60" s="28" t="s">
        <v>1424</v>
      </c>
      <c r="N60" s="83">
        <v>35</v>
      </c>
      <c r="O60" s="82">
        <v>14</v>
      </c>
      <c r="P60" s="110">
        <v>14</v>
      </c>
      <c r="Q60" s="115">
        <f t="shared" si="17"/>
        <v>0.4</v>
      </c>
      <c r="R60" s="312">
        <f t="shared" si="21"/>
        <v>0.4</v>
      </c>
      <c r="S60" s="779">
        <f t="shared" si="19"/>
        <v>12.6</v>
      </c>
      <c r="T60" s="780">
        <f t="shared" si="20"/>
        <v>73711764</v>
      </c>
    </row>
    <row r="61" spans="1:20" ht="22.5" customHeight="1" thickBot="1">
      <c r="A61" s="1249"/>
      <c r="B61" s="807" t="s">
        <v>1342</v>
      </c>
      <c r="C61" s="782" t="s">
        <v>1416</v>
      </c>
      <c r="D61" s="782" t="s">
        <v>1340</v>
      </c>
      <c r="E61" s="782" t="s">
        <v>1425</v>
      </c>
      <c r="F61" s="782">
        <v>70</v>
      </c>
      <c r="G61" s="782">
        <v>280</v>
      </c>
      <c r="H61" s="783">
        <v>43976</v>
      </c>
      <c r="I61" s="783">
        <v>44071</v>
      </c>
      <c r="J61" s="784">
        <v>1844640</v>
      </c>
      <c r="K61" s="784">
        <f>J61/G61</f>
        <v>6588</v>
      </c>
      <c r="L61" s="784" t="s">
        <v>1426</v>
      </c>
      <c r="M61" s="784" t="s">
        <v>1427</v>
      </c>
      <c r="N61" s="782">
        <v>30</v>
      </c>
      <c r="O61" s="785">
        <v>14</v>
      </c>
      <c r="P61" s="786">
        <v>14</v>
      </c>
      <c r="Q61" s="787">
        <f t="shared" si="17"/>
        <v>0.46666666666666667</v>
      </c>
      <c r="R61" s="788">
        <f t="shared" si="21"/>
        <v>0.46666666666666667</v>
      </c>
      <c r="S61" s="779">
        <f t="shared" si="19"/>
        <v>12.6</v>
      </c>
      <c r="T61" s="780">
        <f t="shared" si="20"/>
        <v>23242464</v>
      </c>
    </row>
    <row r="62" spans="1:20" ht="22.5" customHeight="1" thickBot="1">
      <c r="A62" s="1249"/>
      <c r="B62" s="798" t="s">
        <v>1386</v>
      </c>
      <c r="C62" s="224" t="s">
        <v>1416</v>
      </c>
      <c r="D62" s="224" t="s">
        <v>1340</v>
      </c>
      <c r="E62" s="224" t="s">
        <v>1428</v>
      </c>
      <c r="F62" s="224">
        <v>60</v>
      </c>
      <c r="G62" s="224">
        <v>300</v>
      </c>
      <c r="H62" s="225">
        <v>43957</v>
      </c>
      <c r="I62" s="225">
        <v>44040</v>
      </c>
      <c r="J62" s="37">
        <v>1869300</v>
      </c>
      <c r="K62" s="37">
        <f>J62/G62</f>
        <v>6231</v>
      </c>
      <c r="L62" s="37" t="s">
        <v>1429</v>
      </c>
      <c r="M62" s="37" t="s">
        <v>1385</v>
      </c>
      <c r="N62" s="224">
        <v>15</v>
      </c>
      <c r="O62" s="113">
        <v>12</v>
      </c>
      <c r="P62" s="284">
        <v>12</v>
      </c>
      <c r="Q62" s="114">
        <f t="shared" si="17"/>
        <v>0.8</v>
      </c>
      <c r="R62" s="795">
        <f t="shared" si="21"/>
        <v>0.8</v>
      </c>
      <c r="S62" s="779">
        <f t="shared" si="19"/>
        <v>10.8</v>
      </c>
      <c r="T62" s="780">
        <f t="shared" si="20"/>
        <v>20188440</v>
      </c>
    </row>
    <row r="63" spans="1:20" ht="22.5" customHeight="1" thickBot="1">
      <c r="A63" s="1250"/>
      <c r="B63" s="1251" t="s">
        <v>1300</v>
      </c>
      <c r="C63" s="1252"/>
      <c r="D63" s="1253"/>
      <c r="E63" s="789" t="s">
        <v>1430</v>
      </c>
      <c r="F63" s="796">
        <f>SUM(F54:F62)/9</f>
        <v>99.333333333333329</v>
      </c>
      <c r="G63" s="796">
        <f>SUM(G54:G62)/9</f>
        <v>484.66666666666669</v>
      </c>
      <c r="H63" s="796"/>
      <c r="I63" s="796"/>
      <c r="J63" s="797">
        <f>SUM(J54:J62)/9</f>
        <v>3099910</v>
      </c>
      <c r="K63" s="797"/>
      <c r="L63" s="791"/>
      <c r="M63" s="791"/>
      <c r="N63" s="789">
        <f>SUM(N54:N62)</f>
        <v>210</v>
      </c>
      <c r="O63" s="789">
        <f>SUM(O54:O62)</f>
        <v>128</v>
      </c>
      <c r="P63" s="789">
        <f>SUM(P54:P62)</f>
        <v>142</v>
      </c>
      <c r="Q63" s="792">
        <f t="shared" si="17"/>
        <v>0.60952380952380958</v>
      </c>
      <c r="R63" s="793">
        <f t="shared" si="21"/>
        <v>0.67619047619047623</v>
      </c>
      <c r="S63" s="779">
        <f>SUM(S54:S62)</f>
        <v>115.19999999999999</v>
      </c>
      <c r="T63" s="780">
        <f>SUM(T54:T62)</f>
        <v>409140045</v>
      </c>
    </row>
    <row r="65" spans="1:20" ht="16.5" customHeight="1" thickBot="1">
      <c r="B65" s="822" t="s">
        <v>1431</v>
      </c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2"/>
      <c r="Q65" s="822"/>
      <c r="R65" s="822"/>
    </row>
    <row r="66" spans="1:20" ht="14.25" thickBot="1">
      <c r="A66" s="1259" t="s">
        <v>1432</v>
      </c>
      <c r="B66" s="1242" t="s">
        <v>1433</v>
      </c>
      <c r="C66" s="1242" t="s">
        <v>1434</v>
      </c>
      <c r="D66" s="1242" t="s">
        <v>12</v>
      </c>
      <c r="E66" s="1261" t="s">
        <v>11</v>
      </c>
      <c r="F66" s="1242" t="s">
        <v>1435</v>
      </c>
      <c r="G66" s="1242" t="s">
        <v>1436</v>
      </c>
      <c r="H66" s="1266" t="s">
        <v>1437</v>
      </c>
      <c r="I66" s="1266"/>
      <c r="J66" s="1255" t="s">
        <v>1354</v>
      </c>
      <c r="K66" s="1255" t="s">
        <v>1395</v>
      </c>
      <c r="L66" s="1255" t="s">
        <v>1438</v>
      </c>
      <c r="M66" s="1255" t="s">
        <v>1439</v>
      </c>
      <c r="N66" s="1242" t="s">
        <v>10</v>
      </c>
      <c r="O66" s="1242" t="s">
        <v>1440</v>
      </c>
      <c r="P66" s="1242" t="s">
        <v>1441</v>
      </c>
      <c r="Q66" s="1242" t="s">
        <v>1328</v>
      </c>
      <c r="R66" s="1263" t="s">
        <v>1442</v>
      </c>
    </row>
    <row r="67" spans="1:20" ht="14.25" thickBot="1">
      <c r="A67" s="1265"/>
      <c r="B67" s="1243"/>
      <c r="C67" s="1243"/>
      <c r="D67" s="1243"/>
      <c r="E67" s="1262"/>
      <c r="F67" s="1243"/>
      <c r="G67" s="1243"/>
      <c r="H67" s="778" t="s">
        <v>1400</v>
      </c>
      <c r="I67" s="778" t="s">
        <v>1443</v>
      </c>
      <c r="J67" s="1256"/>
      <c r="K67" s="1256"/>
      <c r="L67" s="1256"/>
      <c r="M67" s="1256"/>
      <c r="N67" s="1243"/>
      <c r="O67" s="1243"/>
      <c r="P67" s="1243"/>
      <c r="Q67" s="1243"/>
      <c r="R67" s="1264"/>
    </row>
    <row r="68" spans="1:20" ht="22.5" customHeight="1" thickBot="1">
      <c r="A68" s="1248" t="s">
        <v>1444</v>
      </c>
      <c r="B68" s="800" t="s">
        <v>1334</v>
      </c>
      <c r="C68" s="205" t="s">
        <v>1445</v>
      </c>
      <c r="D68" s="205" t="s">
        <v>1337</v>
      </c>
      <c r="E68" s="205" t="s">
        <v>1446</v>
      </c>
      <c r="F68" s="205">
        <v>140</v>
      </c>
      <c r="G68" s="205">
        <v>700</v>
      </c>
      <c r="H68" s="208">
        <v>43983</v>
      </c>
      <c r="I68" s="208">
        <v>44183</v>
      </c>
      <c r="J68" s="44">
        <v>3933300</v>
      </c>
      <c r="K68" s="44">
        <f>J68/G68</f>
        <v>5619</v>
      </c>
      <c r="L68" s="44" t="s">
        <v>1366</v>
      </c>
      <c r="M68" s="44" t="s">
        <v>1447</v>
      </c>
      <c r="N68" s="205">
        <v>25</v>
      </c>
      <c r="O68" s="191">
        <v>22</v>
      </c>
      <c r="P68" s="206">
        <v>22</v>
      </c>
      <c r="Q68" s="227">
        <f t="shared" ref="Q68:Q74" si="22">O68/N68</f>
        <v>0.88</v>
      </c>
      <c r="R68" s="227">
        <f t="shared" ref="R68:R74" si="23">P68/N68</f>
        <v>0.88</v>
      </c>
      <c r="S68" s="779">
        <f t="shared" ref="S68:S73" si="24">O68*90%</f>
        <v>19.8</v>
      </c>
      <c r="T68" s="780">
        <f t="shared" ref="T68:T73" si="25">J68*S68</f>
        <v>77879340</v>
      </c>
    </row>
    <row r="69" spans="1:20" ht="22.5" customHeight="1">
      <c r="A69" s="1249"/>
      <c r="B69" s="801" t="s">
        <v>825</v>
      </c>
      <c r="C69" s="802" t="s">
        <v>1293</v>
      </c>
      <c r="D69" s="802" t="s">
        <v>1214</v>
      </c>
      <c r="E69" s="802" t="s">
        <v>1448</v>
      </c>
      <c r="F69" s="802">
        <v>109</v>
      </c>
      <c r="G69" s="802">
        <v>868</v>
      </c>
      <c r="H69" s="803">
        <v>44004</v>
      </c>
      <c r="I69" s="803">
        <v>44160</v>
      </c>
      <c r="J69" s="804">
        <v>5706230</v>
      </c>
      <c r="K69" s="804">
        <v>6573.9976958525349</v>
      </c>
      <c r="L69" s="804" t="s">
        <v>1449</v>
      </c>
      <c r="M69" s="804" t="s">
        <v>1450</v>
      </c>
      <c r="N69" s="802">
        <v>35</v>
      </c>
      <c r="O69" s="194">
        <v>21</v>
      </c>
      <c r="P69" s="805">
        <v>22</v>
      </c>
      <c r="Q69" s="806">
        <f t="shared" si="22"/>
        <v>0.6</v>
      </c>
      <c r="R69" s="323">
        <f t="shared" si="23"/>
        <v>0.62857142857142856</v>
      </c>
      <c r="S69" s="779">
        <f t="shared" si="24"/>
        <v>18.900000000000002</v>
      </c>
      <c r="T69" s="780">
        <f t="shared" si="25"/>
        <v>107847747.00000001</v>
      </c>
    </row>
    <row r="70" spans="1:20" ht="22.5" customHeight="1" thickBot="1">
      <c r="A70" s="1249"/>
      <c r="B70" s="800" t="s">
        <v>1347</v>
      </c>
      <c r="C70" s="205" t="s">
        <v>1451</v>
      </c>
      <c r="D70" s="205" t="s">
        <v>1337</v>
      </c>
      <c r="E70" s="205" t="s">
        <v>1452</v>
      </c>
      <c r="F70" s="205">
        <v>163</v>
      </c>
      <c r="G70" s="205">
        <v>896</v>
      </c>
      <c r="H70" s="208">
        <v>44011</v>
      </c>
      <c r="I70" s="208">
        <v>44172</v>
      </c>
      <c r="J70" s="44">
        <v>5902840</v>
      </c>
      <c r="K70" s="44">
        <f>J70/G70</f>
        <v>6587.9910714285716</v>
      </c>
      <c r="L70" s="44" t="s">
        <v>1453</v>
      </c>
      <c r="M70" s="44" t="s">
        <v>1454</v>
      </c>
      <c r="N70" s="205">
        <v>35</v>
      </c>
      <c r="O70" s="191">
        <v>34</v>
      </c>
      <c r="P70" s="206">
        <v>35</v>
      </c>
      <c r="Q70" s="227">
        <f t="shared" si="22"/>
        <v>0.97142857142857142</v>
      </c>
      <c r="R70" s="328">
        <f t="shared" si="23"/>
        <v>1</v>
      </c>
      <c r="S70" s="779">
        <f t="shared" si="24"/>
        <v>30.6</v>
      </c>
      <c r="T70" s="780">
        <f t="shared" si="25"/>
        <v>180626904</v>
      </c>
    </row>
    <row r="71" spans="1:20" ht="22.5" customHeight="1">
      <c r="A71" s="1249"/>
      <c r="B71" s="823" t="s">
        <v>1347</v>
      </c>
      <c r="C71" s="91" t="s">
        <v>1445</v>
      </c>
      <c r="D71" s="91" t="s">
        <v>1337</v>
      </c>
      <c r="E71" s="91" t="s">
        <v>1455</v>
      </c>
      <c r="F71" s="91">
        <v>113</v>
      </c>
      <c r="G71" s="91">
        <v>900</v>
      </c>
      <c r="H71" s="94">
        <v>43993</v>
      </c>
      <c r="I71" s="94">
        <v>44155</v>
      </c>
      <c r="J71" s="66">
        <v>5929200</v>
      </c>
      <c r="K71" s="66">
        <f>J71/G71</f>
        <v>6588</v>
      </c>
      <c r="L71" s="66" t="s">
        <v>1456</v>
      </c>
      <c r="M71" s="66" t="s">
        <v>1454</v>
      </c>
      <c r="N71" s="91">
        <v>33</v>
      </c>
      <c r="O71" s="101">
        <v>33</v>
      </c>
      <c r="P71" s="108">
        <v>43</v>
      </c>
      <c r="Q71" s="817">
        <f t="shared" si="22"/>
        <v>1</v>
      </c>
      <c r="R71" s="824">
        <f t="shared" si="23"/>
        <v>1.303030303030303</v>
      </c>
      <c r="S71" s="779">
        <f t="shared" si="24"/>
        <v>29.7</v>
      </c>
      <c r="T71" s="780">
        <f t="shared" si="25"/>
        <v>176097240</v>
      </c>
    </row>
    <row r="72" spans="1:20" ht="22.5" customHeight="1">
      <c r="A72" s="1249"/>
      <c r="B72" s="823" t="s">
        <v>825</v>
      </c>
      <c r="C72" s="91" t="s">
        <v>1319</v>
      </c>
      <c r="D72" s="91" t="s">
        <v>1457</v>
      </c>
      <c r="E72" s="91" t="s">
        <v>1458</v>
      </c>
      <c r="F72" s="91">
        <v>88</v>
      </c>
      <c r="G72" s="91">
        <v>350</v>
      </c>
      <c r="H72" s="94">
        <v>44007</v>
      </c>
      <c r="I72" s="94">
        <v>44134</v>
      </c>
      <c r="J72" s="66">
        <v>2305800</v>
      </c>
      <c r="K72" s="66">
        <v>6588</v>
      </c>
      <c r="L72" s="66" t="s">
        <v>1459</v>
      </c>
      <c r="M72" s="66" t="s">
        <v>1460</v>
      </c>
      <c r="N72" s="91">
        <v>20</v>
      </c>
      <c r="O72" s="101">
        <v>15</v>
      </c>
      <c r="P72" s="108">
        <v>18</v>
      </c>
      <c r="Q72" s="115">
        <f t="shared" si="22"/>
        <v>0.75</v>
      </c>
      <c r="R72" s="825">
        <f t="shared" si="23"/>
        <v>0.9</v>
      </c>
      <c r="S72" s="779">
        <f t="shared" si="24"/>
        <v>13.5</v>
      </c>
      <c r="T72" s="780">
        <f t="shared" si="25"/>
        <v>31128300</v>
      </c>
    </row>
    <row r="73" spans="1:20" ht="22.5" customHeight="1" thickBot="1">
      <c r="A73" s="1249"/>
      <c r="B73" s="800" t="s">
        <v>1347</v>
      </c>
      <c r="C73" s="205" t="s">
        <v>1445</v>
      </c>
      <c r="D73" s="205" t="s">
        <v>1337</v>
      </c>
      <c r="E73" s="205" t="s">
        <v>1461</v>
      </c>
      <c r="F73" s="205">
        <v>108</v>
      </c>
      <c r="G73" s="205">
        <v>648</v>
      </c>
      <c r="H73" s="208">
        <v>44012</v>
      </c>
      <c r="I73" s="208">
        <v>44167</v>
      </c>
      <c r="J73" s="44">
        <v>4269020</v>
      </c>
      <c r="K73" s="44">
        <f>J73/G73</f>
        <v>6587.9938271604942</v>
      </c>
      <c r="L73" s="44" t="s">
        <v>1462</v>
      </c>
      <c r="M73" s="44" t="s">
        <v>1463</v>
      </c>
      <c r="N73" s="205">
        <v>20</v>
      </c>
      <c r="O73" s="191">
        <v>12</v>
      </c>
      <c r="P73" s="206">
        <v>16</v>
      </c>
      <c r="Q73" s="227">
        <f t="shared" si="22"/>
        <v>0.6</v>
      </c>
      <c r="R73" s="826">
        <f t="shared" si="23"/>
        <v>0.8</v>
      </c>
      <c r="S73" s="779">
        <f t="shared" si="24"/>
        <v>10.8</v>
      </c>
      <c r="T73" s="780">
        <f t="shared" si="25"/>
        <v>46105416</v>
      </c>
    </row>
    <row r="74" spans="1:20" ht="22.5" customHeight="1" thickBot="1">
      <c r="A74" s="1250"/>
      <c r="B74" s="1251" t="s">
        <v>1464</v>
      </c>
      <c r="C74" s="1252"/>
      <c r="D74" s="1253"/>
      <c r="E74" s="789" t="s">
        <v>1465</v>
      </c>
      <c r="F74" s="796">
        <f>SUM(F68:F73)/6</f>
        <v>120.16666666666667</v>
      </c>
      <c r="G74" s="796">
        <f>SUM(G68:G73)/6</f>
        <v>727</v>
      </c>
      <c r="H74" s="796"/>
      <c r="I74" s="796"/>
      <c r="J74" s="797">
        <f>SUM(J68:J73)/6</f>
        <v>4674398.333333333</v>
      </c>
      <c r="K74" s="797"/>
      <c r="L74" s="791"/>
      <c r="M74" s="791"/>
      <c r="N74" s="789">
        <f>SUM(N68:N73)</f>
        <v>168</v>
      </c>
      <c r="O74" s="789">
        <f>SUM(O68:O73)</f>
        <v>137</v>
      </c>
      <c r="P74" s="789">
        <f>SUM(P68:P73)</f>
        <v>156</v>
      </c>
      <c r="Q74" s="792">
        <f t="shared" si="22"/>
        <v>0.81547619047619047</v>
      </c>
      <c r="R74" s="793">
        <f t="shared" si="23"/>
        <v>0.9285714285714286</v>
      </c>
      <c r="S74" s="779">
        <f>SUM(S68:S73)</f>
        <v>123.30000000000001</v>
      </c>
      <c r="T74" s="827">
        <f>SUM(T68:T73)</f>
        <v>619684947</v>
      </c>
    </row>
    <row r="76" spans="1:20" ht="16.5" customHeight="1" thickBot="1">
      <c r="B76" s="822" t="s">
        <v>1466</v>
      </c>
      <c r="C76" s="822"/>
      <c r="D76" s="822"/>
      <c r="E76" s="822"/>
      <c r="F76" s="822"/>
      <c r="G76" s="822"/>
      <c r="H76" s="822"/>
      <c r="I76" s="822"/>
      <c r="J76" s="822"/>
      <c r="K76" s="822"/>
      <c r="L76" s="822"/>
      <c r="M76" s="822"/>
      <c r="N76" s="822"/>
      <c r="O76" s="822"/>
      <c r="P76" s="822"/>
      <c r="Q76" s="822"/>
      <c r="R76" s="822"/>
    </row>
    <row r="77" spans="1:20" ht="14.25" thickBot="1">
      <c r="A77" s="1259" t="s">
        <v>1432</v>
      </c>
      <c r="B77" s="1242" t="s">
        <v>1433</v>
      </c>
      <c r="C77" s="1242" t="s">
        <v>1434</v>
      </c>
      <c r="D77" s="1242" t="s">
        <v>12</v>
      </c>
      <c r="E77" s="1261" t="s">
        <v>11</v>
      </c>
      <c r="F77" s="1242" t="s">
        <v>1435</v>
      </c>
      <c r="G77" s="1242" t="s">
        <v>1436</v>
      </c>
      <c r="H77" s="1266" t="s">
        <v>1437</v>
      </c>
      <c r="I77" s="1266"/>
      <c r="J77" s="1255" t="s">
        <v>1354</v>
      </c>
      <c r="K77" s="1255" t="s">
        <v>1395</v>
      </c>
      <c r="L77" s="1255" t="s">
        <v>1438</v>
      </c>
      <c r="M77" s="1255" t="s">
        <v>1439</v>
      </c>
      <c r="N77" s="1242" t="s">
        <v>10</v>
      </c>
      <c r="O77" s="1242" t="s">
        <v>1440</v>
      </c>
      <c r="P77" s="1242" t="s">
        <v>1398</v>
      </c>
      <c r="Q77" s="1242" t="s">
        <v>1328</v>
      </c>
      <c r="R77" s="1263" t="s">
        <v>1442</v>
      </c>
    </row>
    <row r="78" spans="1:20" ht="14.25" thickBot="1">
      <c r="A78" s="1265"/>
      <c r="B78" s="1243"/>
      <c r="C78" s="1243"/>
      <c r="D78" s="1243"/>
      <c r="E78" s="1262"/>
      <c r="F78" s="1243"/>
      <c r="G78" s="1243"/>
      <c r="H78" s="778" t="s">
        <v>1400</v>
      </c>
      <c r="I78" s="778" t="s">
        <v>1356</v>
      </c>
      <c r="J78" s="1256"/>
      <c r="K78" s="1256"/>
      <c r="L78" s="1256"/>
      <c r="M78" s="1256"/>
      <c r="N78" s="1243"/>
      <c r="O78" s="1243"/>
      <c r="P78" s="1243"/>
      <c r="Q78" s="1243"/>
      <c r="R78" s="1264"/>
    </row>
    <row r="79" spans="1:20" ht="22.5" customHeight="1" thickBot="1">
      <c r="A79" s="1248" t="s">
        <v>1467</v>
      </c>
      <c r="B79" s="800" t="s">
        <v>1412</v>
      </c>
      <c r="C79" s="205" t="s">
        <v>1293</v>
      </c>
      <c r="D79" s="205" t="s">
        <v>1320</v>
      </c>
      <c r="E79" s="828" t="s">
        <v>1468</v>
      </c>
      <c r="F79" s="205">
        <v>90</v>
      </c>
      <c r="G79" s="205">
        <v>360</v>
      </c>
      <c r="H79" s="208">
        <v>44039</v>
      </c>
      <c r="I79" s="208">
        <v>44168</v>
      </c>
      <c r="J79" s="44">
        <v>2243160</v>
      </c>
      <c r="K79" s="44">
        <f>J79/G79</f>
        <v>6231</v>
      </c>
      <c r="L79" s="44" t="s">
        <v>1469</v>
      </c>
      <c r="M79" s="44" t="s">
        <v>1470</v>
      </c>
      <c r="N79" s="205">
        <v>20</v>
      </c>
      <c r="O79" s="191">
        <v>17</v>
      </c>
      <c r="P79" s="206">
        <v>17</v>
      </c>
      <c r="Q79" s="227">
        <f t="shared" ref="Q79:Q83" si="26">O79/N79</f>
        <v>0.85</v>
      </c>
      <c r="R79" s="328">
        <f t="shared" ref="R79:R83" si="27">P79/N79</f>
        <v>0.85</v>
      </c>
      <c r="S79" s="779">
        <f t="shared" ref="S79:S82" si="28">O79*90%</f>
        <v>15.3</v>
      </c>
      <c r="T79" s="780">
        <f t="shared" ref="T79:T82" si="29">J79*S79</f>
        <v>34320348</v>
      </c>
    </row>
    <row r="80" spans="1:20" ht="22.5" customHeight="1" thickBot="1">
      <c r="A80" s="1249"/>
      <c r="B80" s="829" t="s">
        <v>825</v>
      </c>
      <c r="C80" s="97" t="s">
        <v>1293</v>
      </c>
      <c r="D80" s="97" t="s">
        <v>1214</v>
      </c>
      <c r="E80" s="830" t="s">
        <v>1471</v>
      </c>
      <c r="F80" s="97">
        <v>107</v>
      </c>
      <c r="G80" s="97">
        <v>856</v>
      </c>
      <c r="H80" s="98">
        <v>44018</v>
      </c>
      <c r="I80" s="98">
        <v>44175</v>
      </c>
      <c r="J80" s="59">
        <v>5639320</v>
      </c>
      <c r="K80" s="37">
        <f t="shared" ref="K80:K82" si="30">J80/G80</f>
        <v>6587.9906542056078</v>
      </c>
      <c r="L80" s="59" t="s">
        <v>1472</v>
      </c>
      <c r="M80" s="59" t="s">
        <v>1473</v>
      </c>
      <c r="N80" s="97">
        <v>35</v>
      </c>
      <c r="O80" s="190">
        <v>27</v>
      </c>
      <c r="P80" s="831">
        <v>31</v>
      </c>
      <c r="Q80" s="832">
        <f t="shared" si="26"/>
        <v>0.77142857142857146</v>
      </c>
      <c r="R80" s="312">
        <f t="shared" si="27"/>
        <v>0.88571428571428568</v>
      </c>
      <c r="S80" s="779">
        <f t="shared" si="28"/>
        <v>24.3</v>
      </c>
      <c r="T80" s="780">
        <f t="shared" si="29"/>
        <v>137035476</v>
      </c>
    </row>
    <row r="81" spans="1:20" ht="22.5" customHeight="1">
      <c r="A81" s="1249"/>
      <c r="B81" s="798" t="s">
        <v>1474</v>
      </c>
      <c r="C81" s="819" t="s">
        <v>1451</v>
      </c>
      <c r="D81" s="224" t="s">
        <v>1320</v>
      </c>
      <c r="E81" s="833" t="s">
        <v>1475</v>
      </c>
      <c r="F81" s="224">
        <v>58</v>
      </c>
      <c r="G81" s="224">
        <v>290</v>
      </c>
      <c r="H81" s="225">
        <v>44021</v>
      </c>
      <c r="I81" s="834">
        <v>44123</v>
      </c>
      <c r="J81" s="37">
        <v>1629510</v>
      </c>
      <c r="K81" s="37">
        <f t="shared" si="30"/>
        <v>5619</v>
      </c>
      <c r="L81" s="37" t="s">
        <v>1366</v>
      </c>
      <c r="M81" s="37" t="s">
        <v>1447</v>
      </c>
      <c r="N81" s="224">
        <v>20</v>
      </c>
      <c r="O81" s="113">
        <v>9</v>
      </c>
      <c r="P81" s="284">
        <v>9</v>
      </c>
      <c r="Q81" s="114">
        <f t="shared" si="26"/>
        <v>0.45</v>
      </c>
      <c r="R81" s="795">
        <f t="shared" si="27"/>
        <v>0.45</v>
      </c>
      <c r="S81" s="779">
        <f t="shared" si="28"/>
        <v>8.1</v>
      </c>
      <c r="T81" s="780">
        <f t="shared" si="29"/>
        <v>13199031</v>
      </c>
    </row>
    <row r="82" spans="1:20" ht="22.5" customHeight="1" thickBot="1">
      <c r="A82" s="1249"/>
      <c r="B82" s="800" t="s">
        <v>1474</v>
      </c>
      <c r="C82" s="205" t="s">
        <v>1451</v>
      </c>
      <c r="D82" s="205" t="s">
        <v>1345</v>
      </c>
      <c r="E82" s="828" t="s">
        <v>1476</v>
      </c>
      <c r="F82" s="205">
        <v>100</v>
      </c>
      <c r="G82" s="205">
        <v>800</v>
      </c>
      <c r="H82" s="208">
        <v>44033</v>
      </c>
      <c r="I82" s="208">
        <v>44176</v>
      </c>
      <c r="J82" s="44">
        <v>4984800</v>
      </c>
      <c r="K82" s="44">
        <f t="shared" si="30"/>
        <v>6231</v>
      </c>
      <c r="L82" s="44" t="s">
        <v>1477</v>
      </c>
      <c r="M82" s="44" t="s">
        <v>1478</v>
      </c>
      <c r="N82" s="205">
        <v>18</v>
      </c>
      <c r="O82" s="191">
        <v>18</v>
      </c>
      <c r="P82" s="206">
        <v>18</v>
      </c>
      <c r="Q82" s="227">
        <f t="shared" si="26"/>
        <v>1</v>
      </c>
      <c r="R82" s="826">
        <f t="shared" si="27"/>
        <v>1</v>
      </c>
      <c r="S82" s="779">
        <f t="shared" si="28"/>
        <v>16.2</v>
      </c>
      <c r="T82" s="780">
        <f t="shared" si="29"/>
        <v>80753760</v>
      </c>
    </row>
    <row r="83" spans="1:20" ht="22.5" customHeight="1" thickBot="1">
      <c r="A83" s="1250"/>
      <c r="B83" s="1251" t="s">
        <v>1464</v>
      </c>
      <c r="C83" s="1252"/>
      <c r="D83" s="1253"/>
      <c r="E83" s="789" t="s">
        <v>1479</v>
      </c>
      <c r="F83" s="796">
        <f>SUM(F79:F82)/4</f>
        <v>88.75</v>
      </c>
      <c r="G83" s="796">
        <f>SUM(G79:G82)/4</f>
        <v>576.5</v>
      </c>
      <c r="H83" s="796"/>
      <c r="I83" s="796"/>
      <c r="J83" s="797">
        <f>SUM(J79:J82)/4</f>
        <v>3624197.5</v>
      </c>
      <c r="K83" s="797"/>
      <c r="L83" s="791"/>
      <c r="M83" s="791"/>
      <c r="N83" s="789">
        <f>SUM(N79:N82)</f>
        <v>93</v>
      </c>
      <c r="O83" s="789">
        <f>SUM(O79:O82)</f>
        <v>71</v>
      </c>
      <c r="P83" s="789">
        <f>SUM(P79:P82)</f>
        <v>75</v>
      </c>
      <c r="Q83" s="792">
        <f t="shared" si="26"/>
        <v>0.76344086021505375</v>
      </c>
      <c r="R83" s="793">
        <f t="shared" si="27"/>
        <v>0.80645161290322576</v>
      </c>
      <c r="S83" s="779">
        <f>SUM(S79:S82)</f>
        <v>63.900000000000006</v>
      </c>
      <c r="T83" s="827">
        <f>SUM(T79:T82)</f>
        <v>265308615</v>
      </c>
    </row>
    <row r="85" spans="1:20" ht="16.5" customHeight="1" thickBot="1">
      <c r="B85" s="822" t="s">
        <v>1480</v>
      </c>
      <c r="C85" s="822"/>
      <c r="D85" s="822"/>
      <c r="E85" s="822"/>
      <c r="F85" s="822"/>
      <c r="G85" s="822"/>
      <c r="H85" s="822"/>
      <c r="I85" s="822"/>
      <c r="J85" s="822"/>
      <c r="K85" s="822"/>
      <c r="L85" s="822"/>
      <c r="M85" s="822"/>
      <c r="N85" s="822"/>
      <c r="O85" s="822"/>
      <c r="P85" s="822"/>
      <c r="Q85" s="822"/>
      <c r="R85" s="822"/>
    </row>
    <row r="86" spans="1:20" ht="14.25" thickBot="1">
      <c r="A86" s="1259" t="s">
        <v>1432</v>
      </c>
      <c r="B86" s="1242" t="s">
        <v>1481</v>
      </c>
      <c r="C86" s="1242" t="s">
        <v>1434</v>
      </c>
      <c r="D86" s="1242" t="s">
        <v>12</v>
      </c>
      <c r="E86" s="1261" t="s">
        <v>11</v>
      </c>
      <c r="F86" s="1242" t="s">
        <v>1391</v>
      </c>
      <c r="G86" s="1242" t="s">
        <v>1436</v>
      </c>
      <c r="H86" s="1266" t="s">
        <v>1437</v>
      </c>
      <c r="I86" s="1266"/>
      <c r="J86" s="1255" t="s">
        <v>1354</v>
      </c>
      <c r="K86" s="1255" t="s">
        <v>1395</v>
      </c>
      <c r="L86" s="1255" t="s">
        <v>1438</v>
      </c>
      <c r="M86" s="1255" t="s">
        <v>1482</v>
      </c>
      <c r="N86" s="1242" t="s">
        <v>10</v>
      </c>
      <c r="O86" s="1242" t="s">
        <v>1440</v>
      </c>
      <c r="P86" s="1242" t="s">
        <v>1441</v>
      </c>
      <c r="Q86" s="1242" t="s">
        <v>1328</v>
      </c>
      <c r="R86" s="1263" t="s">
        <v>1399</v>
      </c>
    </row>
    <row r="87" spans="1:20" ht="14.25" thickBot="1">
      <c r="A87" s="1265"/>
      <c r="B87" s="1243"/>
      <c r="C87" s="1243"/>
      <c r="D87" s="1243"/>
      <c r="E87" s="1262"/>
      <c r="F87" s="1243"/>
      <c r="G87" s="1243"/>
      <c r="H87" s="778" t="s">
        <v>1355</v>
      </c>
      <c r="I87" s="778" t="s">
        <v>1443</v>
      </c>
      <c r="J87" s="1256"/>
      <c r="K87" s="1256"/>
      <c r="L87" s="1256"/>
      <c r="M87" s="1256"/>
      <c r="N87" s="1243"/>
      <c r="O87" s="1243"/>
      <c r="P87" s="1243"/>
      <c r="Q87" s="1243"/>
      <c r="R87" s="1264"/>
    </row>
    <row r="88" spans="1:20" ht="22.5" customHeight="1" thickBot="1">
      <c r="A88" s="1248" t="s">
        <v>1483</v>
      </c>
      <c r="B88" s="799" t="s">
        <v>825</v>
      </c>
      <c r="C88" s="83" t="s">
        <v>1293</v>
      </c>
      <c r="D88" s="83" t="s">
        <v>1214</v>
      </c>
      <c r="E88" s="835" t="s">
        <v>1484</v>
      </c>
      <c r="F88" s="83">
        <v>112</v>
      </c>
      <c r="G88" s="83">
        <v>896</v>
      </c>
      <c r="H88" s="85">
        <v>44069</v>
      </c>
      <c r="I88" s="85">
        <v>44228</v>
      </c>
      <c r="J88" s="28">
        <v>5902840</v>
      </c>
      <c r="K88" s="28">
        <f t="shared" ref="K88:K89" si="31">J88/G88</f>
        <v>6587.9910714285716</v>
      </c>
      <c r="L88" s="28" t="s">
        <v>1485</v>
      </c>
      <c r="M88" s="28" t="s">
        <v>1473</v>
      </c>
      <c r="N88" s="83">
        <v>35</v>
      </c>
      <c r="O88" s="82">
        <v>33</v>
      </c>
      <c r="P88" s="110">
        <v>38</v>
      </c>
      <c r="Q88" s="115">
        <f t="shared" ref="Q88:Q90" si="32">O88/N88</f>
        <v>0.94285714285714284</v>
      </c>
      <c r="R88" s="312">
        <f t="shared" ref="R88:R90" si="33">P88/N88</f>
        <v>1.0857142857142856</v>
      </c>
      <c r="S88" s="779">
        <f t="shared" ref="S88:S89" si="34">O88*90%</f>
        <v>29.7</v>
      </c>
      <c r="T88" s="780">
        <f t="shared" ref="T88:T89" si="35">J88*S88</f>
        <v>175314348</v>
      </c>
    </row>
    <row r="89" spans="1:20" ht="22.5" customHeight="1" thickBot="1">
      <c r="A89" s="1249"/>
      <c r="B89" s="798" t="s">
        <v>1474</v>
      </c>
      <c r="C89" s="224" t="s">
        <v>1486</v>
      </c>
      <c r="D89" s="224" t="s">
        <v>1337</v>
      </c>
      <c r="E89" s="833" t="s">
        <v>1487</v>
      </c>
      <c r="F89" s="224">
        <v>75</v>
      </c>
      <c r="G89" s="224">
        <v>600</v>
      </c>
      <c r="H89" s="225">
        <v>44067</v>
      </c>
      <c r="I89" s="225">
        <v>44193</v>
      </c>
      <c r="J89" s="37">
        <v>3371400</v>
      </c>
      <c r="K89" s="37">
        <f t="shared" si="31"/>
        <v>5619</v>
      </c>
      <c r="L89" s="37" t="s">
        <v>1469</v>
      </c>
      <c r="M89" s="37" t="s">
        <v>1488</v>
      </c>
      <c r="N89" s="224">
        <v>21</v>
      </c>
      <c r="O89" s="113">
        <v>13</v>
      </c>
      <c r="P89" s="284">
        <v>13</v>
      </c>
      <c r="Q89" s="114">
        <f t="shared" si="32"/>
        <v>0.61904761904761907</v>
      </c>
      <c r="R89" s="795">
        <f t="shared" si="33"/>
        <v>0.61904761904761907</v>
      </c>
      <c r="S89" s="779">
        <f t="shared" si="34"/>
        <v>11.700000000000001</v>
      </c>
      <c r="T89" s="780">
        <f t="shared" si="35"/>
        <v>39445380</v>
      </c>
    </row>
    <row r="90" spans="1:20" ht="22.5" customHeight="1" thickBot="1">
      <c r="A90" s="1250"/>
      <c r="B90" s="1251" t="s">
        <v>1464</v>
      </c>
      <c r="C90" s="1252"/>
      <c r="D90" s="1253"/>
      <c r="E90" s="789" t="s">
        <v>1489</v>
      </c>
      <c r="F90" s="796">
        <f>SUM(F88:F89)/2</f>
        <v>93.5</v>
      </c>
      <c r="G90" s="796">
        <f>SUM(G88:G89)/2</f>
        <v>748</v>
      </c>
      <c r="H90" s="796"/>
      <c r="I90" s="796"/>
      <c r="J90" s="797">
        <f>SUM(J88:J89)/2</f>
        <v>4637120</v>
      </c>
      <c r="K90" s="797"/>
      <c r="L90" s="791"/>
      <c r="M90" s="791"/>
      <c r="N90" s="789">
        <f>SUM(N88:N89)</f>
        <v>56</v>
      </c>
      <c r="O90" s="789">
        <f>SUM(O88:O89)</f>
        <v>46</v>
      </c>
      <c r="P90" s="789">
        <f>SUM(P88:P89)</f>
        <v>51</v>
      </c>
      <c r="Q90" s="792">
        <f t="shared" si="32"/>
        <v>0.8214285714285714</v>
      </c>
      <c r="R90" s="793">
        <f t="shared" si="33"/>
        <v>0.9107142857142857</v>
      </c>
      <c r="S90" s="779">
        <f>SUM(S88:S89)</f>
        <v>41.4</v>
      </c>
      <c r="T90" s="827">
        <f>SUM(T88:T89)</f>
        <v>214759728</v>
      </c>
    </row>
    <row r="92" spans="1:20" ht="21.75" customHeight="1" thickBot="1">
      <c r="B92" s="822" t="s">
        <v>1490</v>
      </c>
      <c r="C92" s="777"/>
      <c r="D92" s="777"/>
      <c r="E92" s="777"/>
      <c r="F92" s="777"/>
      <c r="G92" s="777"/>
      <c r="H92" s="777"/>
      <c r="I92" s="777"/>
      <c r="J92" s="777"/>
      <c r="K92" s="777"/>
      <c r="L92" s="777"/>
      <c r="M92" s="777"/>
      <c r="N92" s="777"/>
      <c r="O92" s="777"/>
      <c r="P92" s="777"/>
      <c r="Q92" s="777"/>
      <c r="R92" s="777"/>
    </row>
    <row r="93" spans="1:20" ht="14.25" thickBot="1">
      <c r="A93" s="1259" t="s">
        <v>1432</v>
      </c>
      <c r="B93" s="1242" t="s">
        <v>1481</v>
      </c>
      <c r="C93" s="1242" t="s">
        <v>1434</v>
      </c>
      <c r="D93" s="1242" t="s">
        <v>12</v>
      </c>
      <c r="E93" s="1261" t="s">
        <v>11</v>
      </c>
      <c r="F93" s="1242" t="s">
        <v>1435</v>
      </c>
      <c r="G93" s="1242" t="s">
        <v>1392</v>
      </c>
      <c r="H93" s="1266" t="s">
        <v>1393</v>
      </c>
      <c r="I93" s="1266"/>
      <c r="J93" s="1255" t="s">
        <v>1394</v>
      </c>
      <c r="K93" s="1255" t="s">
        <v>1395</v>
      </c>
      <c r="L93" s="1255" t="s">
        <v>1438</v>
      </c>
      <c r="M93" s="1255" t="s">
        <v>1439</v>
      </c>
      <c r="N93" s="1242" t="s">
        <v>10</v>
      </c>
      <c r="O93" s="1242" t="s">
        <v>1440</v>
      </c>
      <c r="P93" s="1242" t="s">
        <v>1441</v>
      </c>
      <c r="Q93" s="1242" t="s">
        <v>1328</v>
      </c>
      <c r="R93" s="1263" t="s">
        <v>1399</v>
      </c>
    </row>
    <row r="94" spans="1:20" ht="14.25" thickBot="1">
      <c r="A94" s="1265"/>
      <c r="B94" s="1243"/>
      <c r="C94" s="1243"/>
      <c r="D94" s="1243"/>
      <c r="E94" s="1262"/>
      <c r="F94" s="1243"/>
      <c r="G94" s="1243"/>
      <c r="H94" s="778" t="s">
        <v>1400</v>
      </c>
      <c r="I94" s="778" t="s">
        <v>1443</v>
      </c>
      <c r="J94" s="1256"/>
      <c r="K94" s="1256"/>
      <c r="L94" s="1256"/>
      <c r="M94" s="1256"/>
      <c r="N94" s="1243"/>
      <c r="O94" s="1243"/>
      <c r="P94" s="1243"/>
      <c r="Q94" s="1243"/>
      <c r="R94" s="1264"/>
    </row>
    <row r="95" spans="1:20" ht="22.5" customHeight="1" thickBot="1">
      <c r="A95" s="1248" t="s">
        <v>1491</v>
      </c>
      <c r="B95" s="801" t="s">
        <v>1334</v>
      </c>
      <c r="C95" s="802" t="s">
        <v>1451</v>
      </c>
      <c r="D95" s="802" t="s">
        <v>1320</v>
      </c>
      <c r="E95" s="836" t="s">
        <v>1492</v>
      </c>
      <c r="F95" s="802">
        <v>75</v>
      </c>
      <c r="G95" s="802">
        <v>300</v>
      </c>
      <c r="H95" s="803">
        <v>44097</v>
      </c>
      <c r="I95" s="803">
        <v>44210</v>
      </c>
      <c r="J95" s="804">
        <v>1886400</v>
      </c>
      <c r="K95" s="804">
        <f>J95/G95</f>
        <v>6288</v>
      </c>
      <c r="L95" s="804" t="s">
        <v>1406</v>
      </c>
      <c r="M95" s="804" t="s">
        <v>1362</v>
      </c>
      <c r="N95" s="802">
        <v>20</v>
      </c>
      <c r="O95" s="194">
        <v>14</v>
      </c>
      <c r="P95" s="805">
        <v>14</v>
      </c>
      <c r="Q95" s="806">
        <f t="shared" ref="Q95:Q103" si="36">O95/N95</f>
        <v>0.7</v>
      </c>
      <c r="R95" s="806">
        <f t="shared" ref="R95:R103" si="37">P95/N95</f>
        <v>0.7</v>
      </c>
      <c r="S95" s="779">
        <f t="shared" ref="S95:S102" si="38">O95*90%</f>
        <v>12.6</v>
      </c>
      <c r="T95" s="780">
        <f t="shared" ref="T95:T102" si="39">J95*S95</f>
        <v>23768640</v>
      </c>
    </row>
    <row r="96" spans="1:20" ht="22.5" customHeight="1" thickBot="1">
      <c r="A96" s="1249"/>
      <c r="B96" s="807" t="s">
        <v>1334</v>
      </c>
      <c r="C96" s="782" t="s">
        <v>1445</v>
      </c>
      <c r="D96" s="782" t="s">
        <v>1345</v>
      </c>
      <c r="E96" s="837" t="s">
        <v>1493</v>
      </c>
      <c r="F96" s="782">
        <v>124</v>
      </c>
      <c r="G96" s="782">
        <v>620</v>
      </c>
      <c r="H96" s="783">
        <v>44088</v>
      </c>
      <c r="I96" s="783">
        <v>44292</v>
      </c>
      <c r="J96" s="784">
        <v>4393700</v>
      </c>
      <c r="K96" s="784">
        <f t="shared" ref="K96:K102" si="40">J96/G96</f>
        <v>7086.6129032258068</v>
      </c>
      <c r="L96" s="784" t="s">
        <v>1426</v>
      </c>
      <c r="M96" s="784" t="s">
        <v>1385</v>
      </c>
      <c r="N96" s="782">
        <v>20</v>
      </c>
      <c r="O96" s="785">
        <v>19</v>
      </c>
      <c r="P96" s="786">
        <v>19</v>
      </c>
      <c r="Q96" s="787">
        <f t="shared" si="36"/>
        <v>0.95</v>
      </c>
      <c r="R96" s="787">
        <f t="shared" si="37"/>
        <v>0.95</v>
      </c>
      <c r="S96" s="779">
        <f t="shared" si="38"/>
        <v>17.100000000000001</v>
      </c>
      <c r="T96" s="780">
        <f t="shared" si="39"/>
        <v>75132270</v>
      </c>
    </row>
    <row r="97" spans="1:20" ht="22.5" customHeight="1" thickBot="1">
      <c r="A97" s="1249"/>
      <c r="B97" s="807" t="s">
        <v>1358</v>
      </c>
      <c r="C97" s="782" t="s">
        <v>1494</v>
      </c>
      <c r="D97" s="782" t="s">
        <v>1320</v>
      </c>
      <c r="E97" s="837" t="s">
        <v>1495</v>
      </c>
      <c r="F97" s="782">
        <v>73</v>
      </c>
      <c r="G97" s="782">
        <v>290</v>
      </c>
      <c r="H97" s="783">
        <v>44090</v>
      </c>
      <c r="I97" s="783">
        <v>44166</v>
      </c>
      <c r="J97" s="784">
        <v>1629510</v>
      </c>
      <c r="K97" s="784">
        <f>J97/G97</f>
        <v>5619</v>
      </c>
      <c r="L97" s="784" t="s">
        <v>1496</v>
      </c>
      <c r="M97" s="784" t="s">
        <v>1497</v>
      </c>
      <c r="N97" s="782">
        <v>10</v>
      </c>
      <c r="O97" s="785">
        <v>10</v>
      </c>
      <c r="P97" s="786">
        <v>16</v>
      </c>
      <c r="Q97" s="787">
        <f>O97/N97</f>
        <v>1</v>
      </c>
      <c r="R97" s="808">
        <f>P97/N97</f>
        <v>1.6</v>
      </c>
      <c r="S97" s="779">
        <f t="shared" si="38"/>
        <v>9</v>
      </c>
      <c r="T97" s="780">
        <f t="shared" si="39"/>
        <v>14665590</v>
      </c>
    </row>
    <row r="98" spans="1:20" ht="22.5" customHeight="1" thickBot="1">
      <c r="A98" s="1249"/>
      <c r="B98" s="812" t="s">
        <v>1334</v>
      </c>
      <c r="C98" s="584" t="s">
        <v>1498</v>
      </c>
      <c r="D98" s="584" t="s">
        <v>1340</v>
      </c>
      <c r="E98" s="838" t="s">
        <v>1499</v>
      </c>
      <c r="F98" s="584">
        <v>70</v>
      </c>
      <c r="G98" s="584">
        <v>280</v>
      </c>
      <c r="H98" s="813">
        <v>44088</v>
      </c>
      <c r="I98" s="813">
        <v>44188</v>
      </c>
      <c r="J98" s="814">
        <v>1832600</v>
      </c>
      <c r="K98" s="814">
        <f t="shared" si="40"/>
        <v>6545</v>
      </c>
      <c r="L98" s="814" t="s">
        <v>1456</v>
      </c>
      <c r="M98" s="814" t="s">
        <v>1500</v>
      </c>
      <c r="N98" s="584">
        <v>12</v>
      </c>
      <c r="O98" s="815">
        <v>12</v>
      </c>
      <c r="P98" s="816">
        <v>12</v>
      </c>
      <c r="Q98" s="839">
        <f t="shared" si="36"/>
        <v>1</v>
      </c>
      <c r="R98" s="839">
        <f t="shared" si="37"/>
        <v>1</v>
      </c>
      <c r="S98" s="779">
        <f t="shared" si="38"/>
        <v>10.8</v>
      </c>
      <c r="T98" s="780">
        <f t="shared" si="39"/>
        <v>19792080</v>
      </c>
    </row>
    <row r="99" spans="1:20" ht="22.5" customHeight="1" thickBot="1">
      <c r="A99" s="1249"/>
      <c r="B99" s="800" t="s">
        <v>1412</v>
      </c>
      <c r="C99" s="205" t="s">
        <v>1383</v>
      </c>
      <c r="D99" s="205" t="s">
        <v>1340</v>
      </c>
      <c r="E99" s="828" t="s">
        <v>1501</v>
      </c>
      <c r="F99" s="205">
        <v>56</v>
      </c>
      <c r="G99" s="205">
        <v>225</v>
      </c>
      <c r="H99" s="208">
        <v>44090</v>
      </c>
      <c r="I99" s="208">
        <v>44173</v>
      </c>
      <c r="J99" s="44">
        <v>1401970</v>
      </c>
      <c r="K99" s="44">
        <f t="shared" si="40"/>
        <v>6230.9777777777781</v>
      </c>
      <c r="L99" s="44" t="s">
        <v>1502</v>
      </c>
      <c r="M99" s="44" t="s">
        <v>1503</v>
      </c>
      <c r="N99" s="205">
        <v>10</v>
      </c>
      <c r="O99" s="191">
        <v>6</v>
      </c>
      <c r="P99" s="206">
        <v>6</v>
      </c>
      <c r="Q99" s="227">
        <f t="shared" si="36"/>
        <v>0.6</v>
      </c>
      <c r="R99" s="328">
        <f t="shared" si="37"/>
        <v>0.6</v>
      </c>
      <c r="S99" s="779">
        <f t="shared" si="38"/>
        <v>5.4</v>
      </c>
      <c r="T99" s="780">
        <f t="shared" si="39"/>
        <v>7570638.0000000009</v>
      </c>
    </row>
    <row r="100" spans="1:20" ht="22.5" customHeight="1" thickBot="1">
      <c r="A100" s="1249"/>
      <c r="B100" s="829" t="s">
        <v>825</v>
      </c>
      <c r="C100" s="97" t="s">
        <v>1293</v>
      </c>
      <c r="D100" s="97" t="s">
        <v>1214</v>
      </c>
      <c r="E100" s="830" t="s">
        <v>1504</v>
      </c>
      <c r="F100" s="97">
        <v>111</v>
      </c>
      <c r="G100" s="97">
        <v>888</v>
      </c>
      <c r="H100" s="98">
        <v>44098</v>
      </c>
      <c r="I100" s="98">
        <v>44265</v>
      </c>
      <c r="J100" s="59">
        <v>5850140</v>
      </c>
      <c r="K100" s="28">
        <f t="shared" si="40"/>
        <v>6587.9954954954956</v>
      </c>
      <c r="L100" s="59" t="s">
        <v>1505</v>
      </c>
      <c r="M100" s="59" t="s">
        <v>1473</v>
      </c>
      <c r="N100" s="97">
        <v>21</v>
      </c>
      <c r="O100" s="190">
        <v>19</v>
      </c>
      <c r="P100" s="831">
        <v>21</v>
      </c>
      <c r="Q100" s="115">
        <f t="shared" si="36"/>
        <v>0.90476190476190477</v>
      </c>
      <c r="R100" s="312">
        <f t="shared" si="37"/>
        <v>1</v>
      </c>
      <c r="S100" s="779">
        <f t="shared" si="38"/>
        <v>17.100000000000001</v>
      </c>
      <c r="T100" s="780">
        <f t="shared" si="39"/>
        <v>100037394.00000001</v>
      </c>
    </row>
    <row r="101" spans="1:20" ht="22.5" customHeight="1" thickBot="1">
      <c r="A101" s="1249"/>
      <c r="B101" s="798" t="s">
        <v>1342</v>
      </c>
      <c r="C101" s="224" t="s">
        <v>1416</v>
      </c>
      <c r="D101" s="224" t="s">
        <v>1337</v>
      </c>
      <c r="E101" s="833" t="s">
        <v>1506</v>
      </c>
      <c r="F101" s="224">
        <v>112</v>
      </c>
      <c r="G101" s="224">
        <v>890</v>
      </c>
      <c r="H101" s="225">
        <v>44088</v>
      </c>
      <c r="I101" s="225">
        <v>44257</v>
      </c>
      <c r="J101" s="37">
        <v>5863320</v>
      </c>
      <c r="K101" s="37">
        <f t="shared" si="40"/>
        <v>6588</v>
      </c>
      <c r="L101" s="37" t="s">
        <v>1496</v>
      </c>
      <c r="M101" s="37" t="s">
        <v>1507</v>
      </c>
      <c r="N101" s="224">
        <v>30</v>
      </c>
      <c r="O101" s="113">
        <v>27</v>
      </c>
      <c r="P101" s="284">
        <v>27</v>
      </c>
      <c r="Q101" s="114">
        <f t="shared" si="36"/>
        <v>0.9</v>
      </c>
      <c r="R101" s="323">
        <f t="shared" si="37"/>
        <v>0.9</v>
      </c>
      <c r="S101" s="779">
        <f t="shared" si="38"/>
        <v>24.3</v>
      </c>
      <c r="T101" s="780">
        <f t="shared" si="39"/>
        <v>142478676</v>
      </c>
    </row>
    <row r="102" spans="1:20" ht="22.5" customHeight="1" thickBot="1">
      <c r="A102" s="1249"/>
      <c r="B102" s="798" t="s">
        <v>1386</v>
      </c>
      <c r="C102" s="224" t="s">
        <v>1343</v>
      </c>
      <c r="D102" s="224" t="s">
        <v>1320</v>
      </c>
      <c r="E102" s="833" t="s">
        <v>1428</v>
      </c>
      <c r="F102" s="224">
        <v>60</v>
      </c>
      <c r="G102" s="224">
        <v>300</v>
      </c>
      <c r="H102" s="225">
        <v>44089</v>
      </c>
      <c r="I102" s="225">
        <v>44176</v>
      </c>
      <c r="J102" s="37">
        <v>1869300</v>
      </c>
      <c r="K102" s="37">
        <f t="shared" si="40"/>
        <v>6231</v>
      </c>
      <c r="L102" s="37" t="s">
        <v>1469</v>
      </c>
      <c r="M102" s="37" t="s">
        <v>1385</v>
      </c>
      <c r="N102" s="224">
        <v>20</v>
      </c>
      <c r="O102" s="113">
        <v>19</v>
      </c>
      <c r="P102" s="284">
        <v>19</v>
      </c>
      <c r="Q102" s="114">
        <f t="shared" si="36"/>
        <v>0.95</v>
      </c>
      <c r="R102" s="795">
        <f t="shared" si="37"/>
        <v>0.95</v>
      </c>
      <c r="S102" s="779">
        <f t="shared" si="38"/>
        <v>17.100000000000001</v>
      </c>
      <c r="T102" s="780">
        <f t="shared" si="39"/>
        <v>31965030.000000004</v>
      </c>
    </row>
    <row r="103" spans="1:20" ht="22.5" customHeight="1" thickBot="1">
      <c r="A103" s="1250"/>
      <c r="B103" s="1251" t="s">
        <v>1300</v>
      </c>
      <c r="C103" s="1252"/>
      <c r="D103" s="1253"/>
      <c r="E103" s="789" t="s">
        <v>1508</v>
      </c>
      <c r="F103" s="796">
        <f>SUM(F95:F102)/8</f>
        <v>85.125</v>
      </c>
      <c r="G103" s="796">
        <f>SUM(G95:G102)/8</f>
        <v>474.125</v>
      </c>
      <c r="H103" s="796"/>
      <c r="I103" s="796"/>
      <c r="J103" s="797">
        <f>SUM(J95:J102)/8</f>
        <v>3090867.5</v>
      </c>
      <c r="K103" s="797"/>
      <c r="L103" s="791"/>
      <c r="M103" s="791"/>
      <c r="N103" s="789">
        <f>SUM(N95:N102)</f>
        <v>143</v>
      </c>
      <c r="O103" s="789">
        <f>SUM(O95:O102)</f>
        <v>126</v>
      </c>
      <c r="P103" s="789">
        <f>SUM(P95:P102)</f>
        <v>134</v>
      </c>
      <c r="Q103" s="792">
        <f t="shared" si="36"/>
        <v>0.88111888111888115</v>
      </c>
      <c r="R103" s="793">
        <f t="shared" si="37"/>
        <v>0.93706293706293708</v>
      </c>
      <c r="S103" s="779">
        <f>SUM(S95:S102)</f>
        <v>113.4</v>
      </c>
      <c r="T103" s="780">
        <f>SUM(T95:T102)</f>
        <v>415410318</v>
      </c>
    </row>
    <row r="105" spans="1:20" ht="21.75" customHeight="1" thickBot="1">
      <c r="B105" s="822" t="s">
        <v>1509</v>
      </c>
      <c r="C105" s="777"/>
      <c r="D105" s="777"/>
      <c r="E105" s="777"/>
      <c r="F105" s="777"/>
      <c r="G105" s="777"/>
      <c r="H105" s="777"/>
      <c r="I105" s="777"/>
      <c r="J105" s="777"/>
      <c r="K105" s="777"/>
      <c r="L105" s="777"/>
      <c r="M105" s="777"/>
      <c r="N105" s="777"/>
      <c r="O105" s="777"/>
      <c r="P105" s="777"/>
      <c r="Q105" s="777"/>
      <c r="R105" s="777"/>
    </row>
    <row r="106" spans="1:20" ht="17.25" customHeight="1">
      <c r="A106" s="1259" t="s">
        <v>1432</v>
      </c>
      <c r="B106" s="1259" t="s">
        <v>1433</v>
      </c>
      <c r="C106" s="1242" t="s">
        <v>1434</v>
      </c>
      <c r="D106" s="1242" t="s">
        <v>12</v>
      </c>
      <c r="E106" s="1261" t="s">
        <v>11</v>
      </c>
      <c r="F106" s="1242" t="s">
        <v>1435</v>
      </c>
      <c r="G106" s="1242" t="s">
        <v>1436</v>
      </c>
      <c r="H106" s="1254" t="s">
        <v>1437</v>
      </c>
      <c r="I106" s="1254"/>
      <c r="J106" s="1255" t="s">
        <v>1354</v>
      </c>
      <c r="K106" s="1255" t="s">
        <v>1395</v>
      </c>
      <c r="L106" s="1255" t="s">
        <v>1438</v>
      </c>
      <c r="M106" s="1255" t="s">
        <v>1439</v>
      </c>
      <c r="N106" s="1242" t="s">
        <v>10</v>
      </c>
      <c r="O106" s="1244" t="s">
        <v>1440</v>
      </c>
      <c r="P106" s="1242" t="s">
        <v>1441</v>
      </c>
      <c r="Q106" s="1242" t="s">
        <v>1328</v>
      </c>
      <c r="R106" s="1263" t="s">
        <v>1442</v>
      </c>
    </row>
    <row r="107" spans="1:20" ht="17.25" customHeight="1" thickBot="1">
      <c r="A107" s="1265"/>
      <c r="B107" s="1260"/>
      <c r="C107" s="1243"/>
      <c r="D107" s="1243"/>
      <c r="E107" s="1262"/>
      <c r="F107" s="1243"/>
      <c r="G107" s="1243"/>
      <c r="H107" s="840" t="s">
        <v>1400</v>
      </c>
      <c r="I107" s="840" t="s">
        <v>1443</v>
      </c>
      <c r="J107" s="1256"/>
      <c r="K107" s="1256"/>
      <c r="L107" s="1256"/>
      <c r="M107" s="1256"/>
      <c r="N107" s="1243"/>
      <c r="O107" s="1245"/>
      <c r="P107" s="1243"/>
      <c r="Q107" s="1243"/>
      <c r="R107" s="1264"/>
    </row>
    <row r="108" spans="1:20" ht="22.5" customHeight="1" thickBot="1">
      <c r="A108" s="1248" t="s">
        <v>1510</v>
      </c>
      <c r="B108" s="807" t="s">
        <v>1334</v>
      </c>
      <c r="C108" s="782" t="s">
        <v>1511</v>
      </c>
      <c r="D108" s="782" t="s">
        <v>1320</v>
      </c>
      <c r="E108" s="837" t="s">
        <v>1512</v>
      </c>
      <c r="F108" s="782">
        <v>80</v>
      </c>
      <c r="G108" s="782">
        <v>320</v>
      </c>
      <c r="H108" s="783">
        <v>44118</v>
      </c>
      <c r="I108" s="783">
        <v>44231</v>
      </c>
      <c r="J108" s="784">
        <v>2012160</v>
      </c>
      <c r="K108" s="784">
        <f>J108/G108</f>
        <v>6288</v>
      </c>
      <c r="L108" s="784" t="s">
        <v>1462</v>
      </c>
      <c r="M108" s="784" t="s">
        <v>1497</v>
      </c>
      <c r="N108" s="782">
        <v>20</v>
      </c>
      <c r="O108" s="785">
        <v>12</v>
      </c>
      <c r="P108" s="786">
        <v>17</v>
      </c>
      <c r="Q108" s="787">
        <f t="shared" ref="Q108:Q121" si="41">O108/N108</f>
        <v>0.6</v>
      </c>
      <c r="R108" s="787">
        <f t="shared" ref="R108:R121" si="42">P108/N108</f>
        <v>0.85</v>
      </c>
      <c r="S108" s="779">
        <f>O108*90%</f>
        <v>10.8</v>
      </c>
      <c r="T108" s="780">
        <f t="shared" ref="T108:T119" si="43">J108*S108</f>
        <v>21731328</v>
      </c>
    </row>
    <row r="109" spans="1:20" ht="22.5" customHeight="1">
      <c r="A109" s="1249"/>
      <c r="B109" s="823" t="s">
        <v>1334</v>
      </c>
      <c r="C109" s="91" t="s">
        <v>1513</v>
      </c>
      <c r="D109" s="91" t="s">
        <v>1337</v>
      </c>
      <c r="E109" s="841" t="s">
        <v>1514</v>
      </c>
      <c r="F109" s="91">
        <v>120</v>
      </c>
      <c r="G109" s="91">
        <v>600</v>
      </c>
      <c r="H109" s="94">
        <v>44110</v>
      </c>
      <c r="I109" s="94">
        <v>44333</v>
      </c>
      <c r="J109" s="66">
        <v>3927000</v>
      </c>
      <c r="K109" s="66">
        <f t="shared" ref="K109" si="44">J109/G109</f>
        <v>6545</v>
      </c>
      <c r="L109" s="66" t="s">
        <v>1366</v>
      </c>
      <c r="M109" s="66" t="s">
        <v>1367</v>
      </c>
      <c r="N109" s="91">
        <v>20</v>
      </c>
      <c r="O109" s="101">
        <v>13</v>
      </c>
      <c r="P109" s="108">
        <v>13</v>
      </c>
      <c r="Q109" s="817">
        <f t="shared" si="41"/>
        <v>0.65</v>
      </c>
      <c r="R109" s="817">
        <f t="shared" si="42"/>
        <v>0.65</v>
      </c>
      <c r="S109" s="779">
        <f t="shared" ref="S109:S120" si="45">O109*90%</f>
        <v>11.700000000000001</v>
      </c>
      <c r="T109" s="780">
        <f t="shared" si="43"/>
        <v>45945900.000000007</v>
      </c>
    </row>
    <row r="110" spans="1:20" ht="22.5" customHeight="1">
      <c r="A110" s="1249"/>
      <c r="B110" s="799" t="s">
        <v>1334</v>
      </c>
      <c r="C110" s="83" t="s">
        <v>1513</v>
      </c>
      <c r="D110" s="83" t="s">
        <v>1337</v>
      </c>
      <c r="E110" s="835" t="s">
        <v>1515</v>
      </c>
      <c r="F110" s="83">
        <v>108</v>
      </c>
      <c r="G110" s="83">
        <v>600</v>
      </c>
      <c r="H110" s="85">
        <v>44110</v>
      </c>
      <c r="I110" s="85">
        <v>44308</v>
      </c>
      <c r="J110" s="28">
        <v>3664760</v>
      </c>
      <c r="K110" s="28">
        <f>J110/G110</f>
        <v>6107.9333333333334</v>
      </c>
      <c r="L110" s="28" t="s">
        <v>1366</v>
      </c>
      <c r="M110" s="28" t="s">
        <v>1371</v>
      </c>
      <c r="N110" s="83">
        <v>20</v>
      </c>
      <c r="O110" s="82">
        <v>14</v>
      </c>
      <c r="P110" s="110">
        <v>14</v>
      </c>
      <c r="Q110" s="115">
        <f t="shared" si="41"/>
        <v>0.7</v>
      </c>
      <c r="R110" s="115">
        <f t="shared" si="42"/>
        <v>0.7</v>
      </c>
      <c r="S110" s="779">
        <f t="shared" si="45"/>
        <v>12.6</v>
      </c>
      <c r="T110" s="780">
        <f t="shared" si="43"/>
        <v>46175976</v>
      </c>
    </row>
    <row r="111" spans="1:20" ht="22.5" customHeight="1" thickBot="1">
      <c r="A111" s="1249"/>
      <c r="B111" s="800" t="s">
        <v>1334</v>
      </c>
      <c r="C111" s="205" t="s">
        <v>1330</v>
      </c>
      <c r="D111" s="205" t="s">
        <v>1345</v>
      </c>
      <c r="E111" s="828" t="s">
        <v>1516</v>
      </c>
      <c r="F111" s="205">
        <v>150</v>
      </c>
      <c r="G111" s="205">
        <v>600</v>
      </c>
      <c r="H111" s="208">
        <v>44110</v>
      </c>
      <c r="I111" s="208">
        <v>44333</v>
      </c>
      <c r="J111" s="44">
        <v>3371400</v>
      </c>
      <c r="K111" s="44">
        <f>J111/G111</f>
        <v>5619</v>
      </c>
      <c r="L111" s="44" t="s">
        <v>1517</v>
      </c>
      <c r="M111" s="44" t="s">
        <v>1518</v>
      </c>
      <c r="N111" s="205">
        <v>23</v>
      </c>
      <c r="O111" s="191">
        <v>19</v>
      </c>
      <c r="P111" s="206">
        <v>19</v>
      </c>
      <c r="Q111" s="227">
        <f t="shared" si="41"/>
        <v>0.82608695652173914</v>
      </c>
      <c r="R111" s="227">
        <f t="shared" si="42"/>
        <v>0.82608695652173914</v>
      </c>
      <c r="S111" s="779">
        <f t="shared" si="45"/>
        <v>17.100000000000001</v>
      </c>
      <c r="T111" s="780">
        <f t="shared" si="43"/>
        <v>57650940.000000007</v>
      </c>
    </row>
    <row r="112" spans="1:20" ht="22.5" customHeight="1">
      <c r="A112" s="1249"/>
      <c r="B112" s="798" t="s">
        <v>1334</v>
      </c>
      <c r="C112" s="224" t="s">
        <v>1519</v>
      </c>
      <c r="D112" s="224" t="s">
        <v>1337</v>
      </c>
      <c r="E112" s="833" t="s">
        <v>1520</v>
      </c>
      <c r="F112" s="224">
        <v>120</v>
      </c>
      <c r="G112" s="224">
        <v>600</v>
      </c>
      <c r="H112" s="225">
        <v>44112</v>
      </c>
      <c r="I112" s="225">
        <v>44288</v>
      </c>
      <c r="J112" s="37">
        <v>3371400</v>
      </c>
      <c r="K112" s="37">
        <f t="shared" ref="K112:K120" si="46">J112/G112</f>
        <v>5619</v>
      </c>
      <c r="L112" s="37" t="s">
        <v>1366</v>
      </c>
      <c r="M112" s="37" t="s">
        <v>1367</v>
      </c>
      <c r="N112" s="224">
        <v>20</v>
      </c>
      <c r="O112" s="113">
        <v>17</v>
      </c>
      <c r="P112" s="284">
        <v>17</v>
      </c>
      <c r="Q112" s="114">
        <f t="shared" si="41"/>
        <v>0.85</v>
      </c>
      <c r="R112" s="323">
        <f t="shared" si="42"/>
        <v>0.85</v>
      </c>
      <c r="S112" s="779">
        <f t="shared" si="45"/>
        <v>15.3</v>
      </c>
      <c r="T112" s="780">
        <f t="shared" si="43"/>
        <v>51582420</v>
      </c>
    </row>
    <row r="113" spans="1:20" ht="22.5" customHeight="1">
      <c r="A113" s="1249"/>
      <c r="B113" s="799" t="s">
        <v>1358</v>
      </c>
      <c r="C113" s="83" t="s">
        <v>1339</v>
      </c>
      <c r="D113" s="83" t="s">
        <v>1337</v>
      </c>
      <c r="E113" s="835" t="s">
        <v>1521</v>
      </c>
      <c r="F113" s="83">
        <v>120</v>
      </c>
      <c r="G113" s="83">
        <v>600</v>
      </c>
      <c r="H113" s="85">
        <v>44112</v>
      </c>
      <c r="I113" s="85">
        <v>44288</v>
      </c>
      <c r="J113" s="28">
        <v>3927000</v>
      </c>
      <c r="K113" s="28">
        <f t="shared" si="46"/>
        <v>6545</v>
      </c>
      <c r="L113" s="28" t="s">
        <v>1370</v>
      </c>
      <c r="M113" s="28" t="s">
        <v>1367</v>
      </c>
      <c r="N113" s="83">
        <v>20</v>
      </c>
      <c r="O113" s="82">
        <v>20</v>
      </c>
      <c r="P113" s="110">
        <v>20</v>
      </c>
      <c r="Q113" s="115">
        <f t="shared" si="41"/>
        <v>1</v>
      </c>
      <c r="R113" s="312">
        <f t="shared" si="42"/>
        <v>1</v>
      </c>
      <c r="S113" s="779">
        <f t="shared" si="45"/>
        <v>18</v>
      </c>
      <c r="T113" s="780">
        <f t="shared" si="43"/>
        <v>70686000</v>
      </c>
    </row>
    <row r="114" spans="1:20" ht="22.5" customHeight="1" thickBot="1">
      <c r="A114" s="1249"/>
      <c r="B114" s="800" t="s">
        <v>1334</v>
      </c>
      <c r="C114" s="205" t="s">
        <v>1339</v>
      </c>
      <c r="D114" s="205" t="s">
        <v>1337</v>
      </c>
      <c r="E114" s="828" t="s">
        <v>1522</v>
      </c>
      <c r="F114" s="205">
        <v>120</v>
      </c>
      <c r="G114" s="205">
        <v>600</v>
      </c>
      <c r="H114" s="208">
        <v>44112</v>
      </c>
      <c r="I114" s="208">
        <v>44288</v>
      </c>
      <c r="J114" s="44">
        <v>3952800</v>
      </c>
      <c r="K114" s="44">
        <f t="shared" si="46"/>
        <v>6588</v>
      </c>
      <c r="L114" s="44" t="s">
        <v>1477</v>
      </c>
      <c r="M114" s="44" t="s">
        <v>1371</v>
      </c>
      <c r="N114" s="205">
        <v>20</v>
      </c>
      <c r="O114" s="191">
        <v>20</v>
      </c>
      <c r="P114" s="206">
        <v>20</v>
      </c>
      <c r="Q114" s="227">
        <f t="shared" si="41"/>
        <v>1</v>
      </c>
      <c r="R114" s="328">
        <f t="shared" si="42"/>
        <v>1</v>
      </c>
      <c r="S114" s="779">
        <f t="shared" si="45"/>
        <v>18</v>
      </c>
      <c r="T114" s="780">
        <f t="shared" si="43"/>
        <v>71150400</v>
      </c>
    </row>
    <row r="115" spans="1:20" ht="22.5" customHeight="1" thickBot="1">
      <c r="A115" s="1249"/>
      <c r="B115" s="798" t="s">
        <v>1523</v>
      </c>
      <c r="C115" s="224" t="s">
        <v>1451</v>
      </c>
      <c r="D115" s="224" t="s">
        <v>1320</v>
      </c>
      <c r="E115" s="833" t="s">
        <v>1524</v>
      </c>
      <c r="F115" s="224">
        <v>72</v>
      </c>
      <c r="G115" s="224">
        <v>360</v>
      </c>
      <c r="H115" s="225">
        <v>44131</v>
      </c>
      <c r="I115" s="225">
        <v>44263</v>
      </c>
      <c r="J115" s="37">
        <v>2243160</v>
      </c>
      <c r="K115" s="37">
        <f t="shared" si="46"/>
        <v>6231</v>
      </c>
      <c r="L115" s="37" t="s">
        <v>1456</v>
      </c>
      <c r="M115" s="37" t="s">
        <v>1525</v>
      </c>
      <c r="N115" s="224">
        <v>20</v>
      </c>
      <c r="O115" s="113">
        <v>18</v>
      </c>
      <c r="P115" s="284">
        <v>18</v>
      </c>
      <c r="Q115" s="114">
        <f t="shared" si="41"/>
        <v>0.9</v>
      </c>
      <c r="R115" s="323">
        <f t="shared" si="42"/>
        <v>0.9</v>
      </c>
      <c r="S115" s="779">
        <f t="shared" si="45"/>
        <v>16.2</v>
      </c>
      <c r="T115" s="780">
        <f t="shared" si="43"/>
        <v>36339192</v>
      </c>
    </row>
    <row r="116" spans="1:20" ht="22.5" customHeight="1">
      <c r="A116" s="1249"/>
      <c r="B116" s="798" t="s">
        <v>1342</v>
      </c>
      <c r="C116" s="224" t="s">
        <v>1451</v>
      </c>
      <c r="D116" s="224" t="s">
        <v>1337</v>
      </c>
      <c r="E116" s="833" t="s">
        <v>1526</v>
      </c>
      <c r="F116" s="224">
        <v>168</v>
      </c>
      <c r="G116" s="224">
        <v>840</v>
      </c>
      <c r="H116" s="225">
        <v>44126</v>
      </c>
      <c r="I116" s="225">
        <v>44370</v>
      </c>
      <c r="J116" s="37">
        <v>5533920</v>
      </c>
      <c r="K116" s="37">
        <f t="shared" si="46"/>
        <v>6588</v>
      </c>
      <c r="L116" s="37" t="s">
        <v>1370</v>
      </c>
      <c r="M116" s="37" t="s">
        <v>1527</v>
      </c>
      <c r="N116" s="224">
        <v>21</v>
      </c>
      <c r="O116" s="113">
        <v>20</v>
      </c>
      <c r="P116" s="284">
        <v>20</v>
      </c>
      <c r="Q116" s="114">
        <f t="shared" si="41"/>
        <v>0.95238095238095233</v>
      </c>
      <c r="R116" s="323">
        <f t="shared" si="42"/>
        <v>0.95238095238095233</v>
      </c>
      <c r="S116" s="779">
        <f t="shared" si="45"/>
        <v>18</v>
      </c>
      <c r="T116" s="780">
        <f t="shared" si="43"/>
        <v>99610560</v>
      </c>
    </row>
    <row r="117" spans="1:20" ht="22.5" customHeight="1" thickBot="1">
      <c r="A117" s="1249"/>
      <c r="B117" s="800" t="s">
        <v>1342</v>
      </c>
      <c r="C117" s="205" t="s">
        <v>1486</v>
      </c>
      <c r="D117" s="205" t="s">
        <v>1337</v>
      </c>
      <c r="E117" s="842" t="s">
        <v>1528</v>
      </c>
      <c r="F117" s="205">
        <v>100</v>
      </c>
      <c r="G117" s="205">
        <v>900</v>
      </c>
      <c r="H117" s="208">
        <v>44125</v>
      </c>
      <c r="I117" s="208">
        <v>44271</v>
      </c>
      <c r="J117" s="44">
        <v>5720460</v>
      </c>
      <c r="K117" s="44">
        <f t="shared" si="46"/>
        <v>6356.0666666666666</v>
      </c>
      <c r="L117" s="44" t="s">
        <v>1370</v>
      </c>
      <c r="M117" s="44" t="s">
        <v>1454</v>
      </c>
      <c r="N117" s="205">
        <v>30</v>
      </c>
      <c r="O117" s="191">
        <v>18</v>
      </c>
      <c r="P117" s="206">
        <v>18</v>
      </c>
      <c r="Q117" s="227">
        <f t="shared" si="41"/>
        <v>0.6</v>
      </c>
      <c r="R117" s="328">
        <f t="shared" si="42"/>
        <v>0.6</v>
      </c>
      <c r="S117" s="779">
        <f t="shared" si="45"/>
        <v>16.2</v>
      </c>
      <c r="T117" s="780">
        <f t="shared" si="43"/>
        <v>92671452</v>
      </c>
    </row>
    <row r="118" spans="1:20" ht="22.5" customHeight="1">
      <c r="A118" s="1249"/>
      <c r="B118" s="798" t="s">
        <v>1474</v>
      </c>
      <c r="C118" s="224" t="s">
        <v>1343</v>
      </c>
      <c r="D118" s="224" t="s">
        <v>1337</v>
      </c>
      <c r="E118" s="833" t="s">
        <v>1529</v>
      </c>
      <c r="F118" s="224">
        <v>75</v>
      </c>
      <c r="G118" s="224">
        <v>600</v>
      </c>
      <c r="H118" s="225">
        <v>44119</v>
      </c>
      <c r="I118" s="225">
        <v>44230</v>
      </c>
      <c r="J118" s="37">
        <v>3671520</v>
      </c>
      <c r="K118" s="37">
        <f t="shared" si="46"/>
        <v>6119.2</v>
      </c>
      <c r="L118" s="37" t="s">
        <v>1530</v>
      </c>
      <c r="M118" s="37" t="s">
        <v>1454</v>
      </c>
      <c r="N118" s="224">
        <v>20</v>
      </c>
      <c r="O118" s="113">
        <v>19</v>
      </c>
      <c r="P118" s="284">
        <v>19</v>
      </c>
      <c r="Q118" s="114">
        <f t="shared" si="41"/>
        <v>0.95</v>
      </c>
      <c r="R118" s="795">
        <f t="shared" si="42"/>
        <v>0.95</v>
      </c>
      <c r="S118" s="779">
        <f t="shared" si="45"/>
        <v>17.100000000000001</v>
      </c>
      <c r="T118" s="780">
        <f t="shared" si="43"/>
        <v>62782992.000000007</v>
      </c>
    </row>
    <row r="119" spans="1:20" ht="22.5" customHeight="1" thickBot="1">
      <c r="A119" s="1249"/>
      <c r="B119" s="799" t="s">
        <v>1386</v>
      </c>
      <c r="C119" s="83" t="s">
        <v>1451</v>
      </c>
      <c r="D119" s="83" t="s">
        <v>1345</v>
      </c>
      <c r="E119" s="835" t="s">
        <v>1531</v>
      </c>
      <c r="F119" s="83">
        <v>95</v>
      </c>
      <c r="G119" s="83">
        <v>670</v>
      </c>
      <c r="H119" s="85">
        <v>44126</v>
      </c>
      <c r="I119" s="85">
        <v>44265</v>
      </c>
      <c r="J119" s="28">
        <v>3764730</v>
      </c>
      <c r="K119" s="28">
        <f t="shared" si="46"/>
        <v>5619</v>
      </c>
      <c r="L119" s="28" t="s">
        <v>1366</v>
      </c>
      <c r="M119" s="28" t="s">
        <v>1532</v>
      </c>
      <c r="N119" s="83">
        <v>20</v>
      </c>
      <c r="O119" s="82">
        <v>13</v>
      </c>
      <c r="P119" s="110">
        <v>13</v>
      </c>
      <c r="Q119" s="115">
        <f t="shared" si="41"/>
        <v>0.65</v>
      </c>
      <c r="R119" s="825">
        <f t="shared" si="42"/>
        <v>0.65</v>
      </c>
      <c r="S119" s="779">
        <f t="shared" si="45"/>
        <v>11.700000000000001</v>
      </c>
      <c r="T119" s="780">
        <f t="shared" si="43"/>
        <v>44047341.000000007</v>
      </c>
    </row>
    <row r="120" spans="1:20" ht="22.5" customHeight="1" thickBot="1">
      <c r="A120" s="1249"/>
      <c r="B120" s="798" t="s">
        <v>1386</v>
      </c>
      <c r="C120" s="224" t="s">
        <v>1416</v>
      </c>
      <c r="D120" s="224" t="s">
        <v>1320</v>
      </c>
      <c r="E120" s="833" t="s">
        <v>1533</v>
      </c>
      <c r="F120" s="224">
        <v>54</v>
      </c>
      <c r="G120" s="224">
        <v>320</v>
      </c>
      <c r="H120" s="225">
        <v>44119</v>
      </c>
      <c r="I120" s="225">
        <v>44195</v>
      </c>
      <c r="J120" s="37">
        <v>2012160</v>
      </c>
      <c r="K120" s="37">
        <f t="shared" si="46"/>
        <v>6288</v>
      </c>
      <c r="L120" s="37" t="s">
        <v>1534</v>
      </c>
      <c r="M120" s="37" t="s">
        <v>1388</v>
      </c>
      <c r="N120" s="224">
        <v>21</v>
      </c>
      <c r="O120" s="113">
        <v>8</v>
      </c>
      <c r="P120" s="284">
        <v>8</v>
      </c>
      <c r="Q120" s="114">
        <f t="shared" si="41"/>
        <v>0.38095238095238093</v>
      </c>
      <c r="R120" s="795">
        <f t="shared" si="42"/>
        <v>0.38095238095238093</v>
      </c>
      <c r="S120" s="779">
        <f t="shared" si="45"/>
        <v>7.2</v>
      </c>
      <c r="T120" s="780">
        <f>J120*S120</f>
        <v>14487552</v>
      </c>
    </row>
    <row r="121" spans="1:20" ht="22.5" customHeight="1" thickBot="1">
      <c r="A121" s="1250"/>
      <c r="B121" s="1251" t="s">
        <v>1300</v>
      </c>
      <c r="C121" s="1252"/>
      <c r="D121" s="1253"/>
      <c r="E121" s="789" t="s">
        <v>1535</v>
      </c>
      <c r="F121" s="796">
        <f>SUM(F108:F120)/13</f>
        <v>106.30769230769231</v>
      </c>
      <c r="G121" s="796">
        <f>SUM(G108:G120)/13</f>
        <v>585.38461538461536</v>
      </c>
      <c r="H121" s="796"/>
      <c r="I121" s="796"/>
      <c r="J121" s="797">
        <f>SUM(J108:J120)/13</f>
        <v>3628651.5384615385</v>
      </c>
      <c r="K121" s="797"/>
      <c r="L121" s="791"/>
      <c r="M121" s="791"/>
      <c r="N121" s="789">
        <f>SUM(N108:N120)</f>
        <v>275</v>
      </c>
      <c r="O121" s="789">
        <f>SUM(O108:O120)</f>
        <v>211</v>
      </c>
      <c r="P121" s="789">
        <f>SUM(P108:P120)</f>
        <v>216</v>
      </c>
      <c r="Q121" s="792">
        <f t="shared" si="41"/>
        <v>0.76727272727272722</v>
      </c>
      <c r="R121" s="793">
        <f t="shared" si="42"/>
        <v>0.78545454545454541</v>
      </c>
      <c r="S121" s="779">
        <f>SUM(S108:S120)</f>
        <v>189.89999999999995</v>
      </c>
      <c r="T121" s="780">
        <f>SUM(T108:T120)</f>
        <v>714862053</v>
      </c>
    </row>
    <row r="123" spans="1:20" ht="18" thickBot="1">
      <c r="B123" s="822" t="s">
        <v>1536</v>
      </c>
    </row>
    <row r="124" spans="1:20">
      <c r="A124" s="1257" t="s">
        <v>1537</v>
      </c>
      <c r="B124" s="1259" t="s">
        <v>1481</v>
      </c>
      <c r="C124" s="1242" t="s">
        <v>1434</v>
      </c>
      <c r="D124" s="1242" t="s">
        <v>12</v>
      </c>
      <c r="E124" s="1261" t="s">
        <v>11</v>
      </c>
      <c r="F124" s="1242" t="s">
        <v>1391</v>
      </c>
      <c r="G124" s="1242" t="s">
        <v>1392</v>
      </c>
      <c r="H124" s="1254" t="s">
        <v>1437</v>
      </c>
      <c r="I124" s="1254"/>
      <c r="J124" s="1255" t="s">
        <v>1354</v>
      </c>
      <c r="K124" s="1255" t="s">
        <v>1538</v>
      </c>
      <c r="L124" s="1255" t="s">
        <v>1396</v>
      </c>
      <c r="M124" s="1255" t="s">
        <v>1482</v>
      </c>
      <c r="N124" s="1242" t="s">
        <v>10</v>
      </c>
      <c r="O124" s="1244" t="s">
        <v>1440</v>
      </c>
      <c r="P124" s="1242" t="s">
        <v>1441</v>
      </c>
      <c r="Q124" s="1242" t="s">
        <v>1539</v>
      </c>
      <c r="R124" s="1263" t="s">
        <v>1399</v>
      </c>
    </row>
    <row r="125" spans="1:20" ht="14.25" thickBot="1">
      <c r="A125" s="1258"/>
      <c r="B125" s="1260"/>
      <c r="C125" s="1243"/>
      <c r="D125" s="1243"/>
      <c r="E125" s="1262"/>
      <c r="F125" s="1243"/>
      <c r="G125" s="1243"/>
      <c r="H125" s="840" t="s">
        <v>1400</v>
      </c>
      <c r="I125" s="840" t="s">
        <v>1443</v>
      </c>
      <c r="J125" s="1256"/>
      <c r="K125" s="1256"/>
      <c r="L125" s="1256"/>
      <c r="M125" s="1256"/>
      <c r="N125" s="1243"/>
      <c r="O125" s="1245"/>
      <c r="P125" s="1243"/>
      <c r="Q125" s="1243"/>
      <c r="R125" s="1264"/>
    </row>
    <row r="126" spans="1:20" ht="22.5" customHeight="1" thickBot="1">
      <c r="A126" s="1248" t="s">
        <v>1540</v>
      </c>
      <c r="B126" s="800" t="s">
        <v>1358</v>
      </c>
      <c r="C126" s="205" t="s">
        <v>1494</v>
      </c>
      <c r="D126" s="205" t="s">
        <v>1340</v>
      </c>
      <c r="E126" s="828" t="s">
        <v>1541</v>
      </c>
      <c r="F126" s="205">
        <v>54</v>
      </c>
      <c r="G126" s="205">
        <v>350</v>
      </c>
      <c r="H126" s="208">
        <v>44140</v>
      </c>
      <c r="I126" s="208">
        <v>44217</v>
      </c>
      <c r="J126" s="44">
        <v>2305800</v>
      </c>
      <c r="K126" s="44">
        <f t="shared" ref="K126:K128" si="47">J126/G126</f>
        <v>6588</v>
      </c>
      <c r="L126" s="44" t="s">
        <v>1426</v>
      </c>
      <c r="M126" s="44" t="s">
        <v>1542</v>
      </c>
      <c r="N126" s="205">
        <v>10</v>
      </c>
      <c r="O126" s="191">
        <v>10</v>
      </c>
      <c r="P126" s="206">
        <v>18</v>
      </c>
      <c r="Q126" s="227">
        <f t="shared" ref="Q126" si="48">O126/N126</f>
        <v>1</v>
      </c>
      <c r="R126" s="328">
        <f t="shared" ref="R126:R129" si="49">P126/N126</f>
        <v>1.8</v>
      </c>
      <c r="S126" s="779">
        <f>O126*90%</f>
        <v>9</v>
      </c>
      <c r="T126" s="780">
        <f>J126*S126</f>
        <v>20752200</v>
      </c>
    </row>
    <row r="127" spans="1:20" ht="22.5" customHeight="1" thickBot="1">
      <c r="A127" s="1249"/>
      <c r="B127" s="807" t="s">
        <v>825</v>
      </c>
      <c r="C127" s="782" t="s">
        <v>1319</v>
      </c>
      <c r="D127" s="782" t="s">
        <v>1457</v>
      </c>
      <c r="E127" s="837" t="s">
        <v>1543</v>
      </c>
      <c r="F127" s="782">
        <v>70</v>
      </c>
      <c r="G127" s="782">
        <v>280</v>
      </c>
      <c r="H127" s="783">
        <v>44159</v>
      </c>
      <c r="I127" s="783">
        <v>44264</v>
      </c>
      <c r="J127" s="784">
        <v>1844640</v>
      </c>
      <c r="K127" s="784">
        <f t="shared" si="47"/>
        <v>6588</v>
      </c>
      <c r="L127" s="784" t="s">
        <v>1370</v>
      </c>
      <c r="M127" s="784" t="s">
        <v>1362</v>
      </c>
      <c r="N127" s="782">
        <v>20</v>
      </c>
      <c r="O127" s="785">
        <v>19</v>
      </c>
      <c r="P127" s="786">
        <v>22</v>
      </c>
      <c r="Q127" s="787">
        <f>O127/N127</f>
        <v>0.95</v>
      </c>
      <c r="R127" s="808">
        <f t="shared" si="49"/>
        <v>1.1000000000000001</v>
      </c>
      <c r="S127" s="779">
        <f>O127*90%</f>
        <v>17.100000000000001</v>
      </c>
      <c r="T127" s="780">
        <f t="shared" ref="T127" si="50">J127*S127</f>
        <v>31543344.000000004</v>
      </c>
    </row>
    <row r="128" spans="1:20" ht="22.5" customHeight="1" thickBot="1">
      <c r="A128" s="1249"/>
      <c r="B128" s="823" t="s">
        <v>1474</v>
      </c>
      <c r="C128" s="91" t="s">
        <v>1343</v>
      </c>
      <c r="D128" s="91" t="s">
        <v>1337</v>
      </c>
      <c r="E128" s="841" t="s">
        <v>1544</v>
      </c>
      <c r="F128" s="91">
        <v>95</v>
      </c>
      <c r="G128" s="91">
        <v>660</v>
      </c>
      <c r="H128" s="94">
        <v>44162</v>
      </c>
      <c r="I128" s="94">
        <v>44301</v>
      </c>
      <c r="J128" s="66">
        <v>4319700</v>
      </c>
      <c r="K128" s="66">
        <f t="shared" si="47"/>
        <v>6545</v>
      </c>
      <c r="L128" s="66" t="s">
        <v>1545</v>
      </c>
      <c r="M128" s="66" t="s">
        <v>1546</v>
      </c>
      <c r="N128" s="91">
        <v>18</v>
      </c>
      <c r="O128" s="101">
        <v>13</v>
      </c>
      <c r="P128" s="108">
        <v>13</v>
      </c>
      <c r="Q128" s="817">
        <f t="shared" ref="Q128:Q129" si="51">O128/N128</f>
        <v>0.72222222222222221</v>
      </c>
      <c r="R128" s="824">
        <f t="shared" si="49"/>
        <v>0.72222222222222221</v>
      </c>
      <c r="S128" s="779">
        <f>O128*90%</f>
        <v>11.700000000000001</v>
      </c>
      <c r="T128" s="780">
        <f>J128*S128</f>
        <v>50540490.000000007</v>
      </c>
    </row>
    <row r="129" spans="1:20" ht="18" thickBot="1">
      <c r="A129" s="1250"/>
      <c r="B129" s="1251" t="s">
        <v>1464</v>
      </c>
      <c r="C129" s="1252"/>
      <c r="D129" s="1253"/>
      <c r="E129" s="789" t="s">
        <v>1547</v>
      </c>
      <c r="F129" s="796">
        <f>SUM(F126:F128)/3</f>
        <v>73</v>
      </c>
      <c r="G129" s="796">
        <f>SUM(G126:G128)/3</f>
        <v>430</v>
      </c>
      <c r="H129" s="796"/>
      <c r="I129" s="796"/>
      <c r="J129" s="797">
        <f>SUM(J126:J128)/3</f>
        <v>2823380</v>
      </c>
      <c r="K129" s="797"/>
      <c r="L129" s="791"/>
      <c r="M129" s="791"/>
      <c r="N129" s="789">
        <f>SUM(N126:N128)</f>
        <v>48</v>
      </c>
      <c r="O129" s="789">
        <f>SUM(O126:O128)</f>
        <v>42</v>
      </c>
      <c r="P129" s="789">
        <f>SUM(P126:P128)</f>
        <v>53</v>
      </c>
      <c r="Q129" s="792">
        <f t="shared" si="51"/>
        <v>0.875</v>
      </c>
      <c r="R129" s="793">
        <f t="shared" si="49"/>
        <v>1.1041666666666667</v>
      </c>
      <c r="S129" s="779">
        <f>SUM(S126:S128)</f>
        <v>37.800000000000004</v>
      </c>
      <c r="T129" s="827">
        <f>SUM(T126:T128)</f>
        <v>102836034</v>
      </c>
    </row>
    <row r="131" spans="1:20" ht="18" thickBot="1">
      <c r="B131" s="822" t="s">
        <v>1548</v>
      </c>
    </row>
    <row r="132" spans="1:20">
      <c r="A132" s="1257" t="s">
        <v>1432</v>
      </c>
      <c r="B132" s="1259" t="s">
        <v>1481</v>
      </c>
      <c r="C132" s="1242" t="s">
        <v>1434</v>
      </c>
      <c r="D132" s="1242" t="s">
        <v>12</v>
      </c>
      <c r="E132" s="1261" t="s">
        <v>11</v>
      </c>
      <c r="F132" s="1242" t="s">
        <v>1435</v>
      </c>
      <c r="G132" s="1242" t="s">
        <v>1436</v>
      </c>
      <c r="H132" s="1254" t="s">
        <v>1437</v>
      </c>
      <c r="I132" s="1254"/>
      <c r="J132" s="1255" t="s">
        <v>1394</v>
      </c>
      <c r="K132" s="1255" t="s">
        <v>1538</v>
      </c>
      <c r="L132" s="1255" t="s">
        <v>1396</v>
      </c>
      <c r="M132" s="1255" t="s">
        <v>1439</v>
      </c>
      <c r="N132" s="1242" t="s">
        <v>10</v>
      </c>
      <c r="O132" s="1244" t="s">
        <v>1440</v>
      </c>
      <c r="P132" s="1242" t="s">
        <v>1398</v>
      </c>
      <c r="Q132" s="1244" t="s">
        <v>1539</v>
      </c>
      <c r="R132" s="1246" t="s">
        <v>1399</v>
      </c>
    </row>
    <row r="133" spans="1:20" ht="14.25" thickBot="1">
      <c r="A133" s="1258"/>
      <c r="B133" s="1260"/>
      <c r="C133" s="1243"/>
      <c r="D133" s="1243"/>
      <c r="E133" s="1262"/>
      <c r="F133" s="1243"/>
      <c r="G133" s="1243"/>
      <c r="H133" s="840" t="s">
        <v>1355</v>
      </c>
      <c r="I133" s="840" t="s">
        <v>1356</v>
      </c>
      <c r="J133" s="1256"/>
      <c r="K133" s="1256"/>
      <c r="L133" s="1256"/>
      <c r="M133" s="1256"/>
      <c r="N133" s="1243"/>
      <c r="O133" s="1245"/>
      <c r="P133" s="1243"/>
      <c r="Q133" s="1245"/>
      <c r="R133" s="1247"/>
    </row>
    <row r="134" spans="1:20" ht="19.5" customHeight="1">
      <c r="A134" s="1248" t="s">
        <v>1549</v>
      </c>
      <c r="B134" s="798" t="s">
        <v>1334</v>
      </c>
      <c r="C134" s="224" t="s">
        <v>1550</v>
      </c>
      <c r="D134" s="224" t="s">
        <v>1337</v>
      </c>
      <c r="E134" s="833" t="s">
        <v>1551</v>
      </c>
      <c r="F134" s="224">
        <v>120</v>
      </c>
      <c r="G134" s="224">
        <v>600</v>
      </c>
      <c r="H134" s="225">
        <v>44182</v>
      </c>
      <c r="I134" s="225">
        <v>44358</v>
      </c>
      <c r="J134" s="112">
        <v>3927000</v>
      </c>
      <c r="K134" s="112">
        <f t="shared" ref="K134:K147" si="52">J134/G134</f>
        <v>6545</v>
      </c>
      <c r="L134" s="112" t="s">
        <v>1453</v>
      </c>
      <c r="M134" s="112" t="s">
        <v>1552</v>
      </c>
      <c r="N134" s="224">
        <v>20</v>
      </c>
      <c r="O134" s="113">
        <v>17</v>
      </c>
      <c r="P134" s="284">
        <v>17</v>
      </c>
      <c r="Q134" s="114">
        <f t="shared" ref="Q134:Q147" si="53">O134/N134</f>
        <v>0.85</v>
      </c>
      <c r="R134" s="323">
        <f t="shared" ref="R134:R147" si="54">P134/N134</f>
        <v>0.85</v>
      </c>
      <c r="S134" s="779">
        <f>O134*90%</f>
        <v>15.3</v>
      </c>
      <c r="T134" s="780">
        <f>J134*S134</f>
        <v>60083100</v>
      </c>
    </row>
    <row r="135" spans="1:20" ht="19.5" customHeight="1" thickBot="1">
      <c r="A135" s="1249"/>
      <c r="B135" s="800" t="s">
        <v>1358</v>
      </c>
      <c r="C135" s="205" t="s">
        <v>1408</v>
      </c>
      <c r="D135" s="205" t="s">
        <v>1340</v>
      </c>
      <c r="E135" s="828" t="s">
        <v>1553</v>
      </c>
      <c r="F135" s="205">
        <v>42</v>
      </c>
      <c r="G135" s="205">
        <v>210</v>
      </c>
      <c r="H135" s="208">
        <v>44182</v>
      </c>
      <c r="I135" s="208">
        <v>44245</v>
      </c>
      <c r="J135" s="228">
        <v>1382960</v>
      </c>
      <c r="K135" s="228">
        <f t="shared" si="52"/>
        <v>6585.5238095238092</v>
      </c>
      <c r="L135" s="228" t="s">
        <v>1375</v>
      </c>
      <c r="M135" s="228" t="s">
        <v>1500</v>
      </c>
      <c r="N135" s="205">
        <v>10</v>
      </c>
      <c r="O135" s="191">
        <v>9</v>
      </c>
      <c r="P135" s="206">
        <v>9</v>
      </c>
      <c r="Q135" s="227">
        <f t="shared" si="53"/>
        <v>0.9</v>
      </c>
      <c r="R135" s="328">
        <f t="shared" si="54"/>
        <v>0.9</v>
      </c>
      <c r="S135" s="779">
        <f t="shared" ref="S135:S147" si="55">O135*90%</f>
        <v>8.1</v>
      </c>
      <c r="T135" s="780">
        <f t="shared" ref="T135:T147" si="56">J135*S135</f>
        <v>11201976</v>
      </c>
    </row>
    <row r="136" spans="1:20" ht="19.5" customHeight="1" thickBot="1">
      <c r="A136" s="1249"/>
      <c r="B136" s="800" t="s">
        <v>1554</v>
      </c>
      <c r="C136" s="205" t="s">
        <v>1343</v>
      </c>
      <c r="D136" s="205" t="s">
        <v>1320</v>
      </c>
      <c r="E136" s="828" t="s">
        <v>1555</v>
      </c>
      <c r="F136" s="205">
        <v>90</v>
      </c>
      <c r="G136" s="205">
        <v>360</v>
      </c>
      <c r="H136" s="208">
        <v>44194</v>
      </c>
      <c r="I136" s="208">
        <v>44326</v>
      </c>
      <c r="J136" s="228">
        <v>2243160</v>
      </c>
      <c r="K136" s="228">
        <f t="shared" si="52"/>
        <v>6231</v>
      </c>
      <c r="L136" s="228" t="s">
        <v>1469</v>
      </c>
      <c r="M136" s="228" t="s">
        <v>1470</v>
      </c>
      <c r="N136" s="205">
        <v>20</v>
      </c>
      <c r="O136" s="191">
        <v>11</v>
      </c>
      <c r="P136" s="206">
        <v>11</v>
      </c>
      <c r="Q136" s="227">
        <f t="shared" si="53"/>
        <v>0.55000000000000004</v>
      </c>
      <c r="R136" s="328">
        <f t="shared" si="54"/>
        <v>0.55000000000000004</v>
      </c>
      <c r="S136" s="779">
        <f t="shared" si="55"/>
        <v>9.9</v>
      </c>
      <c r="T136" s="780">
        <f t="shared" si="56"/>
        <v>22207284</v>
      </c>
    </row>
    <row r="137" spans="1:20" ht="19.5" customHeight="1">
      <c r="A137" s="1249"/>
      <c r="B137" s="798" t="s">
        <v>1523</v>
      </c>
      <c r="C137" s="224" t="s">
        <v>1486</v>
      </c>
      <c r="D137" s="224" t="s">
        <v>1320</v>
      </c>
      <c r="E137" s="833" t="s">
        <v>1556</v>
      </c>
      <c r="F137" s="224">
        <v>93</v>
      </c>
      <c r="G137" s="224">
        <v>370</v>
      </c>
      <c r="H137" s="225">
        <v>44167</v>
      </c>
      <c r="I137" s="225">
        <v>44302</v>
      </c>
      <c r="J137" s="112">
        <v>2305470</v>
      </c>
      <c r="K137" s="112">
        <f t="shared" si="52"/>
        <v>6231</v>
      </c>
      <c r="L137" s="112" t="s">
        <v>1370</v>
      </c>
      <c r="M137" s="112" t="s">
        <v>1418</v>
      </c>
      <c r="N137" s="224">
        <v>25</v>
      </c>
      <c r="O137" s="113">
        <v>10</v>
      </c>
      <c r="P137" s="284">
        <v>14</v>
      </c>
      <c r="Q137" s="114">
        <f t="shared" si="53"/>
        <v>0.4</v>
      </c>
      <c r="R137" s="323">
        <f t="shared" si="54"/>
        <v>0.56000000000000005</v>
      </c>
      <c r="S137" s="779">
        <f t="shared" si="55"/>
        <v>9</v>
      </c>
      <c r="T137" s="780">
        <f t="shared" si="56"/>
        <v>20749230</v>
      </c>
    </row>
    <row r="138" spans="1:20" ht="19.5" customHeight="1" thickBot="1">
      <c r="A138" s="1249"/>
      <c r="B138" s="800" t="s">
        <v>1523</v>
      </c>
      <c r="C138" s="205" t="s">
        <v>1486</v>
      </c>
      <c r="D138" s="205" t="s">
        <v>1340</v>
      </c>
      <c r="E138" s="828" t="s">
        <v>1557</v>
      </c>
      <c r="F138" s="205">
        <v>100</v>
      </c>
      <c r="G138" s="205">
        <v>300</v>
      </c>
      <c r="H138" s="208">
        <v>44181</v>
      </c>
      <c r="I138" s="208">
        <v>44328</v>
      </c>
      <c r="J138" s="228">
        <v>1869300</v>
      </c>
      <c r="K138" s="228">
        <f t="shared" si="52"/>
        <v>6231</v>
      </c>
      <c r="L138" s="228" t="s">
        <v>1534</v>
      </c>
      <c r="M138" s="228" t="s">
        <v>1558</v>
      </c>
      <c r="N138" s="205">
        <v>13</v>
      </c>
      <c r="O138" s="191">
        <v>13</v>
      </c>
      <c r="P138" s="206">
        <v>13</v>
      </c>
      <c r="Q138" s="227">
        <f t="shared" si="53"/>
        <v>1</v>
      </c>
      <c r="R138" s="328">
        <f t="shared" si="54"/>
        <v>1</v>
      </c>
      <c r="S138" s="779">
        <f t="shared" si="55"/>
        <v>11.700000000000001</v>
      </c>
      <c r="T138" s="780">
        <f t="shared" si="56"/>
        <v>21870810.000000004</v>
      </c>
    </row>
    <row r="139" spans="1:20" ht="19.5" customHeight="1" thickBot="1">
      <c r="A139" s="1249"/>
      <c r="B139" s="807" t="s">
        <v>1523</v>
      </c>
      <c r="C139" s="782" t="s">
        <v>1519</v>
      </c>
      <c r="D139" s="782" t="s">
        <v>1340</v>
      </c>
      <c r="E139" s="837" t="s">
        <v>1559</v>
      </c>
      <c r="F139" s="782">
        <v>100</v>
      </c>
      <c r="G139" s="782">
        <v>300</v>
      </c>
      <c r="H139" s="783">
        <v>44181</v>
      </c>
      <c r="I139" s="783">
        <v>44333</v>
      </c>
      <c r="J139" s="843">
        <v>1869300</v>
      </c>
      <c r="K139" s="843">
        <f t="shared" si="52"/>
        <v>6231</v>
      </c>
      <c r="L139" s="843" t="s">
        <v>1560</v>
      </c>
      <c r="M139" s="843" t="s">
        <v>1561</v>
      </c>
      <c r="N139" s="782">
        <v>20</v>
      </c>
      <c r="O139" s="785">
        <v>20</v>
      </c>
      <c r="P139" s="786">
        <v>20</v>
      </c>
      <c r="Q139" s="787">
        <f t="shared" si="53"/>
        <v>1</v>
      </c>
      <c r="R139" s="808">
        <f t="shared" si="54"/>
        <v>1</v>
      </c>
      <c r="S139" s="779">
        <f t="shared" si="55"/>
        <v>18</v>
      </c>
      <c r="T139" s="780">
        <f t="shared" si="56"/>
        <v>33647400</v>
      </c>
    </row>
    <row r="140" spans="1:20" ht="19.5" customHeight="1">
      <c r="A140" s="1249"/>
      <c r="B140" s="823" t="s">
        <v>1347</v>
      </c>
      <c r="C140" s="91" t="s">
        <v>1343</v>
      </c>
      <c r="D140" s="91" t="s">
        <v>1345</v>
      </c>
      <c r="E140" s="841" t="s">
        <v>1562</v>
      </c>
      <c r="F140" s="91">
        <v>102</v>
      </c>
      <c r="G140" s="91">
        <v>816</v>
      </c>
      <c r="H140" s="94">
        <v>44174</v>
      </c>
      <c r="I140" s="94">
        <v>44329</v>
      </c>
      <c r="J140" s="844">
        <v>5375800</v>
      </c>
      <c r="K140" s="844">
        <f t="shared" si="52"/>
        <v>6587.9901960784309</v>
      </c>
      <c r="L140" s="844" t="s">
        <v>1496</v>
      </c>
      <c r="M140" s="844" t="s">
        <v>1478</v>
      </c>
      <c r="N140" s="91">
        <v>21</v>
      </c>
      <c r="O140" s="101">
        <v>19</v>
      </c>
      <c r="P140" s="108">
        <v>19</v>
      </c>
      <c r="Q140" s="817">
        <f t="shared" si="53"/>
        <v>0.90476190476190477</v>
      </c>
      <c r="R140" s="336">
        <f t="shared" si="54"/>
        <v>0.90476190476190477</v>
      </c>
      <c r="S140" s="779">
        <f t="shared" si="55"/>
        <v>17.100000000000001</v>
      </c>
      <c r="T140" s="780">
        <f t="shared" si="56"/>
        <v>91926180.000000015</v>
      </c>
    </row>
    <row r="141" spans="1:20" ht="19.5" customHeight="1">
      <c r="A141" s="1249"/>
      <c r="B141" s="829" t="s">
        <v>1342</v>
      </c>
      <c r="C141" s="97" t="s">
        <v>1343</v>
      </c>
      <c r="D141" s="97" t="s">
        <v>1345</v>
      </c>
      <c r="E141" s="830" t="s">
        <v>1563</v>
      </c>
      <c r="F141" s="97">
        <v>111</v>
      </c>
      <c r="G141" s="97">
        <v>888</v>
      </c>
      <c r="H141" s="810">
        <v>44195</v>
      </c>
      <c r="I141" s="810">
        <v>44362</v>
      </c>
      <c r="J141" s="845">
        <v>5850140</v>
      </c>
      <c r="K141" s="845">
        <f t="shared" si="52"/>
        <v>6587.9954954954956</v>
      </c>
      <c r="L141" s="845" t="s">
        <v>1410</v>
      </c>
      <c r="M141" s="845" t="s">
        <v>1564</v>
      </c>
      <c r="N141" s="97">
        <v>35</v>
      </c>
      <c r="O141" s="190">
        <v>14</v>
      </c>
      <c r="P141" s="831">
        <v>14</v>
      </c>
      <c r="Q141" s="115">
        <f t="shared" si="53"/>
        <v>0.4</v>
      </c>
      <c r="R141" s="312">
        <f t="shared" si="54"/>
        <v>0.4</v>
      </c>
      <c r="S141" s="779">
        <f t="shared" si="55"/>
        <v>12.6</v>
      </c>
      <c r="T141" s="780">
        <f t="shared" si="56"/>
        <v>73711764</v>
      </c>
    </row>
    <row r="142" spans="1:20" ht="19.5" customHeight="1">
      <c r="A142" s="1249"/>
      <c r="B142" s="799" t="s">
        <v>1342</v>
      </c>
      <c r="C142" s="83" t="s">
        <v>1343</v>
      </c>
      <c r="D142" s="83" t="s">
        <v>1345</v>
      </c>
      <c r="E142" s="835" t="s">
        <v>1565</v>
      </c>
      <c r="F142" s="83">
        <v>109</v>
      </c>
      <c r="G142" s="83">
        <v>868</v>
      </c>
      <c r="H142" s="85">
        <v>44195</v>
      </c>
      <c r="I142" s="85">
        <v>44355</v>
      </c>
      <c r="J142" s="86">
        <v>5706230</v>
      </c>
      <c r="K142" s="86">
        <f t="shared" si="52"/>
        <v>6573.9976958525349</v>
      </c>
      <c r="L142" s="86" t="s">
        <v>1375</v>
      </c>
      <c r="M142" s="86" t="s">
        <v>1566</v>
      </c>
      <c r="N142" s="83">
        <v>35</v>
      </c>
      <c r="O142" s="82">
        <v>23</v>
      </c>
      <c r="P142" s="110">
        <v>23</v>
      </c>
      <c r="Q142" s="115">
        <f t="shared" si="53"/>
        <v>0.65714285714285714</v>
      </c>
      <c r="R142" s="312">
        <f t="shared" si="54"/>
        <v>0.65714285714285714</v>
      </c>
      <c r="S142" s="779">
        <f t="shared" si="55"/>
        <v>20.7</v>
      </c>
      <c r="T142" s="780">
        <f t="shared" si="56"/>
        <v>118118961</v>
      </c>
    </row>
    <row r="143" spans="1:20" ht="19.5" customHeight="1" thickBot="1">
      <c r="A143" s="1249"/>
      <c r="B143" s="799" t="s">
        <v>1342</v>
      </c>
      <c r="C143" s="83" t="s">
        <v>1343</v>
      </c>
      <c r="D143" s="83" t="s">
        <v>1345</v>
      </c>
      <c r="E143" s="835" t="s">
        <v>1567</v>
      </c>
      <c r="F143" s="83">
        <v>112</v>
      </c>
      <c r="G143" s="83">
        <v>896</v>
      </c>
      <c r="H143" s="85">
        <v>44195</v>
      </c>
      <c r="I143" s="85">
        <v>44363</v>
      </c>
      <c r="J143" s="86">
        <v>5902840</v>
      </c>
      <c r="K143" s="86">
        <f t="shared" si="52"/>
        <v>6587.9910714285716</v>
      </c>
      <c r="L143" s="86" t="s">
        <v>1560</v>
      </c>
      <c r="M143" s="86" t="s">
        <v>1478</v>
      </c>
      <c r="N143" s="83">
        <v>35</v>
      </c>
      <c r="O143" s="110">
        <v>33</v>
      </c>
      <c r="P143" s="110">
        <v>33</v>
      </c>
      <c r="Q143" s="115">
        <f t="shared" si="53"/>
        <v>0.94285714285714284</v>
      </c>
      <c r="R143" s="312">
        <f t="shared" si="54"/>
        <v>0.94285714285714284</v>
      </c>
      <c r="S143" s="779">
        <f t="shared" si="55"/>
        <v>29.7</v>
      </c>
      <c r="T143" s="780">
        <f t="shared" si="56"/>
        <v>175314348</v>
      </c>
    </row>
    <row r="144" spans="1:20" ht="19.5" customHeight="1" thickBot="1">
      <c r="A144" s="1249"/>
      <c r="B144" s="807" t="s">
        <v>1342</v>
      </c>
      <c r="C144" s="782" t="s">
        <v>1416</v>
      </c>
      <c r="D144" s="782" t="s">
        <v>1345</v>
      </c>
      <c r="E144" s="837" t="s">
        <v>1568</v>
      </c>
      <c r="F144" s="782">
        <v>100</v>
      </c>
      <c r="G144" s="782">
        <v>900</v>
      </c>
      <c r="H144" s="783">
        <v>44186</v>
      </c>
      <c r="I144" s="783">
        <v>44333</v>
      </c>
      <c r="J144" s="843">
        <v>5720460</v>
      </c>
      <c r="K144" s="843">
        <f t="shared" si="52"/>
        <v>6356.0666666666666</v>
      </c>
      <c r="L144" s="843" t="s">
        <v>1426</v>
      </c>
      <c r="M144" s="843" t="s">
        <v>1454</v>
      </c>
      <c r="N144" s="782">
        <v>30</v>
      </c>
      <c r="O144" s="785">
        <v>25</v>
      </c>
      <c r="P144" s="786">
        <v>25</v>
      </c>
      <c r="Q144" s="787">
        <f t="shared" si="53"/>
        <v>0.83333333333333337</v>
      </c>
      <c r="R144" s="808">
        <f t="shared" si="54"/>
        <v>0.83333333333333337</v>
      </c>
      <c r="S144" s="779">
        <f t="shared" si="55"/>
        <v>22.5</v>
      </c>
      <c r="T144" s="780">
        <f t="shared" si="56"/>
        <v>128710350</v>
      </c>
    </row>
    <row r="145" spans="1:20" ht="19.5" customHeight="1" thickBot="1">
      <c r="A145" s="1249"/>
      <c r="B145" s="823" t="s">
        <v>1342</v>
      </c>
      <c r="C145" s="91" t="s">
        <v>1383</v>
      </c>
      <c r="D145" s="91" t="s">
        <v>1340</v>
      </c>
      <c r="E145" s="841" t="s">
        <v>1569</v>
      </c>
      <c r="F145" s="91">
        <v>90</v>
      </c>
      <c r="G145" s="91">
        <v>360</v>
      </c>
      <c r="H145" s="94">
        <v>44194</v>
      </c>
      <c r="I145" s="94">
        <v>44326</v>
      </c>
      <c r="J145" s="844">
        <v>2366640</v>
      </c>
      <c r="K145" s="844">
        <f t="shared" si="52"/>
        <v>6574</v>
      </c>
      <c r="L145" s="844" t="s">
        <v>1426</v>
      </c>
      <c r="M145" s="844" t="s">
        <v>1362</v>
      </c>
      <c r="N145" s="91">
        <v>20</v>
      </c>
      <c r="O145" s="101">
        <v>8</v>
      </c>
      <c r="P145" s="108">
        <v>9</v>
      </c>
      <c r="Q145" s="817">
        <f t="shared" si="53"/>
        <v>0.4</v>
      </c>
      <c r="R145" s="336">
        <f t="shared" si="54"/>
        <v>0.45</v>
      </c>
      <c r="S145" s="779">
        <f t="shared" si="55"/>
        <v>7.2</v>
      </c>
      <c r="T145" s="780">
        <f t="shared" si="56"/>
        <v>17039808</v>
      </c>
    </row>
    <row r="146" spans="1:20" ht="19.5" customHeight="1">
      <c r="A146" s="1249"/>
      <c r="B146" s="798" t="s">
        <v>1386</v>
      </c>
      <c r="C146" s="224" t="s">
        <v>1343</v>
      </c>
      <c r="D146" s="224" t="s">
        <v>1340</v>
      </c>
      <c r="E146" s="833" t="s">
        <v>1570</v>
      </c>
      <c r="F146" s="224">
        <v>76</v>
      </c>
      <c r="G146" s="224">
        <v>380</v>
      </c>
      <c r="H146" s="225">
        <v>44180</v>
      </c>
      <c r="I146" s="225">
        <v>44292</v>
      </c>
      <c r="J146" s="112">
        <v>2367780</v>
      </c>
      <c r="K146" s="112">
        <f t="shared" si="52"/>
        <v>6231</v>
      </c>
      <c r="L146" s="112" t="s">
        <v>1375</v>
      </c>
      <c r="M146" s="112" t="s">
        <v>1385</v>
      </c>
      <c r="N146" s="224">
        <v>20</v>
      </c>
      <c r="O146" s="113">
        <v>20</v>
      </c>
      <c r="P146" s="284">
        <v>20</v>
      </c>
      <c r="Q146" s="114">
        <f t="shared" si="53"/>
        <v>1</v>
      </c>
      <c r="R146" s="795">
        <f t="shared" si="54"/>
        <v>1</v>
      </c>
      <c r="S146" s="779">
        <f t="shared" si="55"/>
        <v>18</v>
      </c>
      <c r="T146" s="780">
        <f t="shared" si="56"/>
        <v>42620040</v>
      </c>
    </row>
    <row r="147" spans="1:20" ht="19.5" customHeight="1" thickBot="1">
      <c r="A147" s="1249"/>
      <c r="B147" s="800" t="s">
        <v>1474</v>
      </c>
      <c r="C147" s="205" t="s">
        <v>1416</v>
      </c>
      <c r="D147" s="205" t="s">
        <v>1340</v>
      </c>
      <c r="E147" s="828" t="s">
        <v>1428</v>
      </c>
      <c r="F147" s="205">
        <v>50</v>
      </c>
      <c r="G147" s="205">
        <v>300</v>
      </c>
      <c r="H147" s="208">
        <v>44196</v>
      </c>
      <c r="I147" s="208">
        <v>44271</v>
      </c>
      <c r="J147" s="228">
        <v>1869300</v>
      </c>
      <c r="K147" s="228">
        <f t="shared" si="52"/>
        <v>6231</v>
      </c>
      <c r="L147" s="228" t="s">
        <v>1534</v>
      </c>
      <c r="M147" s="228" t="s">
        <v>1388</v>
      </c>
      <c r="N147" s="205">
        <v>15</v>
      </c>
      <c r="O147" s="191">
        <v>12</v>
      </c>
      <c r="P147" s="206">
        <v>12</v>
      </c>
      <c r="Q147" s="227">
        <f t="shared" si="53"/>
        <v>0.8</v>
      </c>
      <c r="R147" s="826">
        <f t="shared" si="54"/>
        <v>0.8</v>
      </c>
      <c r="S147" s="779">
        <f t="shared" si="55"/>
        <v>10.8</v>
      </c>
      <c r="T147" s="780">
        <f t="shared" si="56"/>
        <v>20188440</v>
      </c>
    </row>
    <row r="148" spans="1:20" ht="18" thickBot="1">
      <c r="A148" s="1250"/>
      <c r="B148" s="1251" t="s">
        <v>1300</v>
      </c>
      <c r="C148" s="1252"/>
      <c r="D148" s="1253"/>
      <c r="E148" s="789" t="s">
        <v>1571</v>
      </c>
      <c r="F148" s="796">
        <f>SUM(F134:F147)/14</f>
        <v>92.5</v>
      </c>
      <c r="G148" s="796">
        <f>SUM(G134:G147)/14</f>
        <v>539.14285714285711</v>
      </c>
      <c r="H148" s="796"/>
      <c r="I148" s="796"/>
      <c r="J148" s="797">
        <f>SUM(J134:J147)/14</f>
        <v>3482598.5714285714</v>
      </c>
      <c r="K148" s="797"/>
      <c r="L148" s="791"/>
      <c r="M148" s="791"/>
      <c r="N148" s="789">
        <f>SUM(N134:N147)</f>
        <v>319</v>
      </c>
      <c r="O148" s="789">
        <f>SUM(O134:O147)</f>
        <v>234</v>
      </c>
      <c r="P148" s="789">
        <f>SUM(P134:P147)</f>
        <v>239</v>
      </c>
      <c r="Q148" s="792">
        <f>O148/N148</f>
        <v>0.73354231974921635</v>
      </c>
      <c r="R148" s="793">
        <f>P148/N148</f>
        <v>0.7492163009404389</v>
      </c>
      <c r="S148" s="779">
        <f>SUM(S134:S147)</f>
        <v>210.6</v>
      </c>
      <c r="T148" s="779">
        <f>SUM(T134:T147)</f>
        <v>837389691</v>
      </c>
    </row>
  </sheetData>
  <mergeCells count="228">
    <mergeCell ref="N2:N3"/>
    <mergeCell ref="O2:O3"/>
    <mergeCell ref="P2:P3"/>
    <mergeCell ref="Q2:Q3"/>
    <mergeCell ref="R2:R3"/>
    <mergeCell ref="A4:A7"/>
    <mergeCell ref="B7:D7"/>
    <mergeCell ref="G2:G3"/>
    <mergeCell ref="H2:I2"/>
    <mergeCell ref="J2:J3"/>
    <mergeCell ref="K2:K3"/>
    <mergeCell ref="L2:L3"/>
    <mergeCell ref="M2:M3"/>
    <mergeCell ref="A2:A3"/>
    <mergeCell ref="B2:B3"/>
    <mergeCell ref="C2:C3"/>
    <mergeCell ref="D2:D3"/>
    <mergeCell ref="E2:E3"/>
    <mergeCell ref="F2:F3"/>
    <mergeCell ref="N10:N11"/>
    <mergeCell ref="O10:O11"/>
    <mergeCell ref="P10:P11"/>
    <mergeCell ref="Q10:Q11"/>
    <mergeCell ref="R10:R11"/>
    <mergeCell ref="A12:A19"/>
    <mergeCell ref="B19:D19"/>
    <mergeCell ref="G10:G11"/>
    <mergeCell ref="H10:I10"/>
    <mergeCell ref="J10:J11"/>
    <mergeCell ref="K10:K11"/>
    <mergeCell ref="L10:L11"/>
    <mergeCell ref="M10:M11"/>
    <mergeCell ref="A10:A11"/>
    <mergeCell ref="B10:B11"/>
    <mergeCell ref="C10:C11"/>
    <mergeCell ref="D10:D11"/>
    <mergeCell ref="E10:E11"/>
    <mergeCell ref="F10:F11"/>
    <mergeCell ref="N22:N23"/>
    <mergeCell ref="O22:O23"/>
    <mergeCell ref="P22:P23"/>
    <mergeCell ref="Q22:Q23"/>
    <mergeCell ref="R22:R23"/>
    <mergeCell ref="A24:A34"/>
    <mergeCell ref="B34:D34"/>
    <mergeCell ref="G22:G23"/>
    <mergeCell ref="H22:I22"/>
    <mergeCell ref="J22:J23"/>
    <mergeCell ref="K22:K23"/>
    <mergeCell ref="L22:L23"/>
    <mergeCell ref="M22:M23"/>
    <mergeCell ref="A22:A23"/>
    <mergeCell ref="B22:B23"/>
    <mergeCell ref="C22:C23"/>
    <mergeCell ref="D22:D23"/>
    <mergeCell ref="E22:E23"/>
    <mergeCell ref="F22:F23"/>
    <mergeCell ref="N37:N38"/>
    <mergeCell ref="O37:O38"/>
    <mergeCell ref="P37:P38"/>
    <mergeCell ref="Q37:Q38"/>
    <mergeCell ref="R37:R38"/>
    <mergeCell ref="A39:A49"/>
    <mergeCell ref="B49:D49"/>
    <mergeCell ref="G37:G38"/>
    <mergeCell ref="H37:I37"/>
    <mergeCell ref="J37:J38"/>
    <mergeCell ref="K37:K38"/>
    <mergeCell ref="L37:L38"/>
    <mergeCell ref="M37:M38"/>
    <mergeCell ref="A37:A38"/>
    <mergeCell ref="B37:B38"/>
    <mergeCell ref="C37:C38"/>
    <mergeCell ref="D37:D38"/>
    <mergeCell ref="E37:E38"/>
    <mergeCell ref="F37:F38"/>
    <mergeCell ref="N52:N53"/>
    <mergeCell ref="O52:O53"/>
    <mergeCell ref="P52:P53"/>
    <mergeCell ref="Q52:Q53"/>
    <mergeCell ref="R52:R53"/>
    <mergeCell ref="A54:A63"/>
    <mergeCell ref="B63:D63"/>
    <mergeCell ref="G52:G53"/>
    <mergeCell ref="H52:I52"/>
    <mergeCell ref="J52:J53"/>
    <mergeCell ref="K52:K53"/>
    <mergeCell ref="L52:L53"/>
    <mergeCell ref="M52:M53"/>
    <mergeCell ref="A52:A53"/>
    <mergeCell ref="B52:B53"/>
    <mergeCell ref="C52:C53"/>
    <mergeCell ref="D52:D53"/>
    <mergeCell ref="E52:E53"/>
    <mergeCell ref="F52:F53"/>
    <mergeCell ref="N66:N67"/>
    <mergeCell ref="O66:O67"/>
    <mergeCell ref="P66:P67"/>
    <mergeCell ref="Q66:Q67"/>
    <mergeCell ref="R66:R67"/>
    <mergeCell ref="A68:A74"/>
    <mergeCell ref="B74:D74"/>
    <mergeCell ref="G66:G67"/>
    <mergeCell ref="H66:I66"/>
    <mergeCell ref="J66:J67"/>
    <mergeCell ref="K66:K67"/>
    <mergeCell ref="L66:L67"/>
    <mergeCell ref="M66:M67"/>
    <mergeCell ref="A66:A67"/>
    <mergeCell ref="B66:B67"/>
    <mergeCell ref="C66:C67"/>
    <mergeCell ref="D66:D67"/>
    <mergeCell ref="E66:E67"/>
    <mergeCell ref="F66:F67"/>
    <mergeCell ref="N77:N78"/>
    <mergeCell ref="O77:O78"/>
    <mergeCell ref="P77:P78"/>
    <mergeCell ref="Q77:Q78"/>
    <mergeCell ref="R77:R78"/>
    <mergeCell ref="A79:A83"/>
    <mergeCell ref="B83:D83"/>
    <mergeCell ref="G77:G78"/>
    <mergeCell ref="H77:I77"/>
    <mergeCell ref="J77:J78"/>
    <mergeCell ref="K77:K78"/>
    <mergeCell ref="L77:L78"/>
    <mergeCell ref="M77:M78"/>
    <mergeCell ref="A77:A78"/>
    <mergeCell ref="B77:B78"/>
    <mergeCell ref="C77:C78"/>
    <mergeCell ref="D77:D78"/>
    <mergeCell ref="E77:E78"/>
    <mergeCell ref="F77:F78"/>
    <mergeCell ref="N86:N87"/>
    <mergeCell ref="O86:O87"/>
    <mergeCell ref="P86:P87"/>
    <mergeCell ref="Q86:Q87"/>
    <mergeCell ref="R86:R87"/>
    <mergeCell ref="A88:A90"/>
    <mergeCell ref="B90:D90"/>
    <mergeCell ref="G86:G87"/>
    <mergeCell ref="H86:I86"/>
    <mergeCell ref="J86:J87"/>
    <mergeCell ref="K86:K87"/>
    <mergeCell ref="L86:L87"/>
    <mergeCell ref="M86:M87"/>
    <mergeCell ref="A86:A87"/>
    <mergeCell ref="B86:B87"/>
    <mergeCell ref="C86:C87"/>
    <mergeCell ref="D86:D87"/>
    <mergeCell ref="E86:E87"/>
    <mergeCell ref="F86:F87"/>
    <mergeCell ref="N93:N94"/>
    <mergeCell ref="O93:O94"/>
    <mergeCell ref="P93:P94"/>
    <mergeCell ref="Q93:Q94"/>
    <mergeCell ref="R93:R94"/>
    <mergeCell ref="A95:A103"/>
    <mergeCell ref="B103:D103"/>
    <mergeCell ref="G93:G94"/>
    <mergeCell ref="H93:I93"/>
    <mergeCell ref="J93:J94"/>
    <mergeCell ref="K93:K94"/>
    <mergeCell ref="L93:L94"/>
    <mergeCell ref="M93:M94"/>
    <mergeCell ref="A93:A94"/>
    <mergeCell ref="B93:B94"/>
    <mergeCell ref="C93:C94"/>
    <mergeCell ref="D93:D94"/>
    <mergeCell ref="E93:E94"/>
    <mergeCell ref="F93:F94"/>
    <mergeCell ref="N106:N107"/>
    <mergeCell ref="O106:O107"/>
    <mergeCell ref="P106:P107"/>
    <mergeCell ref="Q106:Q107"/>
    <mergeCell ref="R106:R107"/>
    <mergeCell ref="A108:A121"/>
    <mergeCell ref="B121:D121"/>
    <mergeCell ref="G106:G107"/>
    <mergeCell ref="H106:I106"/>
    <mergeCell ref="J106:J107"/>
    <mergeCell ref="K106:K107"/>
    <mergeCell ref="L106:L107"/>
    <mergeCell ref="M106:M107"/>
    <mergeCell ref="A106:A107"/>
    <mergeCell ref="B106:B107"/>
    <mergeCell ref="C106:C107"/>
    <mergeCell ref="D106:D107"/>
    <mergeCell ref="E106:E107"/>
    <mergeCell ref="F106:F107"/>
    <mergeCell ref="N124:N125"/>
    <mergeCell ref="O124:O125"/>
    <mergeCell ref="P124:P125"/>
    <mergeCell ref="Q124:Q125"/>
    <mergeCell ref="R124:R125"/>
    <mergeCell ref="A126:A129"/>
    <mergeCell ref="B129:D129"/>
    <mergeCell ref="G124:G125"/>
    <mergeCell ref="H124:I124"/>
    <mergeCell ref="J124:J125"/>
    <mergeCell ref="K124:K125"/>
    <mergeCell ref="L124:L125"/>
    <mergeCell ref="M124:M125"/>
    <mergeCell ref="A124:A125"/>
    <mergeCell ref="B124:B125"/>
    <mergeCell ref="C124:C125"/>
    <mergeCell ref="D124:D125"/>
    <mergeCell ref="E124:E125"/>
    <mergeCell ref="F124:F125"/>
    <mergeCell ref="N132:N133"/>
    <mergeCell ref="O132:O133"/>
    <mergeCell ref="P132:P133"/>
    <mergeCell ref="Q132:Q133"/>
    <mergeCell ref="R132:R133"/>
    <mergeCell ref="A134:A148"/>
    <mergeCell ref="B148:D148"/>
    <mergeCell ref="G132:G133"/>
    <mergeCell ref="H132:I132"/>
    <mergeCell ref="J132:J133"/>
    <mergeCell ref="K132:K133"/>
    <mergeCell ref="L132:L133"/>
    <mergeCell ref="M132:M133"/>
    <mergeCell ref="A132:A133"/>
    <mergeCell ref="B132:B133"/>
    <mergeCell ref="C132:C133"/>
    <mergeCell ref="D132:D133"/>
    <mergeCell ref="E132:E133"/>
    <mergeCell ref="F132:F133"/>
  </mergeCells>
  <phoneticPr fontId="6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63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11</vt:i4>
      </vt:variant>
      <vt:variant>
        <vt:lpstr>이름 지정된 범위</vt:lpstr>
      </vt:variant>
      <vt:variant>
        <vt:i4>5</vt:i4>
      </vt:variant>
    </vt:vector>
  </HeadingPairs>
  <TitlesOfParts>
    <vt:vector size="16" baseType="lpstr">
      <vt:lpstr>20~25년 모집 누적</vt:lpstr>
      <vt:lpstr>26년</vt:lpstr>
      <vt:lpstr>25년</vt:lpstr>
      <vt:lpstr>25년 피벗</vt:lpstr>
      <vt:lpstr>24년</vt:lpstr>
      <vt:lpstr>24년 피벗</vt:lpstr>
      <vt:lpstr>23년</vt:lpstr>
      <vt:lpstr>23년 피벗</vt:lpstr>
      <vt:lpstr>22년</vt:lpstr>
      <vt:lpstr>21년</vt:lpstr>
      <vt:lpstr>20년</vt:lpstr>
      <vt:lpstr>'20~25년 모집 누적'!Print_Area</vt:lpstr>
      <vt:lpstr>'21년'!Print_Area</vt:lpstr>
      <vt:lpstr>'22년'!Print_Area</vt:lpstr>
      <vt:lpstr>'23년'!Print_Area</vt:lpstr>
      <vt:lpstr>'24년'!Print_Area</vt:lpstr>
    </vt:vector>
  </TitlesOfParts>
  <Company>Organization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이용호</dc:creator>
  <cp:lastModifiedBy>Administrator</cp:lastModifiedBy>
  <cp:lastPrinted>2023-10-04T04:38:49Z</cp:lastPrinted>
  <dcterms:created xsi:type="dcterms:W3CDTF">2020-12-01T00:14:07Z</dcterms:created>
  <dcterms:modified xsi:type="dcterms:W3CDTF">2026-03-26T05:01:59Z</dcterms:modified>
</cp:coreProperties>
</file>
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4.100\02_영업부문_국비사업팀\#공유자료\25년도 일원화 심사 결과\"/>
    </mc:Choice>
  </mc:AlternateContent>
  <xr:revisionPtr revIDLastSave="0" documentId="13_ncr:1_{A25A2514-BDA6-44BF-82CB-4C215C71982A}" xr6:coauthVersionLast="47" xr6:coauthVersionMax="47" xr10:uidLastSave="{00000000-0000-0000-0000-000000000000}"/>
  <bookViews>
    <workbookView xWindow="-28920" yWindow="45" windowWidth="29040" windowHeight="15840" xr2:uid="{00000000-000D-0000-FFFF-FFFF00000000}"/>
  </bookViews>
  <sheets>
    <sheet name="25년 평가결과" sheetId="12" r:id="rId1"/>
    <sheet name="24년 평가결과" sheetId="10" r:id="rId2"/>
  </sheets>
  <definedNames>
    <definedName name="_xlnm._FilterDatabase" localSheetId="1" hidden="1">'24년 평가결과'!$B$6:$P$51</definedName>
    <definedName name="_xlnm._FilterDatabase" localSheetId="0" hidden="1">'25년 평가결과'!$B$6:$N$7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2" l="1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G8" i="12"/>
  <c r="F8" i="12" s="1"/>
  <c r="E8" i="12" s="1"/>
  <c r="H8" i="12"/>
  <c r="G9" i="12"/>
  <c r="H9" i="12"/>
  <c r="G10" i="12"/>
  <c r="F10" i="12" s="1"/>
  <c r="E10" i="12" s="1"/>
  <c r="H10" i="12"/>
  <c r="G11" i="12"/>
  <c r="H11" i="12"/>
  <c r="G12" i="12"/>
  <c r="F12" i="12" s="1"/>
  <c r="E12" i="12" s="1"/>
  <c r="H12" i="12"/>
  <c r="G13" i="12"/>
  <c r="F13" i="12" s="1"/>
  <c r="E13" i="12" s="1"/>
  <c r="H13" i="12"/>
  <c r="G14" i="12"/>
  <c r="F14" i="12" s="1"/>
  <c r="H14" i="12"/>
  <c r="G15" i="12"/>
  <c r="F15" i="12" s="1"/>
  <c r="H15" i="12"/>
  <c r="G16" i="12"/>
  <c r="H16" i="12"/>
  <c r="G17" i="12"/>
  <c r="H17" i="12"/>
  <c r="G18" i="12"/>
  <c r="F18" i="12" s="1"/>
  <c r="H18" i="12"/>
  <c r="G19" i="12"/>
  <c r="H19" i="12"/>
  <c r="G20" i="12"/>
  <c r="F20" i="12" s="1"/>
  <c r="E20" i="12" s="1"/>
  <c r="H20" i="12"/>
  <c r="G21" i="12"/>
  <c r="H21" i="12"/>
  <c r="G22" i="12"/>
  <c r="F22" i="12" s="1"/>
  <c r="H22" i="12"/>
  <c r="G23" i="12"/>
  <c r="H23" i="12"/>
  <c r="G24" i="12"/>
  <c r="F24" i="12" s="1"/>
  <c r="E24" i="12" s="1"/>
  <c r="H24" i="12"/>
  <c r="G25" i="12"/>
  <c r="H25" i="12"/>
  <c r="G26" i="12"/>
  <c r="F26" i="12" s="1"/>
  <c r="E26" i="12" s="1"/>
  <c r="H26" i="12"/>
  <c r="G27" i="12"/>
  <c r="F27" i="12" s="1"/>
  <c r="H27" i="12"/>
  <c r="G28" i="12"/>
  <c r="H28" i="12"/>
  <c r="H29" i="12"/>
  <c r="G30" i="12"/>
  <c r="H30" i="12"/>
  <c r="G31" i="12"/>
  <c r="H31" i="12"/>
  <c r="G32" i="12"/>
  <c r="H32" i="12"/>
  <c r="G33" i="12"/>
  <c r="H33" i="12"/>
  <c r="G34" i="12"/>
  <c r="H34" i="12"/>
  <c r="G35" i="12"/>
  <c r="H35" i="12"/>
  <c r="G36" i="12"/>
  <c r="H36" i="12"/>
  <c r="G37" i="12"/>
  <c r="H37" i="12"/>
  <c r="G38" i="12"/>
  <c r="H38" i="12"/>
  <c r="G39" i="12"/>
  <c r="H39" i="12"/>
  <c r="G40" i="12"/>
  <c r="H40" i="12"/>
  <c r="G41" i="12"/>
  <c r="H41" i="12"/>
  <c r="G42" i="12"/>
  <c r="H42" i="12"/>
  <c r="G43" i="12"/>
  <c r="H43" i="12"/>
  <c r="G44" i="12"/>
  <c r="H44" i="12"/>
  <c r="G45" i="12"/>
  <c r="H45" i="12"/>
  <c r="G46" i="12"/>
  <c r="H46" i="12"/>
  <c r="G47" i="12"/>
  <c r="H47" i="12"/>
  <c r="G48" i="12"/>
  <c r="H48" i="12"/>
  <c r="G49" i="12"/>
  <c r="H49" i="12"/>
  <c r="G50" i="12"/>
  <c r="H50" i="12"/>
  <c r="G51" i="12"/>
  <c r="F51" i="12" s="1"/>
  <c r="H51" i="12"/>
  <c r="G52" i="12"/>
  <c r="H52" i="12"/>
  <c r="G53" i="12"/>
  <c r="F53" i="12" s="1"/>
  <c r="E53" i="12" s="1"/>
  <c r="H53" i="12"/>
  <c r="G54" i="12"/>
  <c r="H54" i="12"/>
  <c r="F9" i="12"/>
  <c r="E9" i="12" s="1"/>
  <c r="F16" i="12"/>
  <c r="E16" i="12" s="1"/>
  <c r="G7" i="12"/>
  <c r="H7" i="12"/>
  <c r="H7" i="10"/>
  <c r="G7" i="10"/>
  <c r="F47" i="12" l="1"/>
  <c r="E47" i="12" s="1"/>
  <c r="F19" i="12"/>
  <c r="E19" i="12" s="1"/>
  <c r="F49" i="12"/>
  <c r="E49" i="12" s="1"/>
  <c r="F52" i="12"/>
  <c r="E52" i="12" s="1"/>
  <c r="F38" i="12"/>
  <c r="F21" i="12"/>
  <c r="E21" i="12" s="1"/>
  <c r="F45" i="12"/>
  <c r="E45" i="12" s="1"/>
  <c r="F54" i="12"/>
  <c r="E54" i="12" s="1"/>
  <c r="F50" i="12"/>
  <c r="E50" i="12" s="1"/>
  <c r="F48" i="12"/>
  <c r="E48" i="12" s="1"/>
  <c r="F46" i="12"/>
  <c r="F44" i="12"/>
  <c r="E44" i="12" s="1"/>
  <c r="F43" i="12"/>
  <c r="E43" i="12" s="1"/>
  <c r="F42" i="12"/>
  <c r="E42" i="12" s="1"/>
  <c r="F41" i="12"/>
  <c r="E41" i="12" s="1"/>
  <c r="F40" i="12"/>
  <c r="E40" i="12" s="1"/>
  <c r="F39" i="12"/>
  <c r="E39" i="12" s="1"/>
  <c r="F23" i="12"/>
  <c r="E23" i="12" s="1"/>
  <c r="F17" i="12"/>
  <c r="E17" i="12" s="1"/>
  <c r="F11" i="12"/>
  <c r="F33" i="12"/>
  <c r="E33" i="12" s="1"/>
  <c r="F36" i="12"/>
  <c r="E36" i="12" s="1"/>
  <c r="F37" i="12"/>
  <c r="E37" i="12" s="1"/>
  <c r="F32" i="12"/>
  <c r="E32" i="12" s="1"/>
  <c r="F31" i="12"/>
  <c r="E31" i="12" s="1"/>
  <c r="F35" i="12"/>
  <c r="E35" i="12" s="1"/>
  <c r="F34" i="12"/>
  <c r="E34" i="12" s="1"/>
  <c r="F29" i="12"/>
  <c r="E29" i="12" s="1"/>
  <c r="F30" i="12"/>
  <c r="E30" i="12" s="1"/>
  <c r="F28" i="12"/>
  <c r="E28" i="12" s="1"/>
  <c r="F25" i="12"/>
  <c r="E25" i="12" s="1"/>
  <c r="E46" i="12"/>
  <c r="E14" i="12"/>
  <c r="E18" i="12"/>
  <c r="E51" i="12"/>
  <c r="E27" i="12"/>
  <c r="E15" i="12"/>
  <c r="E11" i="12"/>
  <c r="E38" i="12"/>
  <c r="E22" i="12"/>
  <c r="F7" i="12"/>
  <c r="E7" i="12" s="1"/>
  <c r="P45" i="10" l="1"/>
  <c r="O45" i="10"/>
  <c r="P38" i="10"/>
  <c r="O38" i="10"/>
  <c r="Q35" i="10" l="1"/>
  <c r="I35" i="10"/>
  <c r="H35" i="10"/>
  <c r="G35" i="10"/>
  <c r="Q22" i="10"/>
  <c r="I22" i="10"/>
  <c r="H22" i="10"/>
  <c r="G22" i="10"/>
  <c r="Q21" i="10"/>
  <c r="I21" i="10"/>
  <c r="H21" i="10"/>
  <c r="G21" i="10"/>
  <c r="F21" i="10" l="1"/>
  <c r="F22" i="10"/>
  <c r="E22" i="10" s="1"/>
  <c r="E21" i="10"/>
  <c r="F35" i="10"/>
  <c r="E35" i="10" s="1"/>
  <c r="Q51" i="10"/>
  <c r="I51" i="10"/>
  <c r="H51" i="10"/>
  <c r="G51" i="10"/>
  <c r="Q50" i="10"/>
  <c r="I50" i="10"/>
  <c r="H50" i="10"/>
  <c r="G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I49" i="10"/>
  <c r="H49" i="10"/>
  <c r="G49" i="10"/>
  <c r="I48" i="10"/>
  <c r="H48" i="10"/>
  <c r="G48" i="10"/>
  <c r="I47" i="10"/>
  <c r="H47" i="10"/>
  <c r="G47" i="10"/>
  <c r="I46" i="10"/>
  <c r="H46" i="10"/>
  <c r="G46" i="10"/>
  <c r="I45" i="10"/>
  <c r="H45" i="10"/>
  <c r="G45" i="10"/>
  <c r="I44" i="10"/>
  <c r="H44" i="10"/>
  <c r="G44" i="10"/>
  <c r="I43" i="10"/>
  <c r="H43" i="10"/>
  <c r="G43" i="10"/>
  <c r="I42" i="10"/>
  <c r="H42" i="10"/>
  <c r="G42" i="10"/>
  <c r="I41" i="10"/>
  <c r="H41" i="10"/>
  <c r="G41" i="10"/>
  <c r="I40" i="10"/>
  <c r="H40" i="10"/>
  <c r="G40" i="10"/>
  <c r="I39" i="10"/>
  <c r="H39" i="10"/>
  <c r="G39" i="10"/>
  <c r="I38" i="10"/>
  <c r="H38" i="10"/>
  <c r="G38" i="10"/>
  <c r="I37" i="10"/>
  <c r="H37" i="10"/>
  <c r="G37" i="10"/>
  <c r="I36" i="10"/>
  <c r="H36" i="10"/>
  <c r="G36" i="10"/>
  <c r="I34" i="10"/>
  <c r="H34" i="10"/>
  <c r="G34" i="10"/>
  <c r="I33" i="10"/>
  <c r="H33" i="10"/>
  <c r="G33" i="10"/>
  <c r="I32" i="10"/>
  <c r="H32" i="10"/>
  <c r="G32" i="10"/>
  <c r="I31" i="10"/>
  <c r="H31" i="10"/>
  <c r="G31" i="10"/>
  <c r="I30" i="10"/>
  <c r="H30" i="10"/>
  <c r="G30" i="10"/>
  <c r="I29" i="10"/>
  <c r="H29" i="10"/>
  <c r="G29" i="10"/>
  <c r="I28" i="10"/>
  <c r="H28" i="10"/>
  <c r="G28" i="10"/>
  <c r="I27" i="10"/>
  <c r="H27" i="10"/>
  <c r="G27" i="10"/>
  <c r="I26" i="10"/>
  <c r="H26" i="10"/>
  <c r="G26" i="10"/>
  <c r="I25" i="10"/>
  <c r="H25" i="10"/>
  <c r="G25" i="10"/>
  <c r="I24" i="10"/>
  <c r="H24" i="10"/>
  <c r="G24" i="10"/>
  <c r="I23" i="10"/>
  <c r="H23" i="10"/>
  <c r="G23" i="10"/>
  <c r="I20" i="10"/>
  <c r="H20" i="10"/>
  <c r="G20" i="10"/>
  <c r="I19" i="10"/>
  <c r="H19" i="10"/>
  <c r="G19" i="10"/>
  <c r="I18" i="10"/>
  <c r="H18" i="10"/>
  <c r="G18" i="10"/>
  <c r="I17" i="10"/>
  <c r="H17" i="10"/>
  <c r="G17" i="10"/>
  <c r="I16" i="10"/>
  <c r="H16" i="10"/>
  <c r="G16" i="10"/>
  <c r="I15" i="10"/>
  <c r="H15" i="10"/>
  <c r="G15" i="10"/>
  <c r="I14" i="10"/>
  <c r="H14" i="10"/>
  <c r="G14" i="10"/>
  <c r="I13" i="10"/>
  <c r="H13" i="10"/>
  <c r="G13" i="10"/>
  <c r="I12" i="10"/>
  <c r="H12" i="10"/>
  <c r="G12" i="10"/>
  <c r="I11" i="10"/>
  <c r="H11" i="10"/>
  <c r="G11" i="10"/>
  <c r="I10" i="10"/>
  <c r="H10" i="10"/>
  <c r="G10" i="10"/>
  <c r="I9" i="10"/>
  <c r="H9" i="10"/>
  <c r="G9" i="10"/>
  <c r="I8" i="10"/>
  <c r="H8" i="10"/>
  <c r="G8" i="10"/>
  <c r="I7" i="10"/>
  <c r="F11" i="10" l="1"/>
  <c r="E11" i="10" s="1"/>
  <c r="F13" i="10"/>
  <c r="F15" i="10"/>
  <c r="E15" i="10" s="1"/>
  <c r="F19" i="10"/>
  <c r="E19" i="10" s="1"/>
  <c r="F25" i="10"/>
  <c r="E25" i="10" s="1"/>
  <c r="F29" i="10"/>
  <c r="E29" i="10" s="1"/>
  <c r="F33" i="10"/>
  <c r="E33" i="10" s="1"/>
  <c r="F46" i="10"/>
  <c r="E46" i="10" s="1"/>
  <c r="F7" i="10"/>
  <c r="E7" i="10" s="1"/>
  <c r="F41" i="10"/>
  <c r="E41" i="10" s="1"/>
  <c r="F48" i="10"/>
  <c r="E48" i="10" s="1"/>
  <c r="F42" i="10"/>
  <c r="E42" i="10" s="1"/>
  <c r="F38" i="10"/>
  <c r="E38" i="10" s="1"/>
  <c r="F50" i="10"/>
  <c r="E50" i="10" s="1"/>
  <c r="F51" i="10"/>
  <c r="E51" i="10" s="1"/>
  <c r="F10" i="10"/>
  <c r="E10" i="10" s="1"/>
  <c r="F14" i="10"/>
  <c r="E14" i="10" s="1"/>
  <c r="F18" i="10"/>
  <c r="E18" i="10" s="1"/>
  <c r="F24" i="10"/>
  <c r="E24" i="10" s="1"/>
  <c r="F28" i="10"/>
  <c r="E28" i="10" s="1"/>
  <c r="F32" i="10"/>
  <c r="E32" i="10" s="1"/>
  <c r="F37" i="10"/>
  <c r="E37" i="10" s="1"/>
  <c r="F45" i="10"/>
  <c r="E45" i="10" s="1"/>
  <c r="F49" i="10"/>
  <c r="E49" i="10" s="1"/>
  <c r="F9" i="10"/>
  <c r="E9" i="10" s="1"/>
  <c r="E13" i="10"/>
  <c r="F17" i="10"/>
  <c r="E17" i="10" s="1"/>
  <c r="F23" i="10"/>
  <c r="E23" i="10" s="1"/>
  <c r="F27" i="10"/>
  <c r="E27" i="10" s="1"/>
  <c r="F31" i="10"/>
  <c r="E31" i="10" s="1"/>
  <c r="F36" i="10"/>
  <c r="E36" i="10" s="1"/>
  <c r="F40" i="10"/>
  <c r="E40" i="10" s="1"/>
  <c r="F44" i="10"/>
  <c r="E44" i="10" s="1"/>
  <c r="F8" i="10"/>
  <c r="E8" i="10" s="1"/>
  <c r="F12" i="10"/>
  <c r="E12" i="10" s="1"/>
  <c r="F16" i="10"/>
  <c r="E16" i="10" s="1"/>
  <c r="F20" i="10"/>
  <c r="E20" i="10" s="1"/>
  <c r="F26" i="10"/>
  <c r="E26" i="10" s="1"/>
  <c r="F30" i="10"/>
  <c r="E30" i="10" s="1"/>
  <c r="F34" i="10"/>
  <c r="E34" i="10" s="1"/>
  <c r="F39" i="10"/>
  <c r="E39" i="10" s="1"/>
  <c r="F43" i="10"/>
  <c r="E43" i="10" s="1"/>
  <c r="F47" i="10"/>
  <c r="E4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23.1.1~27.12.31</t>
        </r>
      </text>
    </comment>
    <comment ref="D4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26.1.1~28.12.31
</t>
        </r>
      </text>
    </comment>
  </commentList>
</comments>
</file>

<file path=xl/sharedStrings.xml><?xml version="1.0" encoding="utf-8"?>
<sst xmlns="http://schemas.openxmlformats.org/spreadsheetml/2006/main" count="261" uniqueCount="100">
  <si>
    <t>훈련성과</t>
    <phoneticPr fontId="4" type="noConversion"/>
  </si>
  <si>
    <t>훈련실시비중</t>
    <phoneticPr fontId="4" type="noConversion"/>
  </si>
  <si>
    <t>실업자</t>
    <phoneticPr fontId="4" type="noConversion"/>
  </si>
  <si>
    <t>재직자</t>
    <phoneticPr fontId="4" type="noConversion"/>
  </si>
  <si>
    <t>일반
취업률</t>
    <phoneticPr fontId="4" type="noConversion"/>
  </si>
  <si>
    <t>고용
유지</t>
    <phoneticPr fontId="4" type="noConversion"/>
  </si>
  <si>
    <t>근로자</t>
    <phoneticPr fontId="4" type="noConversion"/>
  </si>
  <si>
    <t>계열</t>
    <phoneticPr fontId="4" type="noConversion"/>
  </si>
  <si>
    <t>지점</t>
    <phoneticPr fontId="4" type="noConversion"/>
  </si>
  <si>
    <t>컴퓨터</t>
    <phoneticPr fontId="4" type="noConversion"/>
  </si>
  <si>
    <t>대전</t>
    <phoneticPr fontId="4" type="noConversion"/>
  </si>
  <si>
    <t>게임</t>
    <phoneticPr fontId="4" type="noConversion"/>
  </si>
  <si>
    <t>강남</t>
    <phoneticPr fontId="4" type="noConversion"/>
  </si>
  <si>
    <t>IT</t>
    <phoneticPr fontId="4" type="noConversion"/>
  </si>
  <si>
    <t>뷰티</t>
    <phoneticPr fontId="4" type="noConversion"/>
  </si>
  <si>
    <t>이수자
 평가</t>
    <phoneticPr fontId="4" type="noConversion"/>
  </si>
  <si>
    <t>성과총점</t>
    <phoneticPr fontId="4" type="noConversion"/>
  </si>
  <si>
    <t>실업</t>
    <phoneticPr fontId="4" type="noConversion"/>
  </si>
  <si>
    <t>총점</t>
    <phoneticPr fontId="4" type="noConversion"/>
  </si>
  <si>
    <t>공통</t>
    <phoneticPr fontId="4" type="noConversion"/>
  </si>
  <si>
    <t>만족도</t>
    <phoneticPr fontId="4" type="noConversion"/>
  </si>
  <si>
    <t>울산</t>
    <phoneticPr fontId="4" type="noConversion"/>
  </si>
  <si>
    <t>노원</t>
    <phoneticPr fontId="4" type="noConversion"/>
  </si>
  <si>
    <t>분당</t>
    <phoneticPr fontId="4" type="noConversion"/>
  </si>
  <si>
    <t>종로</t>
    <phoneticPr fontId="4" type="noConversion"/>
  </si>
  <si>
    <t>안산</t>
    <phoneticPr fontId="4" type="noConversion"/>
  </si>
  <si>
    <t>1년 인증(23)</t>
    <phoneticPr fontId="4" type="noConversion"/>
  </si>
  <si>
    <t>수원</t>
    <phoneticPr fontId="4" type="noConversion"/>
  </si>
  <si>
    <t>인천</t>
    <phoneticPr fontId="4" type="noConversion"/>
  </si>
  <si>
    <t>부산</t>
    <phoneticPr fontId="4" type="noConversion"/>
  </si>
  <si>
    <t>70
(56)</t>
    <phoneticPr fontId="4" type="noConversion"/>
  </si>
  <si>
    <t>근로</t>
    <phoneticPr fontId="4" type="noConversion"/>
  </si>
  <si>
    <t>평가
등급
(기존)</t>
    <phoneticPr fontId="4" type="noConversion"/>
  </si>
  <si>
    <t>강남</t>
    <phoneticPr fontId="4" type="noConversion"/>
  </si>
  <si>
    <t>신촌</t>
    <phoneticPr fontId="4" type="noConversion"/>
  </si>
  <si>
    <t>대구</t>
    <phoneticPr fontId="4" type="noConversion"/>
  </si>
  <si>
    <t>부산</t>
    <phoneticPr fontId="4" type="noConversion"/>
  </si>
  <si>
    <t>5년 우수(22)</t>
    <phoneticPr fontId="4" type="noConversion"/>
  </si>
  <si>
    <t>5년 우수(20)</t>
    <phoneticPr fontId="4" type="noConversion"/>
  </si>
  <si>
    <t>5년 우수(21)</t>
    <phoneticPr fontId="4" type="noConversion"/>
  </si>
  <si>
    <t>홍대</t>
    <phoneticPr fontId="4" type="noConversion"/>
  </si>
  <si>
    <t>부평</t>
    <phoneticPr fontId="4" type="noConversion"/>
  </si>
  <si>
    <t>광주</t>
    <phoneticPr fontId="4" type="noConversion"/>
  </si>
  <si>
    <t>구월</t>
    <phoneticPr fontId="4" type="noConversion"/>
  </si>
  <si>
    <t>일산</t>
    <phoneticPr fontId="4" type="noConversion"/>
  </si>
  <si>
    <t>5년 우수(23)</t>
    <phoneticPr fontId="4" type="noConversion"/>
  </si>
  <si>
    <t>3년 인증(22)</t>
    <phoneticPr fontId="4" type="noConversion"/>
  </si>
  <si>
    <t>3년 인증(24)</t>
    <phoneticPr fontId="4" type="noConversion"/>
  </si>
  <si>
    <t>3년 인증(23)</t>
    <phoneticPr fontId="4" type="noConversion"/>
  </si>
  <si>
    <t>3년 인증(23)</t>
    <phoneticPr fontId="4" type="noConversion"/>
  </si>
  <si>
    <t>광주</t>
    <phoneticPr fontId="4" type="noConversion"/>
  </si>
  <si>
    <t>대구</t>
    <phoneticPr fontId="4" type="noConversion"/>
  </si>
  <si>
    <t>대전</t>
    <phoneticPr fontId="4" type="noConversion"/>
  </si>
  <si>
    <t>승무원</t>
    <phoneticPr fontId="4" type="noConversion"/>
  </si>
  <si>
    <t>3년 인증(22)</t>
    <phoneticPr fontId="4" type="noConversion"/>
  </si>
  <si>
    <t>요리</t>
    <phoneticPr fontId="4" type="noConversion"/>
  </si>
  <si>
    <t>24년 훈련기관 인증평가 성과</t>
    <phoneticPr fontId="4" type="noConversion"/>
  </si>
  <si>
    <t>현장평가</t>
    <phoneticPr fontId="4" type="noConversion"/>
  </si>
  <si>
    <t>현장
총점</t>
    <phoneticPr fontId="4" type="noConversion"/>
  </si>
  <si>
    <t>훈련
인프라</t>
    <phoneticPr fontId="4" type="noConversion"/>
  </si>
  <si>
    <t>훈련
전담인력</t>
    <phoneticPr fontId="4" type="noConversion"/>
  </si>
  <si>
    <t>40
(22.5)</t>
    <phoneticPr fontId="4" type="noConversion"/>
  </si>
  <si>
    <t>훈련
과정관리</t>
    <phoneticPr fontId="4" type="noConversion"/>
  </si>
  <si>
    <t>평가총점</t>
    <phoneticPr fontId="4" type="noConversion"/>
  </si>
  <si>
    <t>홍대</t>
    <phoneticPr fontId="4" type="noConversion"/>
  </si>
  <si>
    <t>천안</t>
    <phoneticPr fontId="4" type="noConversion"/>
  </si>
  <si>
    <t>안양</t>
    <phoneticPr fontId="4" type="noConversion"/>
  </si>
  <si>
    <t>노원</t>
    <phoneticPr fontId="4" type="noConversion"/>
  </si>
  <si>
    <t>천안</t>
    <phoneticPr fontId="4" type="noConversion"/>
  </si>
  <si>
    <t>3년 인증(24)</t>
    <phoneticPr fontId="4" type="noConversion"/>
  </si>
  <si>
    <t>3년 인증(24)</t>
    <phoneticPr fontId="4" type="noConversion"/>
  </si>
  <si>
    <t>1년 인증(23)</t>
    <phoneticPr fontId="4" type="noConversion"/>
  </si>
  <si>
    <t>3년인증(24)</t>
    <phoneticPr fontId="4" type="noConversion"/>
  </si>
  <si>
    <t>3년인증(24)</t>
    <phoneticPr fontId="4" type="noConversion"/>
  </si>
  <si>
    <t>3년인증(24)</t>
    <phoneticPr fontId="4" type="noConversion"/>
  </si>
  <si>
    <t>1년 인증(23)</t>
    <phoneticPr fontId="4" type="noConversion"/>
  </si>
  <si>
    <t>인증유예</t>
    <phoneticPr fontId="4" type="noConversion"/>
  </si>
  <si>
    <t>1년 인증(24)</t>
    <phoneticPr fontId="4" type="noConversion"/>
  </si>
  <si>
    <t>1년인증(24)</t>
    <phoneticPr fontId="4" type="noConversion"/>
  </si>
  <si>
    <t>5년 우수(22)</t>
    <phoneticPr fontId="4" type="noConversion"/>
  </si>
  <si>
    <t>25년 훈련기관 인증평가 성과</t>
    <phoneticPr fontId="4" type="noConversion"/>
  </si>
  <si>
    <t>청주</t>
    <phoneticPr fontId="4" type="noConversion"/>
  </si>
  <si>
    <t>온라인</t>
    <phoneticPr fontId="4" type="noConversion"/>
  </si>
  <si>
    <t>TFT</t>
    <phoneticPr fontId="4" type="noConversion"/>
  </si>
  <si>
    <t>3년 인증(25)</t>
    <phoneticPr fontId="4" type="noConversion"/>
  </si>
  <si>
    <t>40
(24)</t>
    <phoneticPr fontId="4" type="noConversion"/>
  </si>
  <si>
    <t>역량평가 총점</t>
    <phoneticPr fontId="4" type="noConversion"/>
  </si>
  <si>
    <t>성과
총점</t>
    <phoneticPr fontId="4" type="noConversion"/>
  </si>
  <si>
    <t>3년 인증(26)</t>
    <phoneticPr fontId="4" type="noConversion"/>
  </si>
  <si>
    <t>평가
등급
(유효기간 시작년도)</t>
    <phoneticPr fontId="4" type="noConversion"/>
  </si>
  <si>
    <t>3년인증(25)</t>
    <phoneticPr fontId="4" type="noConversion"/>
  </si>
  <si>
    <t>1년 인증(26)</t>
    <phoneticPr fontId="4" type="noConversion"/>
  </si>
  <si>
    <t>5년 우수(26)</t>
    <phoneticPr fontId="4" type="noConversion"/>
  </si>
  <si>
    <t>2025.01.01~2027.12.31</t>
  </si>
  <si>
    <t>2024.01.01~2026.12.31</t>
  </si>
  <si>
    <t>2022.01.01~2026.12.31</t>
    <phoneticPr fontId="4" type="noConversion"/>
  </si>
  <si>
    <t>2026.01.01~2026.12.31</t>
    <phoneticPr fontId="4" type="noConversion"/>
  </si>
  <si>
    <t>2026.01.01~2028.12.31</t>
    <phoneticPr fontId="4" type="noConversion"/>
  </si>
  <si>
    <t>2024.01.01~2026.12.31</t>
    <phoneticPr fontId="4" type="noConversion"/>
  </si>
  <si>
    <t>2024.01.01~2026.12.31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</si>
</sst>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"/>
    <numFmt numFmtId="177" formatCode="0.0_);[Red]\(0.0\)"/>
    <numFmt numFmtId="178" formatCode="0_);[Red]\(0\)"/>
    <numFmt numFmtId="179" formatCode="0.00_);[Red]\(0.00\)"/>
    <numFmt numFmtId="180" formatCode="0.0_ "/>
    <numFmt numFmtId="181" formatCode="0.000%"/>
    <numFmt numFmtId="182" formatCode="0.00_ "/>
    <numFmt numFmtId="183" formatCode="0.000"/>
  </numFmts>
  <fonts count="2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</cellStyleXfs>
  <cellXfs count="353">
    <xf numFmtId="0" fontId="0" fillId="0" borderId="0" xfId="0"/>
    <xf numFmtId="0" fontId="7" fillId="0" borderId="0" xfId="0" applyFont="1"/>
    <xf numFmtId="0" fontId="5" fillId="4" borderId="21" xfId="0" applyFont="1" applyFill="1" applyBorder="1" applyAlignment="1">
      <alignment horizontal="center" vertical="center" wrapText="1" readingOrder="1"/>
    </xf>
    <xf numFmtId="0" fontId="9" fillId="0" borderId="0" xfId="0" applyFont="1"/>
    <xf numFmtId="0" fontId="5" fillId="3" borderId="5" xfId="0" applyFont="1" applyFill="1" applyBorder="1" applyAlignment="1">
      <alignment horizontal="center" vertical="center" wrapText="1" readingOrder="1"/>
    </xf>
    <xf numFmtId="0" fontId="5" fillId="3" borderId="22" xfId="0" applyFont="1" applyFill="1" applyBorder="1" applyAlignment="1">
      <alignment horizontal="center" vertical="center" wrapText="1" readingOrder="1"/>
    </xf>
    <xf numFmtId="0" fontId="5" fillId="2" borderId="23" xfId="0" applyFont="1" applyFill="1" applyBorder="1" applyAlignment="1">
      <alignment horizontal="center" vertical="center" wrapText="1" readingOrder="1"/>
    </xf>
    <xf numFmtId="0" fontId="8" fillId="0" borderId="40" xfId="0" applyFont="1" applyBorder="1" applyAlignment="1">
      <alignment horizontal="center" vertical="center" wrapText="1" readingOrder="1"/>
    </xf>
    <xf numFmtId="0" fontId="5" fillId="2" borderId="33" xfId="0" applyFont="1" applyFill="1" applyBorder="1" applyAlignment="1">
      <alignment horizontal="center" vertical="center" wrapText="1" readingOrder="1"/>
    </xf>
    <xf numFmtId="0" fontId="5" fillId="4" borderId="33" xfId="0" applyFont="1" applyFill="1" applyBorder="1" applyAlignment="1">
      <alignment horizontal="center" vertical="center" wrapText="1" readingOrder="1"/>
    </xf>
    <xf numFmtId="0" fontId="5" fillId="4" borderId="23" xfId="0" applyFont="1" applyFill="1" applyBorder="1" applyAlignment="1">
      <alignment horizontal="center" vertical="center" wrapText="1" readingOrder="1"/>
    </xf>
    <xf numFmtId="0" fontId="8" fillId="0" borderId="29" xfId="0" applyFont="1" applyBorder="1" applyAlignment="1">
      <alignment horizontal="center" vertical="center" wrapText="1" readingOrder="1"/>
    </xf>
    <xf numFmtId="0" fontId="8" fillId="0" borderId="50" xfId="0" applyFont="1" applyBorder="1" applyAlignment="1">
      <alignment horizontal="center" vertical="center" wrapText="1" readingOrder="1"/>
    </xf>
    <xf numFmtId="0" fontId="8" fillId="0" borderId="27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 readingOrder="1"/>
    </xf>
    <xf numFmtId="0" fontId="5" fillId="5" borderId="21" xfId="0" applyFont="1" applyFill="1" applyBorder="1" applyAlignment="1">
      <alignment horizontal="center" vertical="center" wrapText="1" readingOrder="1"/>
    </xf>
    <xf numFmtId="0" fontId="5" fillId="5" borderId="23" xfId="0" applyFont="1" applyFill="1" applyBorder="1" applyAlignment="1">
      <alignment horizontal="center" vertical="center" wrapText="1" readingOrder="1"/>
    </xf>
    <xf numFmtId="0" fontId="5" fillId="2" borderId="18" xfId="0" applyFont="1" applyFill="1" applyBorder="1" applyAlignment="1">
      <alignment horizontal="center" vertical="center" wrapText="1" readingOrder="1"/>
    </xf>
    <xf numFmtId="0" fontId="5" fillId="4" borderId="22" xfId="0" applyFont="1" applyFill="1" applyBorder="1" applyAlignment="1">
      <alignment horizontal="center" vertical="center" wrapText="1" readingOrder="1"/>
    </xf>
    <xf numFmtId="0" fontId="5" fillId="4" borderId="36" xfId="0" applyFont="1" applyFill="1" applyBorder="1" applyAlignment="1">
      <alignment horizontal="center" vertical="center" wrapText="1" readingOrder="1"/>
    </xf>
    <xf numFmtId="0" fontId="8" fillId="0" borderId="41" xfId="0" applyFont="1" applyBorder="1" applyAlignment="1">
      <alignment horizontal="center" vertical="center" wrapText="1" readingOrder="1"/>
    </xf>
    <xf numFmtId="0" fontId="8" fillId="6" borderId="40" xfId="0" applyFont="1" applyFill="1" applyBorder="1" applyAlignment="1">
      <alignment horizontal="center" vertical="center" wrapText="1" readingOrder="1"/>
    </xf>
    <xf numFmtId="2" fontId="8" fillId="6" borderId="41" xfId="0" applyNumberFormat="1" applyFont="1" applyFill="1" applyBorder="1" applyAlignment="1">
      <alignment horizontal="center" vertical="center" wrapText="1" readingOrder="1"/>
    </xf>
    <xf numFmtId="0" fontId="8" fillId="6" borderId="41" xfId="0" applyFont="1" applyFill="1" applyBorder="1" applyAlignment="1">
      <alignment horizontal="center" vertical="center" wrapText="1" readingOrder="1"/>
    </xf>
    <xf numFmtId="2" fontId="8" fillId="6" borderId="18" xfId="0" applyNumberFormat="1" applyFont="1" applyFill="1" applyBorder="1" applyAlignment="1">
      <alignment horizontal="center" vertical="center" wrapText="1" readingOrder="1"/>
    </xf>
    <xf numFmtId="2" fontId="8" fillId="6" borderId="20" xfId="0" applyNumberFormat="1" applyFont="1" applyFill="1" applyBorder="1" applyAlignment="1">
      <alignment horizontal="center" vertical="center" wrapText="1" readingOrder="1"/>
    </xf>
    <xf numFmtId="10" fontId="8" fillId="6" borderId="29" xfId="1" applyNumberFormat="1" applyFont="1" applyFill="1" applyBorder="1" applyAlignment="1">
      <alignment horizontal="center" vertical="center" wrapText="1" readingOrder="1"/>
    </xf>
    <xf numFmtId="10" fontId="8" fillId="6" borderId="20" xfId="1" applyNumberFormat="1" applyFont="1" applyFill="1" applyBorder="1" applyAlignment="1">
      <alignment horizontal="center" vertical="center" wrapText="1" readingOrder="1"/>
    </xf>
    <xf numFmtId="180" fontId="16" fillId="6" borderId="15" xfId="0" applyNumberFormat="1" applyFont="1" applyFill="1" applyBorder="1" applyAlignment="1">
      <alignment horizontal="center" vertical="center" wrapText="1" readingOrder="1"/>
    </xf>
    <xf numFmtId="180" fontId="17" fillId="6" borderId="34" xfId="0" applyNumberFormat="1" applyFont="1" applyFill="1" applyBorder="1" applyAlignment="1">
      <alignment horizontal="center" vertical="center" wrapText="1" readingOrder="1"/>
    </xf>
    <xf numFmtId="180" fontId="17" fillId="6" borderId="11" xfId="0" applyNumberFormat="1" applyFont="1" applyFill="1" applyBorder="1" applyAlignment="1">
      <alignment horizontal="center" vertical="center" wrapText="1" readingOrder="1"/>
    </xf>
    <xf numFmtId="180" fontId="17" fillId="6" borderId="17" xfId="0" applyNumberFormat="1" applyFont="1" applyFill="1" applyBorder="1" applyAlignment="1">
      <alignment horizontal="center" vertical="center" wrapText="1" readingOrder="1"/>
    </xf>
    <xf numFmtId="2" fontId="11" fillId="0" borderId="21" xfId="0" applyNumberFormat="1" applyFont="1" applyBorder="1" applyAlignment="1">
      <alignment horizontal="center" vertical="center" wrapText="1" readingOrder="1"/>
    </xf>
    <xf numFmtId="2" fontId="8" fillId="0" borderId="18" xfId="0" applyNumberFormat="1" applyFont="1" applyBorder="1" applyAlignment="1">
      <alignment horizontal="center" vertical="center" wrapText="1" readingOrder="1"/>
    </xf>
    <xf numFmtId="2" fontId="8" fillId="0" borderId="20" xfId="0" applyNumberFormat="1" applyFont="1" applyBorder="1" applyAlignment="1">
      <alignment horizontal="center" vertical="center" wrapText="1" readingOrder="1"/>
    </xf>
    <xf numFmtId="0" fontId="11" fillId="5" borderId="18" xfId="0" applyFont="1" applyFill="1" applyBorder="1" applyAlignment="1">
      <alignment horizontal="center" vertical="center" wrapText="1" readingOrder="1"/>
    </xf>
    <xf numFmtId="0" fontId="8" fillId="0" borderId="19" xfId="0" applyFont="1" applyBorder="1" applyAlignment="1">
      <alignment horizontal="center" vertical="center" wrapText="1" readingOrder="1"/>
    </xf>
    <xf numFmtId="177" fontId="11" fillId="6" borderId="19" xfId="0" applyNumberFormat="1" applyFont="1" applyFill="1" applyBorder="1" applyAlignment="1">
      <alignment horizontal="center" vertical="center" wrapText="1" readingOrder="1"/>
    </xf>
    <xf numFmtId="179" fontId="11" fillId="6" borderId="44" xfId="0" applyNumberFormat="1" applyFont="1" applyFill="1" applyBorder="1" applyAlignment="1">
      <alignment horizontal="center" vertical="center" wrapText="1" readingOrder="1"/>
    </xf>
    <xf numFmtId="2" fontId="11" fillId="6" borderId="26" xfId="0" applyNumberFormat="1" applyFont="1" applyFill="1" applyBorder="1" applyAlignment="1">
      <alignment horizontal="center" vertical="center" wrapText="1" readingOrder="1"/>
    </xf>
    <xf numFmtId="2" fontId="11" fillId="6" borderId="8" xfId="0" applyNumberFormat="1" applyFont="1" applyFill="1" applyBorder="1" applyAlignment="1">
      <alignment horizontal="center" vertical="center" wrapText="1" readingOrder="1"/>
    </xf>
    <xf numFmtId="2" fontId="11" fillId="6" borderId="9" xfId="0" applyNumberFormat="1" applyFont="1" applyFill="1" applyBorder="1" applyAlignment="1">
      <alignment horizontal="center" vertical="center" wrapText="1" readingOrder="1"/>
    </xf>
    <xf numFmtId="0" fontId="15" fillId="5" borderId="12" xfId="0" applyFont="1" applyFill="1" applyBorder="1" applyAlignment="1">
      <alignment horizontal="center" vertical="center" wrapText="1" readingOrder="1"/>
    </xf>
    <xf numFmtId="176" fontId="11" fillId="5" borderId="21" xfId="0" applyNumberFormat="1" applyFont="1" applyFill="1" applyBorder="1" applyAlignment="1">
      <alignment horizontal="center" vertical="center" wrapText="1" readingOrder="1"/>
    </xf>
    <xf numFmtId="0" fontId="12" fillId="0" borderId="22" xfId="0" applyFont="1" applyBorder="1" applyAlignment="1">
      <alignment horizontal="center" vertical="center" wrapText="1" readingOrder="1"/>
    </xf>
    <xf numFmtId="179" fontId="11" fillId="3" borderId="44" xfId="0" applyNumberFormat="1" applyFont="1" applyFill="1" applyBorder="1" applyAlignment="1">
      <alignment horizontal="center" vertical="center" wrapText="1" readingOrder="1"/>
    </xf>
    <xf numFmtId="2" fontId="11" fillId="0" borderId="26" xfId="0" applyNumberFormat="1" applyFont="1" applyBorder="1" applyAlignment="1">
      <alignment horizontal="center" vertical="center" wrapText="1" readingOrder="1"/>
    </xf>
    <xf numFmtId="2" fontId="11" fillId="0" borderId="8" xfId="0" applyNumberFormat="1" applyFont="1" applyBorder="1" applyAlignment="1">
      <alignment horizontal="center" vertical="center" wrapText="1" readingOrder="1"/>
    </xf>
    <xf numFmtId="2" fontId="11" fillId="0" borderId="9" xfId="0" applyNumberFormat="1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179" fontId="11" fillId="3" borderId="5" xfId="0" applyNumberFormat="1" applyFont="1" applyFill="1" applyBorder="1" applyAlignment="1">
      <alignment horizontal="center" vertical="center" wrapText="1" readingOrder="1"/>
    </xf>
    <xf numFmtId="2" fontId="11" fillId="0" borderId="28" xfId="0" applyNumberFormat="1" applyFont="1" applyBorder="1" applyAlignment="1">
      <alignment horizontal="center" vertical="center" wrapText="1" readingOrder="1"/>
    </xf>
    <xf numFmtId="177" fontId="11" fillId="3" borderId="19" xfId="0" applyNumberFormat="1" applyFont="1" applyFill="1" applyBorder="1" applyAlignment="1">
      <alignment horizontal="center" vertical="center" wrapText="1" readingOrder="1"/>
    </xf>
    <xf numFmtId="10" fontId="8" fillId="0" borderId="33" xfId="1" applyNumberFormat="1" applyFont="1" applyFill="1" applyBorder="1" applyAlignment="1">
      <alignment horizontal="center" vertical="center" wrapText="1" readingOrder="1"/>
    </xf>
    <xf numFmtId="2" fontId="8" fillId="0" borderId="21" xfId="0" applyNumberFormat="1" applyFont="1" applyBorder="1" applyAlignment="1">
      <alignment horizontal="center" vertical="center" wrapText="1" readingOrder="1"/>
    </xf>
    <xf numFmtId="0" fontId="12" fillId="0" borderId="44" xfId="0" applyFont="1" applyBorder="1" applyAlignment="1">
      <alignment horizontal="center" vertical="center" wrapText="1" readingOrder="1"/>
    </xf>
    <xf numFmtId="0" fontId="12" fillId="0" borderId="18" xfId="0" applyFont="1" applyBorder="1" applyAlignment="1">
      <alignment horizontal="center" vertical="center" wrapText="1" readingOrder="1"/>
    </xf>
    <xf numFmtId="0" fontId="12" fillId="0" borderId="20" xfId="0" applyFont="1" applyBorder="1" applyAlignment="1">
      <alignment horizontal="center" vertical="center" wrapText="1" readingOrder="1"/>
    </xf>
    <xf numFmtId="10" fontId="8" fillId="0" borderId="20" xfId="1" applyNumberFormat="1" applyFont="1" applyFill="1" applyBorder="1" applyAlignment="1">
      <alignment horizontal="center" vertical="center" wrapText="1" readingOrder="1"/>
    </xf>
    <xf numFmtId="0" fontId="8" fillId="0" borderId="44" xfId="0" applyFont="1" applyBorder="1" applyAlignment="1">
      <alignment horizontal="center" vertical="center" wrapText="1" readingOrder="1"/>
    </xf>
    <xf numFmtId="0" fontId="15" fillId="5" borderId="20" xfId="0" applyFont="1" applyFill="1" applyBorder="1" applyAlignment="1">
      <alignment horizontal="center" vertical="center" wrapText="1" readingOrder="1"/>
    </xf>
    <xf numFmtId="2" fontId="11" fillId="0" borderId="18" xfId="0" applyNumberFormat="1" applyFont="1" applyBorder="1" applyAlignment="1">
      <alignment horizontal="center" vertical="center" wrapText="1" readingOrder="1"/>
    </xf>
    <xf numFmtId="2" fontId="11" fillId="0" borderId="53" xfId="0" applyNumberFormat="1" applyFont="1" applyBorder="1" applyAlignment="1">
      <alignment horizontal="center" vertical="center" wrapText="1" readingOrder="1"/>
    </xf>
    <xf numFmtId="10" fontId="8" fillId="0" borderId="29" xfId="1" applyNumberFormat="1" applyFont="1" applyFill="1" applyBorder="1" applyAlignment="1">
      <alignment horizontal="center" vertical="center" wrapText="1" readingOrder="1"/>
    </xf>
    <xf numFmtId="0" fontId="11" fillId="5" borderId="14" xfId="0" applyFont="1" applyFill="1" applyBorder="1" applyAlignment="1">
      <alignment horizontal="center" vertical="center" wrapText="1" readingOrder="1"/>
    </xf>
    <xf numFmtId="179" fontId="11" fillId="6" borderId="45" xfId="0" applyNumberFormat="1" applyFont="1" applyFill="1" applyBorder="1" applyAlignment="1">
      <alignment horizontal="center" vertical="center" wrapText="1" readingOrder="1"/>
    </xf>
    <xf numFmtId="2" fontId="11" fillId="6" borderId="39" xfId="0" applyNumberFormat="1" applyFont="1" applyFill="1" applyBorder="1" applyAlignment="1">
      <alignment horizontal="center" vertical="center" wrapText="1" readingOrder="1"/>
    </xf>
    <xf numFmtId="2" fontId="8" fillId="6" borderId="21" xfId="0" applyNumberFormat="1" applyFont="1" applyFill="1" applyBorder="1" applyAlignment="1">
      <alignment horizontal="center" vertical="center" wrapText="1" readingOrder="1"/>
    </xf>
    <xf numFmtId="2" fontId="8" fillId="6" borderId="46" xfId="0" applyNumberFormat="1" applyFont="1" applyFill="1" applyBorder="1" applyAlignment="1">
      <alignment horizontal="center" vertical="center" wrapText="1" readingOrder="1"/>
    </xf>
    <xf numFmtId="10" fontId="8" fillId="6" borderId="33" xfId="1" applyNumberFormat="1" applyFont="1" applyFill="1" applyBorder="1" applyAlignment="1">
      <alignment horizontal="center" vertical="center" wrapText="1" readingOrder="1"/>
    </xf>
    <xf numFmtId="10" fontId="8" fillId="6" borderId="23" xfId="1" applyNumberFormat="1" applyFont="1" applyFill="1" applyBorder="1" applyAlignment="1">
      <alignment horizontal="center" vertical="center" wrapText="1" readingOrder="1"/>
    </xf>
    <xf numFmtId="0" fontId="8" fillId="0" borderId="31" xfId="0" applyFont="1" applyBorder="1" applyAlignment="1">
      <alignment horizontal="center" vertical="center" wrapText="1" readingOrder="1"/>
    </xf>
    <xf numFmtId="0" fontId="8" fillId="0" borderId="22" xfId="0" applyFont="1" applyBorder="1" applyAlignment="1">
      <alignment horizontal="center" vertical="center" wrapText="1" readingOrder="1"/>
    </xf>
    <xf numFmtId="0" fontId="8" fillId="0" borderId="18" xfId="0" applyFont="1" applyBorder="1" applyAlignment="1">
      <alignment horizontal="center" vertical="center" wrapText="1" readingOrder="1"/>
    </xf>
    <xf numFmtId="0" fontId="8" fillId="8" borderId="18" xfId="0" applyFont="1" applyFill="1" applyBorder="1" applyAlignment="1">
      <alignment horizontal="center" vertical="center" wrapText="1" readingOrder="1"/>
    </xf>
    <xf numFmtId="2" fontId="14" fillId="0" borderId="26" xfId="0" applyNumberFormat="1" applyFont="1" applyBorder="1" applyAlignment="1">
      <alignment horizontal="center" vertical="center" wrapText="1" readingOrder="1"/>
    </xf>
    <xf numFmtId="2" fontId="8" fillId="6" borderId="14" xfId="0" applyNumberFormat="1" applyFont="1" applyFill="1" applyBorder="1" applyAlignment="1">
      <alignment horizontal="center" vertical="center" wrapText="1" readingOrder="1"/>
    </xf>
    <xf numFmtId="10" fontId="8" fillId="6" borderId="50" xfId="1" applyNumberFormat="1" applyFont="1" applyFill="1" applyBorder="1" applyAlignment="1">
      <alignment horizontal="center" vertical="center" wrapText="1" readingOrder="1"/>
    </xf>
    <xf numFmtId="10" fontId="8" fillId="6" borderId="46" xfId="1" applyNumberFormat="1" applyFont="1" applyFill="1" applyBorder="1" applyAlignment="1">
      <alignment horizontal="center" vertical="center" wrapText="1" readingOrder="1"/>
    </xf>
    <xf numFmtId="177" fontId="11" fillId="6" borderId="52" xfId="0" applyNumberFormat="1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176" fontId="13" fillId="5" borderId="18" xfId="0" applyNumberFormat="1" applyFont="1" applyFill="1" applyBorder="1" applyAlignment="1">
      <alignment horizontal="center" vertical="center" wrapText="1" readingOrder="1"/>
    </xf>
    <xf numFmtId="176" fontId="8" fillId="0" borderId="20" xfId="0" applyNumberFormat="1" applyFont="1" applyBorder="1" applyAlignment="1">
      <alignment horizontal="center" vertical="center" wrapText="1" readingOrder="1"/>
    </xf>
    <xf numFmtId="2" fontId="11" fillId="0" borderId="29" xfId="0" applyNumberFormat="1" applyFont="1" applyBorder="1" applyAlignment="1">
      <alignment horizontal="center" vertical="center" wrapText="1" readingOrder="1"/>
    </xf>
    <xf numFmtId="2" fontId="11" fillId="0" borderId="20" xfId="0" applyNumberFormat="1" applyFont="1" applyBorder="1" applyAlignment="1">
      <alignment horizontal="center" vertical="center" wrapText="1" readingOrder="1"/>
    </xf>
    <xf numFmtId="179" fontId="11" fillId="3" borderId="45" xfId="0" applyNumberFormat="1" applyFont="1" applyFill="1" applyBorder="1" applyAlignment="1">
      <alignment horizontal="center" vertical="center" wrapText="1" readingOrder="1"/>
    </xf>
    <xf numFmtId="2" fontId="11" fillId="0" borderId="39" xfId="0" applyNumberFormat="1" applyFont="1" applyBorder="1" applyAlignment="1">
      <alignment horizontal="center" vertical="center" wrapText="1" readingOrder="1"/>
    </xf>
    <xf numFmtId="0" fontId="8" fillId="0" borderId="5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center" vertical="center" wrapText="1" readingOrder="1"/>
    </xf>
    <xf numFmtId="2" fontId="8" fillId="0" borderId="46" xfId="0" applyNumberFormat="1" applyFont="1" applyBorder="1" applyAlignment="1">
      <alignment horizontal="center" vertical="center" wrapText="1" readingOrder="1"/>
    </xf>
    <xf numFmtId="2" fontId="8" fillId="0" borderId="25" xfId="0" applyNumberFormat="1" applyFont="1" applyBorder="1" applyAlignment="1">
      <alignment horizontal="center" vertical="center" wrapText="1" readingOrder="1"/>
    </xf>
    <xf numFmtId="180" fontId="16" fillId="6" borderId="5" xfId="0" applyNumberFormat="1" applyFont="1" applyFill="1" applyBorder="1" applyAlignment="1">
      <alignment horizontal="center" vertical="center" wrapText="1" readingOrder="1"/>
    </xf>
    <xf numFmtId="180" fontId="17" fillId="6" borderId="28" xfId="0" applyNumberFormat="1" applyFont="1" applyFill="1" applyBorder="1" applyAlignment="1">
      <alignment horizontal="center" vertical="center" wrapText="1" readingOrder="1"/>
    </xf>
    <xf numFmtId="180" fontId="17" fillId="6" borderId="24" xfId="0" applyNumberFormat="1" applyFont="1" applyFill="1" applyBorder="1" applyAlignment="1">
      <alignment horizontal="center" vertical="center" wrapText="1" readingOrder="1"/>
    </xf>
    <xf numFmtId="180" fontId="17" fillId="6" borderId="25" xfId="0" applyNumberFormat="1" applyFont="1" applyFill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 readingOrder="1"/>
    </xf>
    <xf numFmtId="180" fontId="16" fillId="5" borderId="15" xfId="0" applyNumberFormat="1" applyFont="1" applyFill="1" applyBorder="1" applyAlignment="1">
      <alignment horizontal="center" vertical="center" wrapText="1" readingOrder="1"/>
    </xf>
    <xf numFmtId="180" fontId="17" fillId="7" borderId="34" xfId="0" applyNumberFormat="1" applyFont="1" applyFill="1" applyBorder="1" applyAlignment="1">
      <alignment horizontal="center" vertical="center" wrapText="1" readingOrder="1"/>
    </xf>
    <xf numFmtId="180" fontId="17" fillId="7" borderId="11" xfId="0" applyNumberFormat="1" applyFont="1" applyFill="1" applyBorder="1" applyAlignment="1">
      <alignment horizontal="center" vertical="center" wrapText="1" readingOrder="1"/>
    </xf>
    <xf numFmtId="180" fontId="17" fillId="7" borderId="17" xfId="0" applyNumberFormat="1" applyFont="1" applyFill="1" applyBorder="1" applyAlignment="1">
      <alignment horizontal="center" vertical="center" wrapText="1" readingOrder="1"/>
    </xf>
    <xf numFmtId="180" fontId="16" fillId="5" borderId="5" xfId="0" applyNumberFormat="1" applyFont="1" applyFill="1" applyBorder="1" applyAlignment="1">
      <alignment horizontal="center" vertical="center" wrapText="1" readingOrder="1"/>
    </xf>
    <xf numFmtId="180" fontId="17" fillId="0" borderId="28" xfId="0" applyNumberFormat="1" applyFont="1" applyBorder="1" applyAlignment="1">
      <alignment horizontal="center" vertical="center" wrapText="1" readingOrder="1"/>
    </xf>
    <xf numFmtId="180" fontId="17" fillId="0" borderId="24" xfId="0" applyNumberFormat="1" applyFont="1" applyBorder="1" applyAlignment="1">
      <alignment horizontal="center" vertical="center" wrapText="1" readingOrder="1"/>
    </xf>
    <xf numFmtId="180" fontId="17" fillId="0" borderId="25" xfId="0" applyNumberFormat="1" applyFont="1" applyBorder="1" applyAlignment="1">
      <alignment horizontal="center" vertical="center" wrapText="1" readingOrder="1"/>
    </xf>
    <xf numFmtId="180" fontId="17" fillId="0" borderId="34" xfId="0" applyNumberFormat="1" applyFont="1" applyBorder="1" applyAlignment="1">
      <alignment horizontal="center" vertical="center" wrapText="1" readingOrder="1"/>
    </xf>
    <xf numFmtId="180" fontId="17" fillId="0" borderId="11" xfId="0" applyNumberFormat="1" applyFont="1" applyBorder="1" applyAlignment="1">
      <alignment horizontal="center" vertical="center" wrapText="1" readingOrder="1"/>
    </xf>
    <xf numFmtId="180" fontId="17" fillId="0" borderId="17" xfId="0" applyNumberFormat="1" applyFont="1" applyBorder="1" applyAlignment="1">
      <alignment horizontal="center" vertical="center" wrapText="1" readingOrder="1"/>
    </xf>
    <xf numFmtId="180" fontId="16" fillId="5" borderId="45" xfId="0" applyNumberFormat="1" applyFont="1" applyFill="1" applyBorder="1" applyAlignment="1">
      <alignment horizontal="center" vertical="center" wrapText="1" readingOrder="1"/>
    </xf>
    <xf numFmtId="177" fontId="11" fillId="3" borderId="6" xfId="0" applyNumberFormat="1" applyFont="1" applyFill="1" applyBorder="1" applyAlignment="1">
      <alignment horizontal="center" vertical="center" wrapText="1" readingOrder="1"/>
    </xf>
    <xf numFmtId="0" fontId="8" fillId="5" borderId="24" xfId="0" applyFont="1" applyFill="1" applyBorder="1" applyAlignment="1">
      <alignment horizontal="center" vertical="center" wrapText="1" readingOrder="1"/>
    </xf>
    <xf numFmtId="177" fontId="11" fillId="3" borderId="52" xfId="0" applyNumberFormat="1" applyFont="1" applyFill="1" applyBorder="1" applyAlignment="1">
      <alignment horizontal="center" vertical="center" wrapText="1" readingOrder="1"/>
    </xf>
    <xf numFmtId="179" fontId="11" fillId="6" borderId="5" xfId="0" applyNumberFormat="1" applyFont="1" applyFill="1" applyBorder="1" applyAlignment="1">
      <alignment horizontal="center" vertical="center" wrapText="1" readingOrder="1"/>
    </xf>
    <xf numFmtId="2" fontId="11" fillId="6" borderId="28" xfId="0" applyNumberFormat="1" applyFont="1" applyFill="1" applyBorder="1" applyAlignment="1">
      <alignment horizontal="center" vertical="center" wrapText="1" readingOrder="1"/>
    </xf>
    <xf numFmtId="2" fontId="8" fillId="6" borderId="24" xfId="0" applyNumberFormat="1" applyFont="1" applyFill="1" applyBorder="1" applyAlignment="1">
      <alignment horizontal="center" vertical="center" wrapText="1" readingOrder="1"/>
    </xf>
    <xf numFmtId="0" fontId="8" fillId="5" borderId="14" xfId="0" applyFont="1" applyFill="1" applyBorder="1" applyAlignment="1">
      <alignment horizontal="center" vertical="center" wrapText="1" readingOrder="1"/>
    </xf>
    <xf numFmtId="2" fontId="8" fillId="6" borderId="25" xfId="0" applyNumberFormat="1" applyFont="1" applyFill="1" applyBorder="1" applyAlignment="1">
      <alignment horizontal="center" vertical="center" wrapText="1" readingOrder="1"/>
    </xf>
    <xf numFmtId="10" fontId="8" fillId="6" borderId="27" xfId="1" applyNumberFormat="1" applyFont="1" applyFill="1" applyBorder="1" applyAlignment="1">
      <alignment horizontal="center" vertical="center" wrapText="1" readingOrder="1"/>
    </xf>
    <xf numFmtId="10" fontId="8" fillId="6" borderId="25" xfId="1" applyNumberFormat="1" applyFont="1" applyFill="1" applyBorder="1" applyAlignment="1">
      <alignment horizontal="center" vertical="center" wrapText="1" readingOrder="1"/>
    </xf>
    <xf numFmtId="2" fontId="8" fillId="3" borderId="20" xfId="0" applyNumberFormat="1" applyFont="1" applyFill="1" applyBorder="1" applyAlignment="1">
      <alignment horizontal="center" vertical="center" wrapText="1" readingOrder="1"/>
    </xf>
    <xf numFmtId="2" fontId="8" fillId="0" borderId="14" xfId="0" applyNumberFormat="1" applyFont="1" applyBorder="1" applyAlignment="1">
      <alignment horizontal="center" vertical="center" wrapText="1" readingOrder="1"/>
    </xf>
    <xf numFmtId="10" fontId="8" fillId="0" borderId="50" xfId="1" applyNumberFormat="1" applyFont="1" applyFill="1" applyBorder="1" applyAlignment="1">
      <alignment horizontal="center" vertical="center" wrapText="1" readingOrder="1"/>
    </xf>
    <xf numFmtId="10" fontId="8" fillId="0" borderId="46" xfId="1" applyNumberFormat="1" applyFont="1" applyFill="1" applyBorder="1" applyAlignment="1">
      <alignment horizontal="center" vertical="center" wrapText="1" readingOrder="1"/>
    </xf>
    <xf numFmtId="2" fontId="8" fillId="0" borderId="29" xfId="0" applyNumberFormat="1" applyFont="1" applyBorder="1" applyAlignment="1">
      <alignment horizontal="center" vertical="center" wrapText="1" readingOrder="1"/>
    </xf>
    <xf numFmtId="2" fontId="8" fillId="0" borderId="41" xfId="0" applyNumberFormat="1" applyFont="1" applyBorder="1" applyAlignment="1">
      <alignment horizontal="center" vertical="center" wrapText="1" readingOrder="1"/>
    </xf>
    <xf numFmtId="0" fontId="12" fillId="0" borderId="24" xfId="0" applyFont="1" applyBorder="1" applyAlignment="1">
      <alignment horizontal="center" vertical="center" wrapText="1" readingOrder="1"/>
    </xf>
    <xf numFmtId="0" fontId="18" fillId="0" borderId="25" xfId="0" applyFont="1" applyBorder="1" applyAlignment="1">
      <alignment horizontal="center" vertical="center" wrapText="1" readingOrder="1"/>
    </xf>
    <xf numFmtId="2" fontId="11" fillId="0" borderId="24" xfId="0" applyNumberFormat="1" applyFont="1" applyBorder="1" applyAlignment="1">
      <alignment horizontal="center" vertical="center" wrapText="1" readingOrder="1"/>
    </xf>
    <xf numFmtId="2" fontId="11" fillId="0" borderId="58" xfId="0" applyNumberFormat="1" applyFont="1" applyBorder="1" applyAlignment="1">
      <alignment horizontal="center" vertical="center" wrapText="1" readingOrder="1"/>
    </xf>
    <xf numFmtId="179" fontId="8" fillId="0" borderId="27" xfId="0" applyNumberFormat="1" applyFont="1" applyBorder="1" applyAlignment="1">
      <alignment horizontal="center" vertical="center" wrapText="1" readingOrder="1"/>
    </xf>
    <xf numFmtId="179" fontId="8" fillId="0" borderId="24" xfId="0" applyNumberFormat="1" applyFont="1" applyBorder="1" applyAlignment="1">
      <alignment horizontal="center" vertical="center" wrapText="1" readingOrder="1"/>
    </xf>
    <xf numFmtId="2" fontId="8" fillId="0" borderId="24" xfId="0" applyNumberFormat="1" applyFont="1" applyBorder="1" applyAlignment="1">
      <alignment horizontal="center" vertical="center" wrapText="1" readingOrder="1"/>
    </xf>
    <xf numFmtId="10" fontId="8" fillId="0" borderId="27" xfId="1" applyNumberFormat="1" applyFont="1" applyFill="1" applyBorder="1" applyAlignment="1">
      <alignment horizontal="center" vertical="center" wrapText="1" readingOrder="1"/>
    </xf>
    <xf numFmtId="10" fontId="8" fillId="0" borderId="25" xfId="1" applyNumberFormat="1" applyFont="1" applyFill="1" applyBorder="1" applyAlignment="1">
      <alignment horizontal="center" vertical="center" wrapText="1" readingOrder="1"/>
    </xf>
    <xf numFmtId="0" fontId="18" fillId="0" borderId="20" xfId="0" applyFont="1" applyBorder="1" applyAlignment="1">
      <alignment horizontal="center" vertical="center" wrapText="1" readingOrder="1"/>
    </xf>
    <xf numFmtId="179" fontId="8" fillId="0" borderId="29" xfId="0" applyNumberFormat="1" applyFont="1" applyBorder="1" applyAlignment="1">
      <alignment horizontal="center" vertical="center" wrapText="1" readingOrder="1"/>
    </xf>
    <xf numFmtId="179" fontId="8" fillId="0" borderId="18" xfId="0" applyNumberFormat="1" applyFont="1" applyBorder="1" applyAlignment="1">
      <alignment horizontal="center" vertical="center" wrapText="1" readingOrder="1"/>
    </xf>
    <xf numFmtId="0" fontId="12" fillId="8" borderId="18" xfId="0" applyFont="1" applyFill="1" applyBorder="1" applyAlignment="1">
      <alignment horizontal="center" vertical="center" wrapText="1" readingOrder="1"/>
    </xf>
    <xf numFmtId="0" fontId="15" fillId="8" borderId="20" xfId="0" applyFont="1" applyFill="1" applyBorder="1" applyAlignment="1">
      <alignment horizontal="center" vertical="center" wrapText="1" readingOrder="1"/>
    </xf>
    <xf numFmtId="0" fontId="10" fillId="8" borderId="20" xfId="0" applyFont="1" applyFill="1" applyBorder="1" applyAlignment="1">
      <alignment horizontal="center" vertical="center" wrapText="1" readingOrder="1"/>
    </xf>
    <xf numFmtId="179" fontId="8" fillId="3" borderId="29" xfId="0" applyNumberFormat="1" applyFont="1" applyFill="1" applyBorder="1" applyAlignment="1">
      <alignment horizontal="center" vertical="center" wrapText="1" readingOrder="1"/>
    </xf>
    <xf numFmtId="179" fontId="8" fillId="3" borderId="18" xfId="0" applyNumberFormat="1" applyFont="1" applyFill="1" applyBorder="1" applyAlignment="1">
      <alignment horizontal="center" vertical="center" wrapText="1" readingOrder="1"/>
    </xf>
    <xf numFmtId="2" fontId="8" fillId="3" borderId="18" xfId="0" applyNumberFormat="1" applyFont="1" applyFill="1" applyBorder="1" applyAlignment="1">
      <alignment horizontal="center" vertical="center" wrapText="1" readingOrder="1"/>
    </xf>
    <xf numFmtId="10" fontId="8" fillId="3" borderId="29" xfId="1" applyNumberFormat="1" applyFont="1" applyFill="1" applyBorder="1" applyAlignment="1">
      <alignment horizontal="center" vertical="center" wrapText="1" readingOrder="1"/>
    </xf>
    <xf numFmtId="10" fontId="8" fillId="3" borderId="20" xfId="1" applyNumberFormat="1" applyFont="1" applyFill="1" applyBorder="1" applyAlignment="1">
      <alignment horizontal="center" vertical="center" wrapText="1" readingOrder="1"/>
    </xf>
    <xf numFmtId="0" fontId="15" fillId="5" borderId="18" xfId="0" applyFont="1" applyFill="1" applyBorder="1" applyAlignment="1">
      <alignment horizontal="center" vertical="center" wrapText="1" readingOrder="1"/>
    </xf>
    <xf numFmtId="10" fontId="8" fillId="0" borderId="44" xfId="1" applyNumberFormat="1" applyFont="1" applyFill="1" applyBorder="1" applyAlignment="1">
      <alignment horizontal="center" vertical="center" wrapText="1" readingOrder="1"/>
    </xf>
    <xf numFmtId="0" fontId="15" fillId="5" borderId="23" xfId="0" applyFont="1" applyFill="1" applyBorder="1" applyAlignment="1">
      <alignment horizontal="center" vertical="center" wrapText="1" readingOrder="1"/>
    </xf>
    <xf numFmtId="2" fontId="11" fillId="0" borderId="54" xfId="0" applyNumberFormat="1" applyFont="1" applyBorder="1" applyAlignment="1">
      <alignment horizontal="center" vertical="center" wrapText="1" readingOrder="1"/>
    </xf>
    <xf numFmtId="0" fontId="11" fillId="5" borderId="24" xfId="0" applyFont="1" applyFill="1" applyBorder="1" applyAlignment="1">
      <alignment horizontal="center" vertical="center" wrapText="1" readingOrder="1"/>
    </xf>
    <xf numFmtId="0" fontId="15" fillId="5" borderId="25" xfId="0" applyFont="1" applyFill="1" applyBorder="1" applyAlignment="1">
      <alignment horizontal="center" vertical="center" wrapText="1" readingOrder="1"/>
    </xf>
    <xf numFmtId="2" fontId="11" fillId="0" borderId="27" xfId="0" applyNumberFormat="1" applyFont="1" applyBorder="1" applyAlignment="1">
      <alignment horizontal="center" vertical="center" wrapText="1" readingOrder="1"/>
    </xf>
    <xf numFmtId="2" fontId="11" fillId="0" borderId="25" xfId="0" applyNumberFormat="1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 readingOrder="1"/>
    </xf>
    <xf numFmtId="2" fontId="14" fillId="0" borderId="18" xfId="0" applyNumberFormat="1" applyFont="1" applyBorder="1" applyAlignment="1">
      <alignment horizontal="center" vertical="center" wrapText="1" readingOrder="1"/>
    </xf>
    <xf numFmtId="2" fontId="14" fillId="0" borderId="20" xfId="0" applyNumberFormat="1" applyFont="1" applyBorder="1" applyAlignment="1">
      <alignment horizontal="center" vertical="center" wrapText="1" readingOrder="1"/>
    </xf>
    <xf numFmtId="177" fontId="8" fillId="0" borderId="18" xfId="0" applyNumberFormat="1" applyFont="1" applyBorder="1" applyAlignment="1">
      <alignment horizontal="center" vertical="center" wrapText="1" readingOrder="1"/>
    </xf>
    <xf numFmtId="2" fontId="11" fillId="6" borderId="29" xfId="0" applyNumberFormat="1" applyFont="1" applyFill="1" applyBorder="1" applyAlignment="1">
      <alignment horizontal="center" vertical="center" wrapText="1" readingOrder="1"/>
    </xf>
    <xf numFmtId="2" fontId="11" fillId="6" borderId="18" xfId="0" applyNumberFormat="1" applyFont="1" applyFill="1" applyBorder="1" applyAlignment="1">
      <alignment horizontal="center" vertical="center" wrapText="1" readingOrder="1"/>
    </xf>
    <xf numFmtId="2" fontId="11" fillId="6" borderId="20" xfId="0" applyNumberFormat="1" applyFont="1" applyFill="1" applyBorder="1" applyAlignment="1">
      <alignment horizontal="center" vertical="center" wrapText="1" readingOrder="1"/>
    </xf>
    <xf numFmtId="178" fontId="8" fillId="6" borderId="29" xfId="0" applyNumberFormat="1" applyFont="1" applyFill="1" applyBorder="1" applyAlignment="1">
      <alignment horizontal="center" vertical="center" wrapText="1" readingOrder="1"/>
    </xf>
    <xf numFmtId="178" fontId="8" fillId="6" borderId="18" xfId="0" applyNumberFormat="1" applyFont="1" applyFill="1" applyBorder="1" applyAlignment="1">
      <alignment horizontal="center" vertical="center" wrapText="1" readingOrder="1"/>
    </xf>
    <xf numFmtId="176" fontId="11" fillId="5" borderId="46" xfId="0" applyNumberFormat="1" applyFont="1" applyFill="1" applyBorder="1" applyAlignment="1">
      <alignment horizontal="center" vertical="center" wrapText="1" readingOrder="1"/>
    </xf>
    <xf numFmtId="2" fontId="11" fillId="6" borderId="50" xfId="0" applyNumberFormat="1" applyFont="1" applyFill="1" applyBorder="1" applyAlignment="1">
      <alignment horizontal="center" vertical="center" wrapText="1" readingOrder="1"/>
    </xf>
    <xf numFmtId="2" fontId="11" fillId="6" borderId="14" xfId="0" applyNumberFormat="1" applyFont="1" applyFill="1" applyBorder="1" applyAlignment="1">
      <alignment horizontal="center" vertical="center" wrapText="1" readingOrder="1"/>
    </xf>
    <xf numFmtId="2" fontId="11" fillId="6" borderId="46" xfId="0" applyNumberFormat="1" applyFont="1" applyFill="1" applyBorder="1" applyAlignment="1">
      <alignment horizontal="center" vertical="center" wrapText="1" readingOrder="1"/>
    </xf>
    <xf numFmtId="0" fontId="8" fillId="6" borderId="50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176" fontId="19" fillId="0" borderId="25" xfId="0" applyNumberFormat="1" applyFont="1" applyBorder="1" applyAlignment="1">
      <alignment horizontal="center" vertical="center" wrapText="1" readingOrder="1"/>
    </xf>
    <xf numFmtId="176" fontId="19" fillId="0" borderId="20" xfId="0" applyNumberFormat="1" applyFont="1" applyBorder="1" applyAlignment="1">
      <alignment horizontal="center" vertical="center" wrapText="1" readingOrder="1"/>
    </xf>
    <xf numFmtId="176" fontId="13" fillId="5" borderId="14" xfId="0" applyNumberFormat="1" applyFont="1" applyFill="1" applyBorder="1" applyAlignment="1">
      <alignment horizontal="center" vertical="center" wrapText="1" readingOrder="1"/>
    </xf>
    <xf numFmtId="2" fontId="11" fillId="0" borderId="14" xfId="0" applyNumberFormat="1" applyFont="1" applyBorder="1" applyAlignment="1">
      <alignment horizontal="center" vertical="center" wrapText="1" readingOrder="1"/>
    </xf>
    <xf numFmtId="2" fontId="11" fillId="0" borderId="46" xfId="0" applyNumberFormat="1" applyFont="1" applyBorder="1" applyAlignment="1">
      <alignment horizontal="center" vertical="center" wrapText="1" readingOrder="1"/>
    </xf>
    <xf numFmtId="176" fontId="8" fillId="0" borderId="24" xfId="0" applyNumberFormat="1" applyFont="1" applyBorder="1" applyAlignment="1">
      <alignment horizontal="center" vertical="center" wrapText="1" readingOrder="1"/>
    </xf>
    <xf numFmtId="176" fontId="8" fillId="0" borderId="18" xfId="0" applyNumberFormat="1" applyFont="1" applyBorder="1" applyAlignment="1">
      <alignment horizontal="center" vertical="center" wrapText="1" readingOrder="1"/>
    </xf>
    <xf numFmtId="2" fontId="11" fillId="0" borderId="50" xfId="0" applyNumberFormat="1" applyFont="1" applyBorder="1" applyAlignment="1">
      <alignment horizontal="center" vertical="center" wrapText="1" readingOrder="1"/>
    </xf>
    <xf numFmtId="176" fontId="8" fillId="0" borderId="14" xfId="0" applyNumberFormat="1" applyFont="1" applyBorder="1" applyAlignment="1">
      <alignment horizontal="center" vertical="center" wrapText="1" readingOrder="1"/>
    </xf>
    <xf numFmtId="180" fontId="17" fillId="0" borderId="57" xfId="0" applyNumberFormat="1" applyFont="1" applyBorder="1" applyAlignment="1">
      <alignment horizontal="center" vertical="center" wrapText="1" readingOrder="1"/>
    </xf>
    <xf numFmtId="180" fontId="17" fillId="0" borderId="13" xfId="0" applyNumberFormat="1" applyFont="1" applyBorder="1" applyAlignment="1">
      <alignment horizontal="center" vertical="center" wrapText="1" readingOrder="1"/>
    </xf>
    <xf numFmtId="180" fontId="17" fillId="0" borderId="30" xfId="0" applyNumberFormat="1" applyFont="1" applyBorder="1" applyAlignment="1">
      <alignment horizontal="center" vertical="center" wrapText="1" readingOrder="1"/>
    </xf>
    <xf numFmtId="176" fontId="13" fillId="5" borderId="24" xfId="0" applyNumberFormat="1" applyFont="1" applyFill="1" applyBorder="1" applyAlignment="1">
      <alignment horizontal="center" vertical="center" wrapText="1" readingOrder="1"/>
    </xf>
    <xf numFmtId="2" fontId="11" fillId="6" borderId="24" xfId="0" applyNumberFormat="1" applyFont="1" applyFill="1" applyBorder="1" applyAlignment="1">
      <alignment horizontal="center" vertical="center" wrapText="1" readingOrder="1"/>
    </xf>
    <xf numFmtId="2" fontId="11" fillId="6" borderId="25" xfId="0" applyNumberFormat="1" applyFont="1" applyFill="1" applyBorder="1" applyAlignment="1">
      <alignment horizontal="center" vertical="center" wrapText="1" readingOrder="1"/>
    </xf>
    <xf numFmtId="0" fontId="8" fillId="6" borderId="27" xfId="0" applyFont="1" applyFill="1" applyBorder="1" applyAlignment="1">
      <alignment horizontal="center" vertical="center" wrapText="1" readingOrder="1"/>
    </xf>
    <xf numFmtId="0" fontId="8" fillId="8" borderId="24" xfId="0" applyFont="1" applyFill="1" applyBorder="1" applyAlignment="1">
      <alignment horizontal="center" vertical="center" wrapText="1" readingOrder="1"/>
    </xf>
    <xf numFmtId="180" fontId="17" fillId="6" borderId="39" xfId="0" applyNumberFormat="1" applyFont="1" applyFill="1" applyBorder="1" applyAlignment="1">
      <alignment horizontal="center" vertical="center" wrapText="1" readingOrder="1"/>
    </xf>
    <xf numFmtId="180" fontId="17" fillId="6" borderId="14" xfId="0" applyNumberFormat="1" applyFont="1" applyFill="1" applyBorder="1" applyAlignment="1">
      <alignment horizontal="center" vertical="center" wrapText="1" readingOrder="1"/>
    </xf>
    <xf numFmtId="180" fontId="17" fillId="6" borderId="46" xfId="0" applyNumberFormat="1" applyFont="1" applyFill="1" applyBorder="1" applyAlignment="1">
      <alignment horizontal="center" vertical="center" wrapText="1" readingOrder="1"/>
    </xf>
    <xf numFmtId="0" fontId="8" fillId="0" borderId="59" xfId="0" applyFont="1" applyBorder="1" applyAlignment="1">
      <alignment horizontal="center" vertical="center" wrapText="1" readingOrder="1"/>
    </xf>
    <xf numFmtId="0" fontId="7" fillId="0" borderId="60" xfId="0" applyFont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 wrapText="1" readingOrder="1"/>
    </xf>
    <xf numFmtId="2" fontId="8" fillId="6" borderId="48" xfId="0" applyNumberFormat="1" applyFont="1" applyFill="1" applyBorder="1" applyAlignment="1">
      <alignment horizontal="center" vertical="center" wrapText="1" readingOrder="1"/>
    </xf>
    <xf numFmtId="10" fontId="8" fillId="6" borderId="47" xfId="1" applyNumberFormat="1" applyFont="1" applyFill="1" applyBorder="1" applyAlignment="1">
      <alignment horizontal="center" vertical="center" wrapText="1" readingOrder="1"/>
    </xf>
    <xf numFmtId="10" fontId="8" fillId="6" borderId="49" xfId="1" applyNumberFormat="1" applyFont="1" applyFill="1" applyBorder="1" applyAlignment="1">
      <alignment horizontal="center" vertical="center" wrapText="1" readingOrder="1"/>
    </xf>
    <xf numFmtId="180" fontId="17" fillId="6" borderId="56" xfId="0" applyNumberFormat="1" applyFont="1" applyFill="1" applyBorder="1" applyAlignment="1">
      <alignment horizontal="center" vertical="center" wrapText="1" readingOrder="1"/>
    </xf>
    <xf numFmtId="180" fontId="17" fillId="6" borderId="8" xfId="0" applyNumberFormat="1" applyFont="1" applyFill="1" applyBorder="1" applyAlignment="1">
      <alignment horizontal="center" vertical="center" wrapText="1" readingOrder="1"/>
    </xf>
    <xf numFmtId="180" fontId="17" fillId="6" borderId="12" xfId="0" applyNumberFormat="1" applyFont="1" applyFill="1" applyBorder="1" applyAlignment="1">
      <alignment horizontal="center" vertical="center" wrapText="1" readingOrder="1"/>
    </xf>
    <xf numFmtId="0" fontId="20" fillId="0" borderId="20" xfId="0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21" fillId="9" borderId="18" xfId="0" applyFont="1" applyFill="1" applyBorder="1" applyAlignment="1">
      <alignment horizontal="center" vertical="center" wrapText="1" readingOrder="1"/>
    </xf>
    <xf numFmtId="0" fontId="22" fillId="9" borderId="20" xfId="0" applyFont="1" applyFill="1" applyBorder="1" applyAlignment="1">
      <alignment horizontal="center" vertical="center" wrapText="1" readingOrder="1"/>
    </xf>
    <xf numFmtId="180" fontId="17" fillId="0" borderId="61" xfId="0" applyNumberFormat="1" applyFont="1" applyBorder="1" applyAlignment="1">
      <alignment horizontal="center" vertical="center" wrapText="1" readingOrder="1"/>
    </xf>
    <xf numFmtId="180" fontId="17" fillId="0" borderId="48" xfId="0" applyNumberFormat="1" applyFont="1" applyBorder="1" applyAlignment="1">
      <alignment horizontal="center" vertical="center" wrapText="1" readingOrder="1"/>
    </xf>
    <xf numFmtId="180" fontId="17" fillId="0" borderId="49" xfId="0" applyNumberFormat="1" applyFont="1" applyBorder="1" applyAlignment="1">
      <alignment horizontal="center" vertical="center" wrapText="1" readingOrder="1"/>
    </xf>
    <xf numFmtId="180" fontId="16" fillId="0" borderId="15" xfId="0" applyNumberFormat="1" applyFont="1" applyBorder="1" applyAlignment="1">
      <alignment horizontal="center" vertical="center" wrapText="1" readingOrder="1"/>
    </xf>
    <xf numFmtId="2" fontId="13" fillId="0" borderId="39" xfId="0" applyNumberFormat="1" applyFont="1" applyBorder="1" applyAlignment="1">
      <alignment horizontal="center" vertical="center" wrapText="1" readingOrder="1"/>
    </xf>
    <xf numFmtId="2" fontId="13" fillId="0" borderId="36" xfId="0" applyNumberFormat="1" applyFont="1" applyBorder="1" applyAlignment="1">
      <alignment horizontal="center" vertical="center" wrapText="1" readingOrder="1"/>
    </xf>
    <xf numFmtId="2" fontId="13" fillId="0" borderId="26" xfId="0" applyNumberFormat="1" applyFont="1" applyBorder="1" applyAlignment="1">
      <alignment horizontal="center" vertical="center" wrapText="1" readingOrder="1"/>
    </xf>
    <xf numFmtId="182" fontId="11" fillId="3" borderId="15" xfId="0" applyNumberFormat="1" applyFont="1" applyFill="1" applyBorder="1" applyAlignment="1">
      <alignment horizontal="center" vertical="center" wrapText="1" readingOrder="1"/>
    </xf>
    <xf numFmtId="0" fontId="20" fillId="0" borderId="12" xfId="0" applyFont="1" applyBorder="1" applyAlignment="1">
      <alignment horizontal="center" vertical="center" wrapText="1" readingOrder="1"/>
    </xf>
    <xf numFmtId="0" fontId="20" fillId="0" borderId="25" xfId="0" applyFont="1" applyBorder="1" applyAlignment="1">
      <alignment horizontal="center" vertical="center" wrapText="1" readingOrder="1"/>
    </xf>
    <xf numFmtId="176" fontId="20" fillId="0" borderId="18" xfId="0" applyNumberFormat="1" applyFont="1" applyBorder="1" applyAlignment="1">
      <alignment horizontal="center" vertical="center" wrapText="1" readingOrder="1"/>
    </xf>
    <xf numFmtId="176" fontId="20" fillId="0" borderId="14" xfId="0" applyNumberFormat="1" applyFont="1" applyBorder="1" applyAlignment="1">
      <alignment horizontal="center" vertical="center" wrapText="1" readingOrder="1"/>
    </xf>
    <xf numFmtId="0" fontId="8" fillId="0" borderId="48" xfId="0" applyFont="1" applyBorder="1" applyAlignment="1">
      <alignment horizontal="center" vertical="center" wrapText="1" readingOrder="1"/>
    </xf>
    <xf numFmtId="0" fontId="24" fillId="0" borderId="0" xfId="0" applyFont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 readingOrder="1"/>
    </xf>
    <xf numFmtId="0" fontId="22" fillId="9" borderId="25" xfId="0" applyFont="1" applyFill="1" applyBorder="1" applyAlignment="1">
      <alignment horizontal="center" vertical="center" wrapText="1" readingOrder="1"/>
    </xf>
    <xf numFmtId="0" fontId="22" fillId="9" borderId="17" xfId="0" applyFont="1" applyFill="1" applyBorder="1" applyAlignment="1">
      <alignment horizontal="center" vertical="center" wrapText="1" readingOrder="1"/>
    </xf>
    <xf numFmtId="176" fontId="8" fillId="0" borderId="21" xfId="0" applyNumberFormat="1" applyFont="1" applyBorder="1" applyAlignment="1">
      <alignment horizontal="center" vertical="center" wrapText="1" readingOrder="1"/>
    </xf>
    <xf numFmtId="176" fontId="20" fillId="0" borderId="48" xfId="0" applyNumberFormat="1" applyFont="1" applyBorder="1" applyAlignment="1">
      <alignment horizontal="center" vertical="center" wrapText="1" readingOrder="1"/>
    </xf>
    <xf numFmtId="182" fontId="11" fillId="3" borderId="10" xfId="0" applyNumberFormat="1" applyFont="1" applyFill="1" applyBorder="1" applyAlignment="1">
      <alignment horizontal="center" vertical="center" wrapText="1" readingOrder="1"/>
    </xf>
    <xf numFmtId="2" fontId="11" fillId="0" borderId="23" xfId="0" applyNumberFormat="1" applyFont="1" applyBorder="1" applyAlignment="1">
      <alignment horizontal="center" vertical="center" wrapText="1" readingOrder="1"/>
    </xf>
    <xf numFmtId="0" fontId="8" fillId="6" borderId="33" xfId="0" applyFont="1" applyFill="1" applyBorder="1" applyAlignment="1">
      <alignment horizontal="center" vertical="center" wrapText="1" readingOrder="1"/>
    </xf>
    <xf numFmtId="0" fontId="8" fillId="6" borderId="21" xfId="0" applyFont="1" applyFill="1" applyBorder="1" applyAlignment="1">
      <alignment horizontal="center" vertical="center" wrapText="1" readingOrder="1"/>
    </xf>
    <xf numFmtId="2" fontId="13" fillId="0" borderId="34" xfId="0" applyNumberFormat="1" applyFont="1" applyBorder="1" applyAlignment="1">
      <alignment horizontal="center" vertical="center" wrapText="1" readingOrder="1"/>
    </xf>
    <xf numFmtId="2" fontId="11" fillId="0" borderId="11" xfId="0" applyNumberFormat="1" applyFont="1" applyBorder="1" applyAlignment="1">
      <alignment horizontal="center" vertical="center" wrapText="1" readingOrder="1"/>
    </xf>
    <xf numFmtId="2" fontId="11" fillId="0" borderId="17" xfId="0" applyNumberFormat="1" applyFont="1" applyBorder="1" applyAlignment="1">
      <alignment horizontal="center" vertical="center" wrapText="1" readingOrder="1"/>
    </xf>
    <xf numFmtId="182" fontId="11" fillId="3" borderId="5" xfId="0" applyNumberFormat="1" applyFont="1" applyFill="1" applyBorder="1" applyAlignment="1">
      <alignment horizontal="center" vertical="center" wrapText="1" readingOrder="1"/>
    </xf>
    <xf numFmtId="2" fontId="13" fillId="0" borderId="28" xfId="0" applyNumberFormat="1" applyFont="1" applyBorder="1" applyAlignment="1">
      <alignment horizontal="center" vertical="center" wrapText="1" readingOrder="1"/>
    </xf>
    <xf numFmtId="182" fontId="11" fillId="3" borderId="67" xfId="0" applyNumberFormat="1" applyFont="1" applyFill="1" applyBorder="1" applyAlignment="1">
      <alignment horizontal="center" vertical="center" wrapText="1" readingOrder="1"/>
    </xf>
    <xf numFmtId="180" fontId="16" fillId="0" borderId="5" xfId="0" applyNumberFormat="1" applyFont="1" applyBorder="1" applyAlignment="1">
      <alignment horizontal="center" vertical="center" wrapText="1" readingOrder="1"/>
    </xf>
    <xf numFmtId="180" fontId="16" fillId="0" borderId="10" xfId="0" applyNumberFormat="1" applyFont="1" applyBorder="1" applyAlignment="1">
      <alignment horizontal="center" vertical="center" wrapText="1" readingOrder="1"/>
    </xf>
    <xf numFmtId="180" fontId="16" fillId="0" borderId="67" xfId="0" applyNumberFormat="1" applyFont="1" applyBorder="1" applyAlignment="1">
      <alignment horizontal="center" vertical="center" wrapText="1" readingOrder="1"/>
    </xf>
    <xf numFmtId="180" fontId="16" fillId="0" borderId="45" xfId="0" applyNumberFormat="1" applyFont="1" applyBorder="1" applyAlignment="1">
      <alignment horizontal="center" vertical="center" wrapText="1" readingOrder="1"/>
    </xf>
    <xf numFmtId="180" fontId="16" fillId="0" borderId="59" xfId="0" applyNumberFormat="1" applyFont="1" applyBorder="1" applyAlignment="1">
      <alignment horizontal="center" vertical="center" wrapText="1" readingOrder="1"/>
    </xf>
    <xf numFmtId="0" fontId="5" fillId="2" borderId="21" xfId="0" applyFont="1" applyFill="1" applyBorder="1" applyAlignment="1">
      <alignment horizontal="center" vertical="center" wrapText="1" readingOrder="1"/>
    </xf>
    <xf numFmtId="10" fontId="8" fillId="0" borderId="58" xfId="1" applyNumberFormat="1" applyFont="1" applyFill="1" applyBorder="1" applyAlignment="1">
      <alignment horizontal="center" vertical="center" wrapText="1" readingOrder="1"/>
    </xf>
    <xf numFmtId="0" fontId="8" fillId="0" borderId="52" xfId="0" applyFont="1" applyBorder="1" applyAlignment="1">
      <alignment horizontal="center" vertical="center" wrapText="1" readingOrder="1"/>
    </xf>
    <xf numFmtId="2" fontId="23" fillId="0" borderId="27" xfId="0" applyNumberFormat="1" applyFont="1" applyBorder="1" applyAlignment="1">
      <alignment horizontal="center" vertical="center" wrapText="1"/>
    </xf>
    <xf numFmtId="2" fontId="23" fillId="0" borderId="28" xfId="0" applyNumberFormat="1" applyFont="1" applyBorder="1" applyAlignment="1">
      <alignment horizontal="center" vertical="center" wrapText="1"/>
    </xf>
    <xf numFmtId="2" fontId="23" fillId="0" borderId="27" xfId="0" applyNumberFormat="1" applyFont="1" applyBorder="1" applyAlignment="1">
      <alignment horizontal="center" vertical="center"/>
    </xf>
    <xf numFmtId="2" fontId="23" fillId="0" borderId="25" xfId="0" applyNumberFormat="1" applyFont="1" applyBorder="1" applyAlignment="1">
      <alignment horizontal="center" vertical="center"/>
    </xf>
    <xf numFmtId="10" fontId="8" fillId="0" borderId="1" xfId="1" applyNumberFormat="1" applyFont="1" applyFill="1" applyBorder="1" applyAlignment="1">
      <alignment horizontal="center" vertical="center" wrapText="1" readingOrder="1"/>
    </xf>
    <xf numFmtId="2" fontId="23" fillId="0" borderId="29" xfId="0" applyNumberFormat="1" applyFont="1" applyBorder="1" applyAlignment="1">
      <alignment horizontal="center" vertical="center" wrapText="1"/>
    </xf>
    <xf numFmtId="2" fontId="23" fillId="0" borderId="26" xfId="0" applyNumberFormat="1" applyFont="1" applyBorder="1" applyAlignment="1">
      <alignment horizontal="center" vertical="center" wrapText="1"/>
    </xf>
    <xf numFmtId="2" fontId="23" fillId="0" borderId="29" xfId="0" applyNumberFormat="1" applyFont="1" applyBorder="1" applyAlignment="1">
      <alignment horizontal="center" vertical="center"/>
    </xf>
    <xf numFmtId="2" fontId="23" fillId="0" borderId="20" xfId="0" applyNumberFormat="1" applyFont="1" applyBorder="1" applyAlignment="1">
      <alignment horizontal="center" vertical="center"/>
    </xf>
    <xf numFmtId="2" fontId="8" fillId="0" borderId="50" xfId="0" applyNumberFormat="1" applyFont="1" applyBorder="1" applyAlignment="1">
      <alignment horizontal="center" vertical="center"/>
    </xf>
    <xf numFmtId="2" fontId="8" fillId="0" borderId="39" xfId="0" applyNumberFormat="1" applyFont="1" applyBorder="1" applyAlignment="1">
      <alignment horizontal="center" vertical="center"/>
    </xf>
    <xf numFmtId="2" fontId="8" fillId="0" borderId="46" xfId="0" applyNumberFormat="1" applyFont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 wrapText="1" readingOrder="1"/>
    </xf>
    <xf numFmtId="0" fontId="8" fillId="0" borderId="15" xfId="0" applyFont="1" applyBorder="1" applyAlignment="1">
      <alignment horizontal="center" vertical="center" wrapText="1" readingOrder="1"/>
    </xf>
    <xf numFmtId="0" fontId="8" fillId="0" borderId="67" xfId="0" applyFont="1" applyBorder="1" applyAlignment="1">
      <alignment horizontal="center" vertical="center" wrapText="1" readingOrder="1"/>
    </xf>
    <xf numFmtId="0" fontId="8" fillId="11" borderId="50" xfId="0" applyFont="1" applyFill="1" applyBorder="1" applyAlignment="1">
      <alignment horizontal="center" vertical="center" wrapText="1" readingOrder="1"/>
    </xf>
    <xf numFmtId="0" fontId="8" fillId="11" borderId="14" xfId="0" applyFont="1" applyFill="1" applyBorder="1" applyAlignment="1">
      <alignment horizontal="center" vertical="center" wrapText="1" readingOrder="1"/>
    </xf>
    <xf numFmtId="2" fontId="8" fillId="11" borderId="14" xfId="0" applyNumberFormat="1" applyFont="1" applyFill="1" applyBorder="1" applyAlignment="1">
      <alignment horizontal="center" vertical="center" wrapText="1" readingOrder="1"/>
    </xf>
    <xf numFmtId="10" fontId="8" fillId="11" borderId="50" xfId="1" applyNumberFormat="1" applyFont="1" applyFill="1" applyBorder="1" applyAlignment="1">
      <alignment horizontal="center" vertical="center" wrapText="1" readingOrder="1"/>
    </xf>
    <xf numFmtId="10" fontId="8" fillId="11" borderId="46" xfId="1" applyNumberFormat="1" applyFont="1" applyFill="1" applyBorder="1" applyAlignment="1">
      <alignment horizontal="center" vertical="center" wrapText="1" readingOrder="1"/>
    </xf>
    <xf numFmtId="0" fontId="8" fillId="6" borderId="48" xfId="0" applyFont="1" applyFill="1" applyBorder="1" applyAlignment="1">
      <alignment horizontal="center" vertical="center" wrapText="1" readingOrder="1"/>
    </xf>
    <xf numFmtId="182" fontId="11" fillId="3" borderId="59" xfId="0" applyNumberFormat="1" applyFont="1" applyFill="1" applyBorder="1" applyAlignment="1">
      <alignment horizontal="center" vertical="center" wrapText="1" readingOrder="1"/>
    </xf>
    <xf numFmtId="2" fontId="13" fillId="0" borderId="61" xfId="0" applyNumberFormat="1" applyFont="1" applyBorder="1" applyAlignment="1">
      <alignment horizontal="center" vertical="center" wrapText="1" readingOrder="1"/>
    </xf>
    <xf numFmtId="2" fontId="11" fillId="0" borderId="48" xfId="0" applyNumberFormat="1" applyFont="1" applyBorder="1" applyAlignment="1">
      <alignment horizontal="center" vertical="center" wrapText="1" readingOrder="1"/>
    </xf>
    <xf numFmtId="2" fontId="11" fillId="0" borderId="49" xfId="0" applyNumberFormat="1" applyFont="1" applyBorder="1" applyAlignment="1">
      <alignment horizontal="center" vertical="center" wrapText="1" readingOrder="1"/>
    </xf>
    <xf numFmtId="0" fontId="8" fillId="6" borderId="62" xfId="0" applyFont="1" applyFill="1" applyBorder="1" applyAlignment="1">
      <alignment horizontal="center" vertical="center" wrapText="1" readingOrder="1"/>
    </xf>
    <xf numFmtId="2" fontId="8" fillId="6" borderId="11" xfId="0" applyNumberFormat="1" applyFont="1" applyFill="1" applyBorder="1" applyAlignment="1">
      <alignment horizontal="center" vertical="center" wrapText="1" readingOrder="1"/>
    </xf>
    <xf numFmtId="10" fontId="8" fillId="6" borderId="62" xfId="1" applyNumberFormat="1" applyFont="1" applyFill="1" applyBorder="1" applyAlignment="1">
      <alignment horizontal="center" vertical="center" wrapText="1" readingOrder="1"/>
    </xf>
    <xf numFmtId="10" fontId="8" fillId="6" borderId="17" xfId="1" applyNumberFormat="1" applyFont="1" applyFill="1" applyBorder="1" applyAlignment="1">
      <alignment horizontal="center" vertical="center" wrapText="1" readingOrder="1"/>
    </xf>
    <xf numFmtId="2" fontId="8" fillId="0" borderId="27" xfId="0" applyNumberFormat="1" applyFont="1" applyBorder="1" applyAlignment="1">
      <alignment horizontal="center" vertical="center" wrapText="1" readingOrder="1"/>
    </xf>
    <xf numFmtId="180" fontId="17" fillId="6" borderId="57" xfId="0" applyNumberFormat="1" applyFont="1" applyFill="1" applyBorder="1" applyAlignment="1">
      <alignment horizontal="center" vertical="center" wrapText="1" readingOrder="1"/>
    </xf>
    <xf numFmtId="180" fontId="17" fillId="6" borderId="13" xfId="0" applyNumberFormat="1" applyFont="1" applyFill="1" applyBorder="1" applyAlignment="1">
      <alignment horizontal="center" vertical="center" wrapText="1" readingOrder="1"/>
    </xf>
    <xf numFmtId="180" fontId="17" fillId="6" borderId="30" xfId="0" applyNumberFormat="1" applyFont="1" applyFill="1" applyBorder="1" applyAlignment="1">
      <alignment horizontal="center" vertical="center" wrapText="1" readingOrder="1"/>
    </xf>
    <xf numFmtId="179" fontId="8" fillId="0" borderId="40" xfId="0" applyNumberFormat="1" applyFont="1" applyBorder="1" applyAlignment="1">
      <alignment horizontal="center" vertical="center" wrapText="1" readingOrder="1"/>
    </xf>
    <xf numFmtId="179" fontId="8" fillId="0" borderId="41" xfId="0" applyNumberFormat="1" applyFont="1" applyBorder="1" applyAlignment="1">
      <alignment horizontal="center" vertical="center" wrapText="1" readingOrder="1"/>
    </xf>
    <xf numFmtId="179" fontId="8" fillId="0" borderId="21" xfId="0" applyNumberFormat="1" applyFont="1" applyBorder="1" applyAlignment="1">
      <alignment horizontal="center" vertical="center" wrapText="1" readingOrder="1"/>
    </xf>
    <xf numFmtId="176" fontId="8" fillId="8" borderId="25" xfId="0" applyNumberFormat="1" applyFont="1" applyFill="1" applyBorder="1" applyAlignment="1">
      <alignment horizontal="center" vertical="center" wrapText="1" readingOrder="1"/>
    </xf>
    <xf numFmtId="176" fontId="8" fillId="8" borderId="20" xfId="0" applyNumberFormat="1" applyFont="1" applyFill="1" applyBorder="1" applyAlignment="1">
      <alignment horizontal="center" vertical="center" wrapText="1" readingOrder="1"/>
    </xf>
    <xf numFmtId="0" fontId="22" fillId="9" borderId="18" xfId="0" applyFont="1" applyFill="1" applyBorder="1" applyAlignment="1">
      <alignment horizontal="center" vertical="center" wrapText="1" readingOrder="1"/>
    </xf>
    <xf numFmtId="176" fontId="22" fillId="9" borderId="18" xfId="0" applyNumberFormat="1" applyFont="1" applyFill="1" applyBorder="1" applyAlignment="1">
      <alignment horizontal="center" vertical="center" wrapText="1" readingOrder="1"/>
    </xf>
    <xf numFmtId="183" fontId="8" fillId="0" borderId="29" xfId="0" applyNumberFormat="1" applyFont="1" applyBorder="1" applyAlignment="1">
      <alignment horizontal="center" vertical="center" wrapText="1" readingOrder="1"/>
    </xf>
    <xf numFmtId="183" fontId="8" fillId="0" borderId="18" xfId="0" applyNumberFormat="1" applyFont="1" applyBorder="1" applyAlignment="1">
      <alignment horizontal="center" vertical="center" wrapText="1" readingOrder="1"/>
    </xf>
    <xf numFmtId="0" fontId="7" fillId="0" borderId="0" xfId="0" applyFont="1" applyAlignment="1">
      <alignment horizontal="left"/>
    </xf>
    <xf numFmtId="181" fontId="7" fillId="0" borderId="0" xfId="0" applyNumberFormat="1" applyFont="1" applyAlignment="1">
      <alignment horizontal="left"/>
    </xf>
    <xf numFmtId="0" fontId="7" fillId="0" borderId="0" xfId="3" applyFont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 readingOrder="1"/>
    </xf>
    <xf numFmtId="0" fontId="8" fillId="0" borderId="11" xfId="0" applyFont="1" applyBorder="1" applyAlignment="1">
      <alignment horizontal="center" vertical="center" wrapText="1" readingOrder="1"/>
    </xf>
    <xf numFmtId="176" fontId="20" fillId="0" borderId="11" xfId="0" applyNumberFormat="1" applyFont="1" applyBorder="1" applyAlignment="1">
      <alignment horizontal="center" vertical="center" wrapText="1" readingOrder="1"/>
    </xf>
    <xf numFmtId="176" fontId="20" fillId="0" borderId="21" xfId="0" applyNumberFormat="1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14" fontId="12" fillId="0" borderId="43" xfId="0" applyNumberFormat="1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7" xfId="0" applyFont="1" applyFill="1" applyBorder="1" applyAlignment="1">
      <alignment horizontal="center" vertical="center" wrapText="1" readingOrder="1"/>
    </xf>
    <xf numFmtId="0" fontId="25" fillId="2" borderId="2" xfId="0" applyFont="1" applyFill="1" applyBorder="1" applyAlignment="1">
      <alignment horizontal="center" vertical="center" wrapText="1" readingOrder="1"/>
    </xf>
    <xf numFmtId="0" fontId="25" fillId="2" borderId="8" xfId="0" applyFont="1" applyFill="1" applyBorder="1" applyAlignment="1">
      <alignment horizontal="center" vertical="center" wrapText="1" readingOrder="1"/>
    </xf>
    <xf numFmtId="0" fontId="25" fillId="2" borderId="3" xfId="0" applyFont="1" applyFill="1" applyBorder="1" applyAlignment="1">
      <alignment horizontal="center" vertical="center" wrapText="1" readingOrder="1"/>
    </xf>
    <xf numFmtId="0" fontId="25" fillId="2" borderId="9" xfId="0" applyFont="1" applyFill="1" applyBorder="1" applyAlignment="1">
      <alignment horizontal="center" vertical="center" wrapText="1" readingOrder="1"/>
    </xf>
    <xf numFmtId="0" fontId="5" fillId="3" borderId="4" xfId="0" applyFont="1" applyFill="1" applyBorder="1" applyAlignment="1">
      <alignment horizontal="center" vertical="center" wrapText="1" readingOrder="1"/>
    </xf>
    <xf numFmtId="0" fontId="5" fillId="3" borderId="10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readingOrder="1"/>
    </xf>
    <xf numFmtId="0" fontId="8" fillId="0" borderId="7" xfId="0" applyFont="1" applyBorder="1" applyAlignment="1">
      <alignment horizontal="center" vertical="center" readingOrder="1"/>
    </xf>
    <xf numFmtId="0" fontId="8" fillId="0" borderId="42" xfId="0" applyFont="1" applyBorder="1" applyAlignment="1">
      <alignment horizontal="center" vertical="center" readingOrder="1"/>
    </xf>
    <xf numFmtId="0" fontId="6" fillId="2" borderId="32" xfId="0" applyFont="1" applyFill="1" applyBorder="1" applyAlignment="1">
      <alignment horizontal="center" vertical="center" wrapText="1" readingOrder="1"/>
    </xf>
    <xf numFmtId="0" fontId="6" fillId="2" borderId="37" xfId="0" applyFont="1" applyFill="1" applyBorder="1" applyAlignment="1">
      <alignment horizontal="center" vertical="center" wrapText="1" readingOrder="1"/>
    </xf>
    <xf numFmtId="0" fontId="6" fillId="2" borderId="65" xfId="0" applyFont="1" applyFill="1" applyBorder="1" applyAlignment="1">
      <alignment horizontal="center" vertical="center" wrapText="1" readingOrder="1"/>
    </xf>
    <xf numFmtId="0" fontId="5" fillId="2" borderId="62" xfId="0" applyFont="1" applyFill="1" applyBorder="1" applyAlignment="1">
      <alignment horizontal="center" vertical="center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5" fillId="5" borderId="5" xfId="0" applyFont="1" applyFill="1" applyBorder="1" applyAlignment="1">
      <alignment horizontal="center" vertical="center" wrapText="1" readingOrder="1"/>
    </xf>
    <xf numFmtId="0" fontId="5" fillId="5" borderId="44" xfId="0" applyFont="1" applyFill="1" applyBorder="1" applyAlignment="1">
      <alignment horizontal="center" vertical="center" wrapText="1" readingOrder="1"/>
    </xf>
    <xf numFmtId="0" fontId="5" fillId="2" borderId="28" xfId="0" applyFont="1" applyFill="1" applyBorder="1" applyAlignment="1">
      <alignment horizontal="center" vertical="center" wrapText="1" readingOrder="1"/>
    </xf>
    <xf numFmtId="0" fontId="5" fillId="2" borderId="26" xfId="0" applyFont="1" applyFill="1" applyBorder="1" applyAlignment="1">
      <alignment horizontal="center" vertical="center" wrapText="1" readingOrder="1"/>
    </xf>
    <xf numFmtId="0" fontId="5" fillId="2" borderId="24" xfId="0" applyFont="1" applyFill="1" applyBorder="1" applyAlignment="1">
      <alignment horizontal="center" vertical="center" wrapText="1" readingOrder="1"/>
    </xf>
    <xf numFmtId="0" fontId="5" fillId="2" borderId="18" xfId="0" applyFont="1" applyFill="1" applyBorder="1" applyAlignment="1">
      <alignment horizontal="center" vertical="center" wrapText="1" readingOrder="1"/>
    </xf>
    <xf numFmtId="0" fontId="5" fillId="2" borderId="25" xfId="0" applyFont="1" applyFill="1" applyBorder="1" applyAlignment="1">
      <alignment horizontal="center" vertical="center" wrapText="1" readingOrder="1"/>
    </xf>
    <xf numFmtId="0" fontId="5" fillId="2" borderId="20" xfId="0" applyFont="1" applyFill="1" applyBorder="1" applyAlignment="1">
      <alignment horizontal="center" vertical="center" wrapText="1" readingOrder="1"/>
    </xf>
    <xf numFmtId="0" fontId="5" fillId="2" borderId="53" xfId="0" applyFont="1" applyFill="1" applyBorder="1" applyAlignment="1">
      <alignment horizontal="center" vertical="center" wrapText="1" readingOrder="1"/>
    </xf>
    <xf numFmtId="0" fontId="5" fillId="10" borderId="64" xfId="0" applyFont="1" applyFill="1" applyBorder="1" applyAlignment="1">
      <alignment horizontal="center" vertical="center" wrapText="1" readingOrder="1"/>
    </xf>
    <xf numFmtId="0" fontId="5" fillId="10" borderId="12" xfId="0" applyFont="1" applyFill="1" applyBorder="1" applyAlignment="1">
      <alignment horizontal="center" vertical="center" wrapText="1" readingOrder="1"/>
    </xf>
    <xf numFmtId="0" fontId="5" fillId="10" borderId="3" xfId="0" applyFont="1" applyFill="1" applyBorder="1" applyAlignment="1">
      <alignment horizontal="center" vertical="center" wrapText="1" readingOrder="1"/>
    </xf>
    <xf numFmtId="0" fontId="5" fillId="10" borderId="9" xfId="0" applyFont="1" applyFill="1" applyBorder="1" applyAlignment="1">
      <alignment horizontal="center" vertical="center" wrapText="1" readingOrder="1"/>
    </xf>
    <xf numFmtId="0" fontId="5" fillId="5" borderId="32" xfId="0" applyFont="1" applyFill="1" applyBorder="1" applyAlignment="1">
      <alignment horizontal="center" vertical="center" wrapText="1" readingOrder="1"/>
    </xf>
    <xf numFmtId="0" fontId="5" fillId="5" borderId="0" xfId="0" applyFont="1" applyFill="1" applyAlignment="1">
      <alignment horizontal="center" vertical="center" wrapText="1" readingOrder="1"/>
    </xf>
    <xf numFmtId="0" fontId="5" fillId="2" borderId="66" xfId="0" applyFont="1" applyFill="1" applyBorder="1" applyAlignment="1">
      <alignment horizontal="center" vertical="center" wrapText="1" readingOrder="1"/>
    </xf>
    <xf numFmtId="0" fontId="5" fillId="2" borderId="55" xfId="0" applyFont="1" applyFill="1" applyBorder="1" applyAlignment="1">
      <alignment horizontal="center" vertical="center" wrapText="1" readingOrder="1"/>
    </xf>
    <xf numFmtId="0" fontId="5" fillId="2" borderId="63" xfId="0" applyFont="1" applyFill="1" applyBorder="1" applyAlignment="1">
      <alignment horizontal="center" vertical="center" wrapText="1" readingOrder="1"/>
    </xf>
    <xf numFmtId="0" fontId="5" fillId="2" borderId="35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4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9" xfId="0" applyFont="1" applyFill="1" applyBorder="1" applyAlignment="1">
      <alignment horizontal="center" vertical="center" wrapText="1" readingOrder="1"/>
    </xf>
    <xf numFmtId="0" fontId="6" fillId="2" borderId="31" xfId="0" applyFont="1" applyFill="1" applyBorder="1" applyAlignment="1">
      <alignment horizontal="center" vertical="center" wrapText="1" readingOrder="1"/>
    </xf>
    <xf numFmtId="0" fontId="5" fillId="5" borderId="1" xfId="0" applyFont="1" applyFill="1" applyBorder="1" applyAlignment="1">
      <alignment horizontal="center" vertical="center" wrapText="1" readingOrder="1"/>
    </xf>
    <xf numFmtId="0" fontId="5" fillId="5" borderId="24" xfId="0" applyFont="1" applyFill="1" applyBorder="1" applyAlignment="1">
      <alignment horizontal="center" vertical="center" wrapText="1" readingOrder="1"/>
    </xf>
    <xf numFmtId="0" fontId="5" fillId="5" borderId="25" xfId="0" applyFont="1" applyFill="1" applyBorder="1" applyAlignment="1">
      <alignment horizontal="center" vertical="center" wrapText="1" readingOrder="1"/>
    </xf>
    <xf numFmtId="0" fontId="5" fillId="2" borderId="27" xfId="0" applyFont="1" applyFill="1" applyBorder="1" applyAlignment="1">
      <alignment horizontal="center" vertical="center" wrapText="1" readingOrder="1"/>
    </xf>
    <xf numFmtId="0" fontId="5" fillId="2" borderId="29" xfId="0" applyFont="1" applyFill="1" applyBorder="1" applyAlignment="1">
      <alignment horizontal="center" vertical="center" wrapText="1" readingOrder="1"/>
    </xf>
    <xf numFmtId="0" fontId="5" fillId="2" borderId="37" xfId="0" applyFont="1" applyFill="1" applyBorder="1" applyAlignment="1">
      <alignment horizontal="center" vertical="center" wrapText="1" readingOrder="1"/>
    </xf>
    <xf numFmtId="0" fontId="5" fillId="3" borderId="25" xfId="0" applyFont="1" applyFill="1" applyBorder="1" applyAlignment="1">
      <alignment horizontal="center" vertical="center" wrapText="1" readingOrder="1"/>
    </xf>
    <xf numFmtId="0" fontId="5" fillId="3" borderId="20" xfId="0" applyFont="1" applyFill="1" applyBorder="1" applyAlignment="1">
      <alignment horizontal="center" vertical="center" wrapText="1" readingOrder="1"/>
    </xf>
    <xf numFmtId="0" fontId="5" fillId="2" borderId="31" xfId="0" applyFont="1" applyFill="1" applyBorder="1" applyAlignment="1">
      <alignment horizontal="center" vertical="center" wrapText="1" readingOrder="1"/>
    </xf>
    <xf numFmtId="0" fontId="5" fillId="2" borderId="38" xfId="0" applyFont="1" applyFill="1" applyBorder="1" applyAlignment="1">
      <alignment horizontal="center" vertical="center" wrapText="1" readingOrder="1"/>
    </xf>
    <xf numFmtId="0" fontId="5" fillId="2" borderId="16" xfId="0" applyFont="1" applyFill="1" applyBorder="1" applyAlignment="1">
      <alignment horizontal="center" vertical="center" wrapText="1" readingOrder="1"/>
    </xf>
    <xf numFmtId="0" fontId="5" fillId="5" borderId="54" xfId="0" applyFont="1" applyFill="1" applyBorder="1" applyAlignment="1">
      <alignment horizontal="center" vertical="center" wrapText="1" readingOrder="1"/>
    </xf>
    <xf numFmtId="0" fontId="5" fillId="5" borderId="55" xfId="0" applyFont="1" applyFill="1" applyBorder="1" applyAlignment="1">
      <alignment horizontal="center" vertical="center" wrapText="1" readingOrder="1"/>
    </xf>
    <xf numFmtId="0" fontId="5" fillId="3" borderId="51" xfId="0" applyFont="1" applyFill="1" applyBorder="1" applyAlignment="1">
      <alignment horizontal="center" vertical="center" wrapText="1" readingOrder="1"/>
    </xf>
  </cellXfs>
  <cellStyles count="4">
    <cellStyle name="백분율" xfId="1" builtinId="5"/>
    <cellStyle name="표준" xfId="0" builtinId="0"/>
    <cellStyle name="표준 2" xfId="2" xr:uid="{00000000-0005-0000-0000-000002000000}"/>
    <cellStyle name="표준 3" xfId="3" xr:uid="{5D8B989D-A8CF-433F-87D2-F24650997C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T54"/>
  <sheetViews>
    <sheetView tabSelected="1" zoomScaleNormal="100" workbookViewId="0">
      <pane xSplit="4" ySplit="6" topLeftCell="E34" activePane="bottomRight" state="frozen"/>
      <selection pane="topRight" activeCell="F1" sqref="F1"/>
      <selection pane="bottomLeft" activeCell="A5" sqref="A5"/>
      <selection pane="bottomRight" activeCell="T43" sqref="T43"/>
    </sheetView>
  </sheetViews>
  <sheetFormatPr defaultRowHeight="16.5" x14ac:dyDescent="0.3"/>
  <cols>
    <col min="1" max="1" width="4.25" customWidth="1"/>
    <col min="2" max="2" width="8.5" customWidth="1"/>
    <col min="3" max="3" width="8.5" style="1" customWidth="1"/>
    <col min="4" max="4" width="11.125" style="1" customWidth="1"/>
    <col min="5" max="5" width="12.25" customWidth="1"/>
    <col min="6" max="8" width="6.75" customWidth="1"/>
    <col min="9" max="14" width="8.25" customWidth="1"/>
    <col min="15" max="15" width="13.5" customWidth="1"/>
    <col min="19" max="19" width="24.5" style="282" customWidth="1"/>
    <col min="20" max="20" width="81.625" customWidth="1"/>
  </cols>
  <sheetData>
    <row r="1" spans="1:20" ht="51.75" customHeight="1" x14ac:dyDescent="0.3">
      <c r="B1" s="289" t="s">
        <v>80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</row>
    <row r="2" spans="1:20" ht="19.5" customHeight="1" thickBot="1" x14ac:dyDescent="0.35">
      <c r="B2" s="14"/>
      <c r="C2" s="216"/>
      <c r="D2" s="216"/>
      <c r="E2" s="14"/>
      <c r="F2" s="14"/>
      <c r="G2" s="14"/>
      <c r="H2" s="14"/>
      <c r="I2" s="14"/>
      <c r="J2" s="14"/>
      <c r="K2" s="14"/>
      <c r="L2" s="14"/>
      <c r="M2" s="290">
        <v>45961</v>
      </c>
      <c r="N2" s="291"/>
    </row>
    <row r="3" spans="1:20" ht="21" customHeight="1" thickBot="1" x14ac:dyDescent="0.35">
      <c r="A3" s="292" t="s">
        <v>8</v>
      </c>
      <c r="B3" s="292" t="s">
        <v>7</v>
      </c>
      <c r="C3" s="294" t="s">
        <v>8</v>
      </c>
      <c r="D3" s="296" t="s">
        <v>89</v>
      </c>
      <c r="E3" s="298" t="s">
        <v>86</v>
      </c>
      <c r="F3" s="303" t="s">
        <v>0</v>
      </c>
      <c r="G3" s="303"/>
      <c r="H3" s="303"/>
      <c r="I3" s="304"/>
      <c r="J3" s="304"/>
      <c r="K3" s="304"/>
      <c r="L3" s="304"/>
      <c r="M3" s="304"/>
      <c r="N3" s="305"/>
      <c r="O3" s="303" t="s">
        <v>57</v>
      </c>
      <c r="P3" s="303"/>
      <c r="Q3" s="303"/>
      <c r="R3" s="309"/>
    </row>
    <row r="4" spans="1:20" ht="17.25" customHeight="1" x14ac:dyDescent="0.3">
      <c r="A4" s="293"/>
      <c r="B4" s="293"/>
      <c r="C4" s="295"/>
      <c r="D4" s="297"/>
      <c r="E4" s="299"/>
      <c r="F4" s="323" t="s">
        <v>87</v>
      </c>
      <c r="G4" s="321" t="s">
        <v>17</v>
      </c>
      <c r="H4" s="319" t="s">
        <v>31</v>
      </c>
      <c r="I4" s="293" t="s">
        <v>4</v>
      </c>
      <c r="J4" s="307" t="s">
        <v>5</v>
      </c>
      <c r="K4" s="318" t="s">
        <v>20</v>
      </c>
      <c r="L4" s="313"/>
      <c r="M4" s="325" t="s">
        <v>1</v>
      </c>
      <c r="N4" s="326"/>
      <c r="O4" s="310" t="s">
        <v>58</v>
      </c>
      <c r="P4" s="312" t="s">
        <v>62</v>
      </c>
      <c r="Q4" s="314" t="s">
        <v>59</v>
      </c>
      <c r="R4" s="316" t="s">
        <v>60</v>
      </c>
    </row>
    <row r="5" spans="1:20" ht="14.25" customHeight="1" x14ac:dyDescent="0.3">
      <c r="A5" s="293"/>
      <c r="B5" s="293"/>
      <c r="C5" s="295"/>
      <c r="D5" s="297"/>
      <c r="E5" s="299"/>
      <c r="F5" s="324"/>
      <c r="G5" s="322"/>
      <c r="H5" s="320"/>
      <c r="I5" s="306"/>
      <c r="J5" s="308"/>
      <c r="K5" s="18" t="s">
        <v>2</v>
      </c>
      <c r="L5" s="18" t="s">
        <v>3</v>
      </c>
      <c r="M5" s="327"/>
      <c r="N5" s="328"/>
      <c r="O5" s="311"/>
      <c r="P5" s="313"/>
      <c r="Q5" s="315"/>
      <c r="R5" s="317"/>
    </row>
    <row r="6" spans="1:20" ht="32.25" customHeight="1" thickBot="1" x14ac:dyDescent="0.35">
      <c r="A6" s="293"/>
      <c r="B6" s="293"/>
      <c r="C6" s="295"/>
      <c r="D6" s="297"/>
      <c r="E6" s="299"/>
      <c r="F6" s="324"/>
      <c r="G6" s="322"/>
      <c r="H6" s="320"/>
      <c r="I6" s="9">
        <v>32</v>
      </c>
      <c r="J6" s="2">
        <v>13</v>
      </c>
      <c r="K6" s="2">
        <v>25</v>
      </c>
      <c r="L6" s="2">
        <v>70</v>
      </c>
      <c r="M6" s="237" t="s">
        <v>2</v>
      </c>
      <c r="N6" s="6" t="s">
        <v>6</v>
      </c>
      <c r="O6" s="19" t="s">
        <v>85</v>
      </c>
      <c r="P6" s="20">
        <v>13</v>
      </c>
      <c r="Q6" s="2">
        <v>9</v>
      </c>
      <c r="R6" s="10">
        <v>8</v>
      </c>
    </row>
    <row r="7" spans="1:20" ht="17.25" customHeight="1" x14ac:dyDescent="0.3">
      <c r="A7" s="50">
        <v>1</v>
      </c>
      <c r="B7" s="300" t="s">
        <v>9</v>
      </c>
      <c r="C7" s="217" t="s">
        <v>12</v>
      </c>
      <c r="D7" s="218" t="s">
        <v>88</v>
      </c>
      <c r="E7" s="229">
        <f>SUM(F7,O7)</f>
        <v>52.635005938981088</v>
      </c>
      <c r="F7" s="230">
        <f>SUM(G7:H7)</f>
        <v>52.635005938981088</v>
      </c>
      <c r="G7" s="129">
        <f>SUM(I7,J7,K7)*M7</f>
        <v>41.829655629383581</v>
      </c>
      <c r="H7" s="154">
        <f>SUM(L7)*N7</f>
        <v>10.805350309597506</v>
      </c>
      <c r="I7" s="131">
        <v>19.274418604651199</v>
      </c>
      <c r="J7" s="132">
        <v>9.4</v>
      </c>
      <c r="K7" s="133">
        <v>22.374709573752</v>
      </c>
      <c r="L7" s="133">
        <v>59.845201238389997</v>
      </c>
      <c r="M7" s="238">
        <v>0.81940000000000002</v>
      </c>
      <c r="N7" s="135">
        <v>0.18055499999999999</v>
      </c>
      <c r="O7" s="232">
        <f t="shared" ref="O7:O53" si="0">SUM(P7:R7)</f>
        <v>0</v>
      </c>
      <c r="P7" s="94">
        <v>0</v>
      </c>
      <c r="Q7" s="95">
        <v>0</v>
      </c>
      <c r="R7" s="96">
        <v>0</v>
      </c>
      <c r="S7" s="282" t="s">
        <v>97</v>
      </c>
      <c r="T7" s="200"/>
    </row>
    <row r="8" spans="1:20" x14ac:dyDescent="0.3">
      <c r="A8" s="45">
        <v>2</v>
      </c>
      <c r="B8" s="301"/>
      <c r="C8" s="201" t="s">
        <v>40</v>
      </c>
      <c r="D8" s="219" t="s">
        <v>88</v>
      </c>
      <c r="E8" s="210">
        <f t="shared" ref="E8:E54" si="1">SUM(F8,O8)</f>
        <v>51.768648836000004</v>
      </c>
      <c r="F8" s="209">
        <f t="shared" ref="F8:F54" si="2">SUM(G8:H8)</f>
        <v>51.768648836000004</v>
      </c>
      <c r="G8" s="62">
        <f t="shared" ref="G8:G54" si="3">SUM(I8,J8,K8)*M8</f>
        <v>43.402299856000006</v>
      </c>
      <c r="H8" s="86">
        <f t="shared" ref="H8:H54" si="4">SUM(L8)*N8</f>
        <v>8.3663489799999997</v>
      </c>
      <c r="I8" s="137">
        <v>19.797799999999999</v>
      </c>
      <c r="J8" s="138">
        <v>10.6313</v>
      </c>
      <c r="K8" s="34">
        <v>20.937000000000001</v>
      </c>
      <c r="L8" s="34">
        <v>53.966000000000001</v>
      </c>
      <c r="M8" s="64">
        <v>0.84496000000000004</v>
      </c>
      <c r="N8" s="59">
        <v>0.15503</v>
      </c>
      <c r="O8" s="206">
        <f t="shared" si="0"/>
        <v>0</v>
      </c>
      <c r="P8" s="30">
        <v>0</v>
      </c>
      <c r="Q8" s="31">
        <v>0</v>
      </c>
      <c r="R8" s="32">
        <v>0</v>
      </c>
      <c r="S8" s="282" t="s">
        <v>97</v>
      </c>
    </row>
    <row r="9" spans="1:20" x14ac:dyDescent="0.3">
      <c r="A9" s="45">
        <v>3</v>
      </c>
      <c r="B9" s="301"/>
      <c r="C9" s="57" t="s">
        <v>29</v>
      </c>
      <c r="D9" s="199" t="s">
        <v>84</v>
      </c>
      <c r="E9" s="210">
        <f t="shared" si="1"/>
        <v>57.110344188305604</v>
      </c>
      <c r="F9" s="209">
        <f t="shared" si="2"/>
        <v>57.110344188305604</v>
      </c>
      <c r="G9" s="62">
        <f t="shared" si="3"/>
        <v>48.328832988305606</v>
      </c>
      <c r="H9" s="86">
        <f t="shared" si="4"/>
        <v>8.7815112000000006</v>
      </c>
      <c r="I9" s="137">
        <v>22.577777780000002</v>
      </c>
      <c r="J9" s="138">
        <v>10.271486899999999</v>
      </c>
      <c r="K9" s="34">
        <v>23.286999999999999</v>
      </c>
      <c r="L9" s="34">
        <v>63.14</v>
      </c>
      <c r="M9" s="64">
        <v>0.86092000000000002</v>
      </c>
      <c r="N9" s="59">
        <v>0.13908000000000001</v>
      </c>
      <c r="O9" s="206">
        <f t="shared" si="0"/>
        <v>0</v>
      </c>
      <c r="P9" s="30">
        <v>0</v>
      </c>
      <c r="Q9" s="31">
        <v>0</v>
      </c>
      <c r="R9" s="32">
        <v>0</v>
      </c>
      <c r="S9" s="283"/>
    </row>
    <row r="10" spans="1:20" x14ac:dyDescent="0.3">
      <c r="A10" s="45">
        <v>4</v>
      </c>
      <c r="B10" s="301"/>
      <c r="C10" s="201" t="s">
        <v>41</v>
      </c>
      <c r="D10" s="202" t="s">
        <v>88</v>
      </c>
      <c r="E10" s="210">
        <f t="shared" si="1"/>
        <v>73.107421970063996</v>
      </c>
      <c r="F10" s="209">
        <f t="shared" si="2"/>
        <v>51.107421970064003</v>
      </c>
      <c r="G10" s="62">
        <f t="shared" si="3"/>
        <v>42.377568187400001</v>
      </c>
      <c r="H10" s="86">
        <f t="shared" si="4"/>
        <v>8.7298537826639997</v>
      </c>
      <c r="I10" s="137">
        <v>18.1419</v>
      </c>
      <c r="J10" s="138">
        <v>8.9621999999999993</v>
      </c>
      <c r="K10" s="34">
        <v>22.231000000000002</v>
      </c>
      <c r="L10" s="34">
        <v>61.9026</v>
      </c>
      <c r="M10" s="64">
        <v>0.85897400000000002</v>
      </c>
      <c r="N10" s="59">
        <v>0.14102564000000001</v>
      </c>
      <c r="O10" s="206">
        <f t="shared" si="0"/>
        <v>22</v>
      </c>
      <c r="P10" s="107">
        <v>9</v>
      </c>
      <c r="Q10" s="108">
        <v>7.2</v>
      </c>
      <c r="R10" s="109">
        <v>5.8</v>
      </c>
    </row>
    <row r="11" spans="1:20" x14ac:dyDescent="0.3">
      <c r="A11" s="45">
        <v>5</v>
      </c>
      <c r="B11" s="301"/>
      <c r="C11" s="57" t="s">
        <v>35</v>
      </c>
      <c r="D11" s="155" t="s">
        <v>47</v>
      </c>
      <c r="E11" s="210">
        <f t="shared" si="1"/>
        <v>52.746269321200003</v>
      </c>
      <c r="F11" s="209">
        <f t="shared" si="2"/>
        <v>52.746269321200003</v>
      </c>
      <c r="G11" s="62">
        <f t="shared" si="3"/>
        <v>42.621064821200001</v>
      </c>
      <c r="H11" s="86">
        <f t="shared" si="4"/>
        <v>10.125204500000001</v>
      </c>
      <c r="I11" s="137">
        <v>20.917894</v>
      </c>
      <c r="J11" s="138">
        <v>10.1652</v>
      </c>
      <c r="K11" s="34">
        <v>21.548500000000001</v>
      </c>
      <c r="L11" s="34">
        <v>53.290550000000003</v>
      </c>
      <c r="M11" s="64">
        <v>0.80979999999999996</v>
      </c>
      <c r="N11" s="59">
        <v>0.19</v>
      </c>
      <c r="O11" s="206">
        <f t="shared" si="0"/>
        <v>0</v>
      </c>
      <c r="P11" s="30">
        <v>0</v>
      </c>
      <c r="Q11" s="31">
        <v>0</v>
      </c>
      <c r="R11" s="32">
        <v>0</v>
      </c>
    </row>
    <row r="12" spans="1:20" x14ac:dyDescent="0.3">
      <c r="A12" s="45">
        <v>6</v>
      </c>
      <c r="B12" s="301"/>
      <c r="C12" s="139" t="s">
        <v>10</v>
      </c>
      <c r="D12" s="252" t="s">
        <v>45</v>
      </c>
      <c r="E12" s="210">
        <f t="shared" si="1"/>
        <v>54.911720072449747</v>
      </c>
      <c r="F12" s="209">
        <f t="shared" si="2"/>
        <v>54.911720072449747</v>
      </c>
      <c r="G12" s="62">
        <f t="shared" si="3"/>
        <v>49.604140353727999</v>
      </c>
      <c r="H12" s="86">
        <f t="shared" si="4"/>
        <v>5.3075797187217502</v>
      </c>
      <c r="I12" s="137">
        <v>21.412500000000001</v>
      </c>
      <c r="J12" s="138">
        <v>11.47808</v>
      </c>
      <c r="K12" s="138">
        <v>21.3279</v>
      </c>
      <c r="L12" s="138">
        <v>62.364122500000001</v>
      </c>
      <c r="M12" s="64">
        <v>0.91489359999999997</v>
      </c>
      <c r="N12" s="59">
        <v>8.5106299999999996E-2</v>
      </c>
      <c r="O12" s="206">
        <f t="shared" si="0"/>
        <v>0</v>
      </c>
      <c r="P12" s="30">
        <v>0</v>
      </c>
      <c r="Q12" s="31">
        <v>0</v>
      </c>
      <c r="R12" s="32">
        <v>0</v>
      </c>
    </row>
    <row r="13" spans="1:20" x14ac:dyDescent="0.3">
      <c r="A13" s="45">
        <v>7</v>
      </c>
      <c r="B13" s="301"/>
      <c r="C13" s="201" t="s">
        <v>42</v>
      </c>
      <c r="D13" s="202" t="s">
        <v>88</v>
      </c>
      <c r="E13" s="210">
        <f t="shared" si="1"/>
        <v>76.757300000000001</v>
      </c>
      <c r="F13" s="209">
        <f t="shared" si="2"/>
        <v>55.957300000000004</v>
      </c>
      <c r="G13" s="62">
        <f t="shared" si="3"/>
        <v>55.957300000000004</v>
      </c>
      <c r="H13" s="86">
        <f t="shared" si="4"/>
        <v>0</v>
      </c>
      <c r="I13" s="137">
        <v>22.8705</v>
      </c>
      <c r="J13" s="138">
        <v>10.973800000000001</v>
      </c>
      <c r="K13" s="138">
        <v>22.113</v>
      </c>
      <c r="L13" s="138">
        <v>0</v>
      </c>
      <c r="M13" s="64">
        <v>1</v>
      </c>
      <c r="N13" s="59">
        <v>0</v>
      </c>
      <c r="O13" s="206">
        <f t="shared" si="0"/>
        <v>20.8</v>
      </c>
      <c r="P13" s="107">
        <v>8.4</v>
      </c>
      <c r="Q13" s="108">
        <v>6.6</v>
      </c>
      <c r="R13" s="109">
        <v>5.8</v>
      </c>
    </row>
    <row r="14" spans="1:20" x14ac:dyDescent="0.3">
      <c r="A14" s="45">
        <v>8</v>
      </c>
      <c r="B14" s="301"/>
      <c r="C14" s="201" t="s">
        <v>27</v>
      </c>
      <c r="D14" s="202" t="s">
        <v>88</v>
      </c>
      <c r="E14" s="210">
        <f t="shared" si="1"/>
        <v>74.408811999999998</v>
      </c>
      <c r="F14" s="209">
        <f t="shared" si="2"/>
        <v>51.808811999999996</v>
      </c>
      <c r="G14" s="62">
        <f t="shared" si="3"/>
        <v>44.378597999999997</v>
      </c>
      <c r="H14" s="86">
        <f t="shared" si="4"/>
        <v>7.4302140000000003</v>
      </c>
      <c r="I14" s="137">
        <v>19.29</v>
      </c>
      <c r="J14" s="138">
        <v>8.58</v>
      </c>
      <c r="K14" s="138">
        <v>21.96</v>
      </c>
      <c r="L14" s="138">
        <v>67.98</v>
      </c>
      <c r="M14" s="64">
        <v>0.89059999999999995</v>
      </c>
      <c r="N14" s="59">
        <v>0.10929999999999999</v>
      </c>
      <c r="O14" s="206">
        <f t="shared" si="0"/>
        <v>22.6</v>
      </c>
      <c r="P14" s="107">
        <v>9</v>
      </c>
      <c r="Q14" s="108">
        <v>7.2</v>
      </c>
      <c r="R14" s="109">
        <v>6.4</v>
      </c>
    </row>
    <row r="15" spans="1:20" x14ac:dyDescent="0.3">
      <c r="A15" s="45">
        <v>9</v>
      </c>
      <c r="B15" s="301"/>
      <c r="C15" s="57" t="s">
        <v>43</v>
      </c>
      <c r="D15" s="155" t="s">
        <v>47</v>
      </c>
      <c r="E15" s="210">
        <f t="shared" si="1"/>
        <v>47.563802469439999</v>
      </c>
      <c r="F15" s="209">
        <f t="shared" si="2"/>
        <v>47.563802469439999</v>
      </c>
      <c r="G15" s="62">
        <f t="shared" si="3"/>
        <v>41.804025789439997</v>
      </c>
      <c r="H15" s="86">
        <f t="shared" si="4"/>
        <v>5.7597766799999999</v>
      </c>
      <c r="I15" s="137">
        <v>14.485714</v>
      </c>
      <c r="J15" s="138">
        <v>10.147221999999999</v>
      </c>
      <c r="K15" s="138">
        <v>21.1526</v>
      </c>
      <c r="L15" s="138">
        <v>66.242400000000004</v>
      </c>
      <c r="M15" s="64">
        <v>0.91303999999999996</v>
      </c>
      <c r="N15" s="59">
        <v>8.695E-2</v>
      </c>
      <c r="O15" s="206">
        <f t="shared" si="0"/>
        <v>0</v>
      </c>
      <c r="P15" s="30"/>
      <c r="Q15" s="31"/>
      <c r="R15" s="32"/>
    </row>
    <row r="16" spans="1:20" x14ac:dyDescent="0.3">
      <c r="A16" s="56">
        <v>10</v>
      </c>
      <c r="B16" s="301"/>
      <c r="C16" s="57" t="s">
        <v>44</v>
      </c>
      <c r="D16" s="155" t="s">
        <v>47</v>
      </c>
      <c r="E16" s="210">
        <f t="shared" si="1"/>
        <v>47.537781250000002</v>
      </c>
      <c r="F16" s="209">
        <f t="shared" si="2"/>
        <v>47.537781250000002</v>
      </c>
      <c r="G16" s="62">
        <f t="shared" si="3"/>
        <v>37.605515625000002</v>
      </c>
      <c r="H16" s="86">
        <f t="shared" si="4"/>
        <v>9.9322656249999994</v>
      </c>
      <c r="I16" s="137">
        <v>12.8</v>
      </c>
      <c r="J16" s="138">
        <v>9.1836000000000002</v>
      </c>
      <c r="K16" s="138">
        <v>22.585899999999999</v>
      </c>
      <c r="L16" s="138">
        <v>63.566499999999998</v>
      </c>
      <c r="M16" s="64">
        <v>0.84375</v>
      </c>
      <c r="N16" s="59">
        <v>0.15625</v>
      </c>
      <c r="O16" s="206">
        <f t="shared" si="0"/>
        <v>0</v>
      </c>
      <c r="P16" s="30"/>
      <c r="Q16" s="31"/>
      <c r="R16" s="32"/>
    </row>
    <row r="17" spans="1:19" x14ac:dyDescent="0.3">
      <c r="A17" s="60">
        <v>11</v>
      </c>
      <c r="B17" s="301"/>
      <c r="C17" s="74" t="s">
        <v>21</v>
      </c>
      <c r="D17" s="199" t="s">
        <v>84</v>
      </c>
      <c r="E17" s="210">
        <f t="shared" si="1"/>
        <v>52.264001533600009</v>
      </c>
      <c r="F17" s="209">
        <f t="shared" si="2"/>
        <v>52.264001533600009</v>
      </c>
      <c r="G17" s="62">
        <f t="shared" si="3"/>
        <v>49.641063033600005</v>
      </c>
      <c r="H17" s="86">
        <f t="shared" si="4"/>
        <v>2.6229385000000001</v>
      </c>
      <c r="I17" s="137">
        <v>27.428571399999999</v>
      </c>
      <c r="J17" s="138">
        <v>6.9092589999999996</v>
      </c>
      <c r="K17" s="138">
        <v>20.2728</v>
      </c>
      <c r="L17" s="138">
        <v>28.823499999999999</v>
      </c>
      <c r="M17" s="64">
        <v>0.90900000000000003</v>
      </c>
      <c r="N17" s="59">
        <v>9.0999999999999998E-2</v>
      </c>
      <c r="O17" s="206">
        <f t="shared" si="0"/>
        <v>0</v>
      </c>
      <c r="P17" s="30"/>
      <c r="Q17" s="31"/>
      <c r="R17" s="32"/>
    </row>
    <row r="18" spans="1:19" x14ac:dyDescent="0.3">
      <c r="A18" s="37">
        <v>12</v>
      </c>
      <c r="B18" s="301"/>
      <c r="C18" s="74" t="s">
        <v>22</v>
      </c>
      <c r="D18" s="199" t="s">
        <v>84</v>
      </c>
      <c r="E18" s="210">
        <f t="shared" si="1"/>
        <v>43.291395864185347</v>
      </c>
      <c r="F18" s="209">
        <f t="shared" si="2"/>
        <v>43.291395864185347</v>
      </c>
      <c r="G18" s="62">
        <f t="shared" si="3"/>
        <v>36.878947163774995</v>
      </c>
      <c r="H18" s="86">
        <f t="shared" si="4"/>
        <v>6.4124487004103479</v>
      </c>
      <c r="I18" s="137">
        <v>13.0823</v>
      </c>
      <c r="J18" s="138">
        <v>7.4801587301587302</v>
      </c>
      <c r="K18" s="138">
        <v>21.168981481481399</v>
      </c>
      <c r="L18" s="138">
        <v>55.147058823529399</v>
      </c>
      <c r="M18" s="64">
        <v>0.88372093023255804</v>
      </c>
      <c r="N18" s="59">
        <v>0.116279069767441</v>
      </c>
      <c r="O18" s="206">
        <f t="shared" si="0"/>
        <v>0</v>
      </c>
      <c r="P18" s="30"/>
      <c r="Q18" s="31"/>
      <c r="R18" s="32"/>
    </row>
    <row r="19" spans="1:19" x14ac:dyDescent="0.3">
      <c r="A19" s="37">
        <v>13</v>
      </c>
      <c r="B19" s="301"/>
      <c r="C19" s="74" t="s">
        <v>23</v>
      </c>
      <c r="D19" s="199" t="s">
        <v>84</v>
      </c>
      <c r="E19" s="210">
        <f t="shared" si="1"/>
        <v>50.078032121031399</v>
      </c>
      <c r="F19" s="209">
        <f t="shared" si="2"/>
        <v>50.078032121031399</v>
      </c>
      <c r="G19" s="62">
        <f t="shared" si="3"/>
        <v>34.354127417971398</v>
      </c>
      <c r="H19" s="86">
        <f t="shared" si="4"/>
        <v>15.723904703060001</v>
      </c>
      <c r="I19" s="137">
        <v>12.061538000000001</v>
      </c>
      <c r="J19" s="138">
        <v>11.375</v>
      </c>
      <c r="K19" s="138">
        <v>21.488095000000001</v>
      </c>
      <c r="L19" s="138">
        <v>66.826599999999999</v>
      </c>
      <c r="M19" s="64">
        <v>0.76470579999999999</v>
      </c>
      <c r="N19" s="59">
        <v>0.23529410000000001</v>
      </c>
      <c r="O19" s="206">
        <f t="shared" si="0"/>
        <v>0</v>
      </c>
      <c r="P19" s="30"/>
      <c r="Q19" s="31"/>
      <c r="R19" s="32"/>
    </row>
    <row r="20" spans="1:19" x14ac:dyDescent="0.3">
      <c r="A20" s="37">
        <v>14</v>
      </c>
      <c r="B20" s="301"/>
      <c r="C20" s="74" t="s">
        <v>24</v>
      </c>
      <c r="D20" s="199" t="s">
        <v>84</v>
      </c>
      <c r="E20" s="210">
        <f t="shared" si="1"/>
        <v>47.033424722083801</v>
      </c>
      <c r="F20" s="209">
        <f t="shared" si="2"/>
        <v>47.033424722083801</v>
      </c>
      <c r="G20" s="62">
        <f t="shared" si="3"/>
        <v>40.056020921716801</v>
      </c>
      <c r="H20" s="86">
        <f t="shared" si="4"/>
        <v>6.977403800367</v>
      </c>
      <c r="I20" s="273">
        <v>13.7846153</v>
      </c>
      <c r="J20" s="274">
        <v>10.5733333</v>
      </c>
      <c r="K20" s="275">
        <v>20.705120000000001</v>
      </c>
      <c r="L20" s="275">
        <v>62.796697000000002</v>
      </c>
      <c r="M20" s="54">
        <v>0.88888800000000001</v>
      </c>
      <c r="N20" s="59">
        <v>0.111111</v>
      </c>
      <c r="O20" s="206">
        <f t="shared" si="0"/>
        <v>0</v>
      </c>
      <c r="P20" s="30"/>
      <c r="Q20" s="31"/>
      <c r="R20" s="32"/>
    </row>
    <row r="21" spans="1:19" x14ac:dyDescent="0.3">
      <c r="A21" s="37">
        <v>15</v>
      </c>
      <c r="B21" s="301"/>
      <c r="C21" s="74" t="s">
        <v>25</v>
      </c>
      <c r="D21" s="211" t="s">
        <v>84</v>
      </c>
      <c r="E21" s="210">
        <f t="shared" si="1"/>
        <v>42.450626458701279</v>
      </c>
      <c r="F21" s="209">
        <f t="shared" si="2"/>
        <v>42.450626458701279</v>
      </c>
      <c r="G21" s="62">
        <f t="shared" si="3"/>
        <v>38.762288028918</v>
      </c>
      <c r="H21" s="86">
        <f t="shared" si="4"/>
        <v>3.6883384297832822</v>
      </c>
      <c r="I21" s="273">
        <v>14.464</v>
      </c>
      <c r="J21" s="274">
        <v>7.8919191919190004</v>
      </c>
      <c r="K21" s="275">
        <v>19.176587000000001</v>
      </c>
      <c r="L21" s="275">
        <v>55.325077</v>
      </c>
      <c r="M21" s="54">
        <v>0.93330000000000002</v>
      </c>
      <c r="N21" s="59">
        <v>6.6666665999999999E-2</v>
      </c>
      <c r="O21" s="206">
        <f t="shared" si="0"/>
        <v>0</v>
      </c>
      <c r="P21" s="30"/>
      <c r="Q21" s="31"/>
      <c r="R21" s="32"/>
    </row>
    <row r="22" spans="1:19" x14ac:dyDescent="0.3">
      <c r="A22" s="37">
        <v>16</v>
      </c>
      <c r="B22" s="301"/>
      <c r="C22" s="74" t="s">
        <v>65</v>
      </c>
      <c r="D22" s="220" t="s">
        <v>88</v>
      </c>
      <c r="E22" s="210">
        <f t="shared" si="1"/>
        <v>72.558175009999999</v>
      </c>
      <c r="F22" s="209">
        <f t="shared" si="2"/>
        <v>51.758175010000002</v>
      </c>
      <c r="G22" s="62">
        <f t="shared" si="3"/>
        <v>42.503606380000001</v>
      </c>
      <c r="H22" s="86">
        <f t="shared" si="4"/>
        <v>9.2545686299999996</v>
      </c>
      <c r="I22" s="273">
        <v>13.44</v>
      </c>
      <c r="J22" s="274">
        <v>13</v>
      </c>
      <c r="K22" s="275">
        <v>22.603000000000002</v>
      </c>
      <c r="L22" s="275">
        <v>69.411000000000001</v>
      </c>
      <c r="M22" s="54">
        <v>0.86665999999999999</v>
      </c>
      <c r="N22" s="59">
        <v>0.13333</v>
      </c>
      <c r="O22" s="206">
        <f t="shared" si="0"/>
        <v>20.8</v>
      </c>
      <c r="P22" s="107">
        <v>8.4</v>
      </c>
      <c r="Q22" s="108">
        <v>6.6</v>
      </c>
      <c r="R22" s="109">
        <v>5.8</v>
      </c>
    </row>
    <row r="23" spans="1:19" x14ac:dyDescent="0.3">
      <c r="A23" s="37">
        <v>17</v>
      </c>
      <c r="B23" s="301"/>
      <c r="C23" s="74" t="s">
        <v>66</v>
      </c>
      <c r="D23" s="220" t="s">
        <v>88</v>
      </c>
      <c r="E23" s="210">
        <f t="shared" si="1"/>
        <v>67.008596558299914</v>
      </c>
      <c r="F23" s="209">
        <f t="shared" si="2"/>
        <v>45.008596558299914</v>
      </c>
      <c r="G23" s="62">
        <f t="shared" si="3"/>
        <v>38.160125983899917</v>
      </c>
      <c r="H23" s="86">
        <f t="shared" si="4"/>
        <v>6.8484705744000003</v>
      </c>
      <c r="I23" s="273">
        <v>12</v>
      </c>
      <c r="J23" s="274">
        <v>10.18333</v>
      </c>
      <c r="K23" s="275">
        <v>21.064814800000001</v>
      </c>
      <c r="L23" s="275">
        <v>58.235294000000003</v>
      </c>
      <c r="M23" s="54">
        <v>0.8823529</v>
      </c>
      <c r="N23" s="59">
        <v>0.1176</v>
      </c>
      <c r="O23" s="206">
        <f t="shared" si="0"/>
        <v>22</v>
      </c>
      <c r="P23" s="107">
        <v>9.8000000000000007</v>
      </c>
      <c r="Q23" s="108">
        <v>6.8</v>
      </c>
      <c r="R23" s="109">
        <v>5.4</v>
      </c>
    </row>
    <row r="24" spans="1:19" ht="17.25" thickBot="1" x14ac:dyDescent="0.35">
      <c r="A24" s="239">
        <v>18</v>
      </c>
      <c r="B24" s="302"/>
      <c r="C24" s="98" t="s">
        <v>81</v>
      </c>
      <c r="D24" s="178" t="s">
        <v>91</v>
      </c>
      <c r="E24" s="231">
        <f t="shared" si="1"/>
        <v>76.199999999999989</v>
      </c>
      <c r="F24" s="207">
        <f t="shared" si="2"/>
        <v>0</v>
      </c>
      <c r="G24" s="173">
        <f t="shared" si="3"/>
        <v>0</v>
      </c>
      <c r="H24" s="174">
        <f t="shared" si="4"/>
        <v>0</v>
      </c>
      <c r="I24" s="168"/>
      <c r="J24" s="169"/>
      <c r="K24" s="77"/>
      <c r="L24" s="77"/>
      <c r="M24" s="78"/>
      <c r="N24" s="79"/>
      <c r="O24" s="234">
        <f t="shared" si="0"/>
        <v>76.199999999999989</v>
      </c>
      <c r="P24" s="179">
        <v>30.8</v>
      </c>
      <c r="Q24" s="180">
        <v>28</v>
      </c>
      <c r="R24" s="181">
        <v>17.399999999999999</v>
      </c>
    </row>
    <row r="25" spans="1:19" x14ac:dyDescent="0.3">
      <c r="A25" s="72">
        <v>19</v>
      </c>
      <c r="B25" s="300" t="s">
        <v>11</v>
      </c>
      <c r="C25" s="90" t="s">
        <v>12</v>
      </c>
      <c r="D25" s="212" t="s">
        <v>84</v>
      </c>
      <c r="E25" s="229">
        <f t="shared" si="1"/>
        <v>45.706936224122998</v>
      </c>
      <c r="F25" s="230">
        <f t="shared" si="2"/>
        <v>45.706936224122998</v>
      </c>
      <c r="G25" s="129">
        <f t="shared" si="3"/>
        <v>43.895397708419999</v>
      </c>
      <c r="H25" s="154">
        <f t="shared" si="4"/>
        <v>1.8115385157030002</v>
      </c>
      <c r="I25" s="240">
        <v>13.276590000000001</v>
      </c>
      <c r="J25" s="241">
        <v>9.7809519999999992</v>
      </c>
      <c r="K25" s="242">
        <v>22.494302999999999</v>
      </c>
      <c r="L25" s="243">
        <v>49.818181000000003</v>
      </c>
      <c r="M25" s="244">
        <v>0.96363600000000005</v>
      </c>
      <c r="N25" s="135">
        <v>3.6362999999999999E-2</v>
      </c>
      <c r="O25" s="232">
        <f t="shared" si="0"/>
        <v>0</v>
      </c>
      <c r="P25" s="94"/>
      <c r="Q25" s="95"/>
      <c r="R25" s="96"/>
      <c r="S25" s="284"/>
    </row>
    <row r="26" spans="1:19" x14ac:dyDescent="0.3">
      <c r="A26" s="37">
        <v>20</v>
      </c>
      <c r="B26" s="301"/>
      <c r="C26" s="74" t="s">
        <v>34</v>
      </c>
      <c r="D26" s="199" t="s">
        <v>84</v>
      </c>
      <c r="E26" s="210">
        <f t="shared" si="1"/>
        <v>51.972200928607329</v>
      </c>
      <c r="F26" s="209">
        <f t="shared" si="2"/>
        <v>51.972200928607329</v>
      </c>
      <c r="G26" s="62">
        <f t="shared" si="3"/>
        <v>47.686492928607329</v>
      </c>
      <c r="H26" s="86">
        <f t="shared" si="4"/>
        <v>4.2857079999999996</v>
      </c>
      <c r="I26" s="245">
        <v>17.236363600000001</v>
      </c>
      <c r="J26" s="246">
        <v>10.88055555</v>
      </c>
      <c r="K26" s="247">
        <v>22.679563000000002</v>
      </c>
      <c r="L26" s="248">
        <v>70</v>
      </c>
      <c r="M26" s="64">
        <v>0.93877549999999998</v>
      </c>
      <c r="N26" s="59">
        <v>6.1224399999999998E-2</v>
      </c>
      <c r="O26" s="206">
        <f t="shared" si="0"/>
        <v>0</v>
      </c>
      <c r="P26" s="30"/>
      <c r="Q26" s="31"/>
      <c r="R26" s="32"/>
      <c r="S26" s="284"/>
    </row>
    <row r="27" spans="1:19" x14ac:dyDescent="0.3">
      <c r="A27" s="37">
        <v>21</v>
      </c>
      <c r="B27" s="301"/>
      <c r="C27" s="74" t="s">
        <v>35</v>
      </c>
      <c r="D27" s="74" t="s">
        <v>47</v>
      </c>
      <c r="E27" s="210">
        <f t="shared" si="1"/>
        <v>40.67496611</v>
      </c>
      <c r="F27" s="209">
        <f t="shared" si="2"/>
        <v>40.67496611</v>
      </c>
      <c r="G27" s="62">
        <f t="shared" si="3"/>
        <v>40.67496611</v>
      </c>
      <c r="H27" s="86">
        <f t="shared" si="4"/>
        <v>0</v>
      </c>
      <c r="I27" s="245">
        <v>9.9672131099999994</v>
      </c>
      <c r="J27" s="246">
        <v>8.3158729999999998</v>
      </c>
      <c r="K27" s="247">
        <v>22.39188</v>
      </c>
      <c r="L27" s="248">
        <v>0</v>
      </c>
      <c r="M27" s="64">
        <v>1</v>
      </c>
      <c r="N27" s="59">
        <v>0</v>
      </c>
      <c r="O27" s="206">
        <f t="shared" si="0"/>
        <v>0</v>
      </c>
      <c r="P27" s="30"/>
      <c r="Q27" s="31"/>
      <c r="R27" s="32"/>
      <c r="S27" s="284"/>
    </row>
    <row r="28" spans="1:19" x14ac:dyDescent="0.3">
      <c r="A28" s="37">
        <v>22</v>
      </c>
      <c r="B28" s="301"/>
      <c r="C28" s="74" t="s">
        <v>10</v>
      </c>
      <c r="D28" s="155" t="s">
        <v>84</v>
      </c>
      <c r="E28" s="210">
        <f t="shared" si="1"/>
        <v>45.252336099999994</v>
      </c>
      <c r="F28" s="209">
        <f t="shared" si="2"/>
        <v>45.252336099999994</v>
      </c>
      <c r="G28" s="62">
        <f t="shared" si="3"/>
        <v>41.326199849999995</v>
      </c>
      <c r="H28" s="86">
        <f t="shared" si="4"/>
        <v>3.9261362499999999</v>
      </c>
      <c r="I28" s="245">
        <v>10.597101439999999</v>
      </c>
      <c r="J28" s="246">
        <v>10.369907400000001</v>
      </c>
      <c r="K28" s="247">
        <v>23.114270999999999</v>
      </c>
      <c r="L28" s="248">
        <v>62.818179999999998</v>
      </c>
      <c r="M28" s="64">
        <v>0.9375</v>
      </c>
      <c r="N28" s="59">
        <v>6.25E-2</v>
      </c>
      <c r="O28" s="206">
        <f t="shared" si="0"/>
        <v>0</v>
      </c>
      <c r="P28" s="30"/>
      <c r="Q28" s="31"/>
      <c r="R28" s="32"/>
      <c r="S28" s="284" t="s">
        <v>93</v>
      </c>
    </row>
    <row r="29" spans="1:19" x14ac:dyDescent="0.3">
      <c r="A29" s="37">
        <v>23</v>
      </c>
      <c r="B29" s="301"/>
      <c r="C29" s="74" t="s">
        <v>41</v>
      </c>
      <c r="D29" s="155" t="s">
        <v>47</v>
      </c>
      <c r="E29" s="210">
        <f t="shared" si="1"/>
        <v>53.051039302949995</v>
      </c>
      <c r="F29" s="209">
        <f t="shared" si="2"/>
        <v>53.051039302949995</v>
      </c>
      <c r="G29" s="62">
        <f>SUM(I29,J29,K29)*M29</f>
        <v>50.426961162749997</v>
      </c>
      <c r="H29" s="86">
        <f t="shared" si="4"/>
        <v>2.6240781402</v>
      </c>
      <c r="I29" s="245">
        <v>19.52</v>
      </c>
      <c r="J29" s="246">
        <v>9.7632999999999992</v>
      </c>
      <c r="K29" s="247">
        <v>23.1342</v>
      </c>
      <c r="L29" s="248">
        <v>69.151499999999999</v>
      </c>
      <c r="M29" s="64">
        <v>0.96202529999999997</v>
      </c>
      <c r="N29" s="59">
        <v>3.7946800000000003E-2</v>
      </c>
      <c r="O29" s="206">
        <f t="shared" si="0"/>
        <v>0</v>
      </c>
      <c r="P29" s="30"/>
      <c r="Q29" s="31"/>
      <c r="R29" s="32"/>
      <c r="S29" s="284" t="s">
        <v>94</v>
      </c>
    </row>
    <row r="30" spans="1:19" x14ac:dyDescent="0.3">
      <c r="A30" s="37">
        <v>24</v>
      </c>
      <c r="B30" s="301"/>
      <c r="C30" s="74" t="s">
        <v>29</v>
      </c>
      <c r="D30" s="155" t="s">
        <v>47</v>
      </c>
      <c r="E30" s="210">
        <f t="shared" si="1"/>
        <v>45.214113315239999</v>
      </c>
      <c r="F30" s="209">
        <f t="shared" si="2"/>
        <v>45.214113315239999</v>
      </c>
      <c r="G30" s="62">
        <f t="shared" si="3"/>
        <v>37.099933039</v>
      </c>
      <c r="H30" s="86">
        <f t="shared" si="4"/>
        <v>8.1141802762400008</v>
      </c>
      <c r="I30" s="245">
        <v>11.927199999999999</v>
      </c>
      <c r="J30" s="246">
        <v>9.5280000000000005</v>
      </c>
      <c r="K30" s="247">
        <v>21.547000000000001</v>
      </c>
      <c r="L30" s="248">
        <v>59.117600000000003</v>
      </c>
      <c r="M30" s="64">
        <v>0.86274499999999998</v>
      </c>
      <c r="N30" s="59">
        <v>0.13725490000000001</v>
      </c>
      <c r="O30" s="206">
        <f t="shared" si="0"/>
        <v>0</v>
      </c>
      <c r="P30" s="30"/>
      <c r="Q30" s="31"/>
      <c r="R30" s="32"/>
      <c r="S30" s="284"/>
    </row>
    <row r="31" spans="1:19" x14ac:dyDescent="0.3">
      <c r="A31" s="37">
        <v>25</v>
      </c>
      <c r="B31" s="301"/>
      <c r="C31" s="74" t="s">
        <v>44</v>
      </c>
      <c r="D31" s="155" t="s">
        <v>47</v>
      </c>
      <c r="E31" s="210">
        <f t="shared" si="1"/>
        <v>46.088536330517982</v>
      </c>
      <c r="F31" s="209">
        <f t="shared" si="2"/>
        <v>46.088536330517982</v>
      </c>
      <c r="G31" s="62">
        <f t="shared" si="3"/>
        <v>39.742474781991284</v>
      </c>
      <c r="H31" s="86">
        <f t="shared" si="4"/>
        <v>6.3460615485267002</v>
      </c>
      <c r="I31" s="245">
        <v>12.355555556000001</v>
      </c>
      <c r="J31" s="246">
        <v>10.525185185</v>
      </c>
      <c r="K31" s="247">
        <v>22.406984999999999</v>
      </c>
      <c r="L31" s="248">
        <v>51.826203</v>
      </c>
      <c r="M31" s="64">
        <v>0.87755510199999998</v>
      </c>
      <c r="N31" s="59">
        <v>0.1224489</v>
      </c>
      <c r="O31" s="206">
        <f t="shared" si="0"/>
        <v>0</v>
      </c>
      <c r="P31" s="30"/>
      <c r="Q31" s="31"/>
      <c r="R31" s="32"/>
      <c r="S31" s="284"/>
    </row>
    <row r="32" spans="1:19" x14ac:dyDescent="0.3">
      <c r="A32" s="37">
        <v>26</v>
      </c>
      <c r="B32" s="301"/>
      <c r="C32" s="74" t="s">
        <v>42</v>
      </c>
      <c r="D32" s="155" t="s">
        <v>47</v>
      </c>
      <c r="E32" s="210">
        <f t="shared" si="1"/>
        <v>49.775120423929948</v>
      </c>
      <c r="F32" s="209">
        <f t="shared" si="2"/>
        <v>49.775120423929948</v>
      </c>
      <c r="G32" s="62">
        <f t="shared" si="3"/>
        <v>44.211391408079997</v>
      </c>
      <c r="H32" s="86">
        <f t="shared" si="4"/>
        <v>5.5637290158499502</v>
      </c>
      <c r="I32" s="245">
        <v>16.181818</v>
      </c>
      <c r="J32" s="246">
        <v>8.8248599999999993</v>
      </c>
      <c r="K32" s="247">
        <v>23.135000000000002</v>
      </c>
      <c r="L32" s="248">
        <v>68.155682999999996</v>
      </c>
      <c r="M32" s="64">
        <v>0.91835999999999995</v>
      </c>
      <c r="N32" s="59">
        <v>8.1632650000000001E-2</v>
      </c>
      <c r="O32" s="206">
        <f t="shared" si="0"/>
        <v>0</v>
      </c>
      <c r="P32" s="30"/>
      <c r="Q32" s="31"/>
      <c r="R32" s="32"/>
      <c r="S32" s="284"/>
    </row>
    <row r="33" spans="1:19" x14ac:dyDescent="0.3">
      <c r="A33" s="37">
        <v>27</v>
      </c>
      <c r="B33" s="301"/>
      <c r="C33" s="74" t="s">
        <v>27</v>
      </c>
      <c r="D33" s="176" t="s">
        <v>84</v>
      </c>
      <c r="E33" s="210">
        <f t="shared" si="1"/>
        <v>43.353951733278592</v>
      </c>
      <c r="F33" s="209">
        <f t="shared" si="2"/>
        <v>43.353951733278592</v>
      </c>
      <c r="G33" s="62">
        <f t="shared" si="3"/>
        <v>33.692044852778594</v>
      </c>
      <c r="H33" s="86">
        <f t="shared" si="4"/>
        <v>9.6619068805000001</v>
      </c>
      <c r="I33" s="245">
        <v>11.636363636</v>
      </c>
      <c r="J33" s="246">
        <v>4.983333333</v>
      </c>
      <c r="K33" s="247">
        <v>22.687728</v>
      </c>
      <c r="L33" s="248">
        <v>67.63673</v>
      </c>
      <c r="M33" s="64">
        <v>0.85714199999999996</v>
      </c>
      <c r="N33" s="59">
        <v>0.14285</v>
      </c>
      <c r="O33" s="206">
        <f t="shared" si="0"/>
        <v>0</v>
      </c>
      <c r="P33" s="30"/>
      <c r="Q33" s="31"/>
      <c r="R33" s="32"/>
      <c r="S33" s="284" t="s">
        <v>93</v>
      </c>
    </row>
    <row r="34" spans="1:19" x14ac:dyDescent="0.3">
      <c r="A34" s="37">
        <v>28</v>
      </c>
      <c r="B34" s="301"/>
      <c r="C34" s="74" t="s">
        <v>23</v>
      </c>
      <c r="D34" s="176" t="s">
        <v>84</v>
      </c>
      <c r="E34" s="210">
        <f t="shared" si="1"/>
        <v>48.13412559056485</v>
      </c>
      <c r="F34" s="209">
        <f t="shared" si="2"/>
        <v>48.13412559056485</v>
      </c>
      <c r="G34" s="62">
        <f t="shared" si="3"/>
        <v>39.105398110400685</v>
      </c>
      <c r="H34" s="86">
        <f t="shared" si="4"/>
        <v>9.0287274801641608</v>
      </c>
      <c r="I34" s="245">
        <v>14.96470588</v>
      </c>
      <c r="J34" s="246">
        <v>8.2622219999999995</v>
      </c>
      <c r="K34" s="247">
        <v>22.219887</v>
      </c>
      <c r="L34" s="248">
        <v>64.705882000000003</v>
      </c>
      <c r="M34" s="64">
        <v>0.86046509999999998</v>
      </c>
      <c r="N34" s="59">
        <v>0.13953488</v>
      </c>
      <c r="O34" s="206">
        <f t="shared" si="0"/>
        <v>0</v>
      </c>
      <c r="P34" s="30"/>
      <c r="Q34" s="31"/>
      <c r="R34" s="32"/>
      <c r="S34" s="284"/>
    </row>
    <row r="35" spans="1:19" x14ac:dyDescent="0.3">
      <c r="A35" s="37">
        <v>29</v>
      </c>
      <c r="B35" s="301"/>
      <c r="C35" s="74" t="s">
        <v>25</v>
      </c>
      <c r="D35" s="213" t="s">
        <v>88</v>
      </c>
      <c r="E35" s="210">
        <f t="shared" si="1"/>
        <v>75.200660297803978</v>
      </c>
      <c r="F35" s="209">
        <f t="shared" si="2"/>
        <v>54.200660297803978</v>
      </c>
      <c r="G35" s="62">
        <f t="shared" si="3"/>
        <v>41.091429787999978</v>
      </c>
      <c r="H35" s="86">
        <f t="shared" si="4"/>
        <v>13.109230509804</v>
      </c>
      <c r="I35" s="245">
        <v>21.25714</v>
      </c>
      <c r="J35" s="246">
        <v>6.3736110999999998</v>
      </c>
      <c r="K35" s="247">
        <v>23.129251</v>
      </c>
      <c r="L35" s="248">
        <v>68.823528999999994</v>
      </c>
      <c r="M35" s="64">
        <v>0.80952380000000002</v>
      </c>
      <c r="N35" s="59">
        <v>0.19047600000000001</v>
      </c>
      <c r="O35" s="206">
        <f t="shared" si="0"/>
        <v>21</v>
      </c>
      <c r="P35" s="107">
        <v>10.4</v>
      </c>
      <c r="Q35" s="108">
        <v>5.8</v>
      </c>
      <c r="R35" s="109">
        <v>4.8</v>
      </c>
      <c r="S35" s="284"/>
    </row>
    <row r="36" spans="1:19" x14ac:dyDescent="0.3">
      <c r="A36" s="37">
        <v>30</v>
      </c>
      <c r="B36" s="301"/>
      <c r="C36" s="74" t="s">
        <v>22</v>
      </c>
      <c r="D36" s="213" t="s">
        <v>84</v>
      </c>
      <c r="E36" s="210">
        <f t="shared" si="1"/>
        <v>49.611346349999991</v>
      </c>
      <c r="F36" s="209">
        <f t="shared" si="2"/>
        <v>49.611346349999991</v>
      </c>
      <c r="G36" s="62">
        <f t="shared" si="3"/>
        <v>40.245800849999995</v>
      </c>
      <c r="H36" s="86">
        <f t="shared" si="4"/>
        <v>9.3655454999999996</v>
      </c>
      <c r="I36" s="245">
        <v>17.213789999999999</v>
      </c>
      <c r="J36" s="246">
        <v>8.4861109999999993</v>
      </c>
      <c r="K36" s="247">
        <v>21.648099999999999</v>
      </c>
      <c r="L36" s="248">
        <v>62.436970000000002</v>
      </c>
      <c r="M36" s="64">
        <v>0.85</v>
      </c>
      <c r="N36" s="59">
        <v>0.15</v>
      </c>
      <c r="O36" s="206">
        <f t="shared" si="0"/>
        <v>0</v>
      </c>
      <c r="P36" s="30"/>
      <c r="Q36" s="31"/>
      <c r="R36" s="32"/>
      <c r="S36" s="284"/>
    </row>
    <row r="37" spans="1:19" ht="17.25" thickBot="1" x14ac:dyDescent="0.35">
      <c r="A37" s="97">
        <v>31</v>
      </c>
      <c r="B37" s="302"/>
      <c r="C37" s="98" t="s">
        <v>65</v>
      </c>
      <c r="D37" s="214" t="s">
        <v>88</v>
      </c>
      <c r="E37" s="231">
        <f t="shared" si="1"/>
        <v>71.63015752442692</v>
      </c>
      <c r="F37" s="207">
        <f t="shared" si="2"/>
        <v>50.230157524426915</v>
      </c>
      <c r="G37" s="173">
        <f t="shared" si="3"/>
        <v>40.925388128704917</v>
      </c>
      <c r="H37" s="174">
        <f t="shared" si="4"/>
        <v>9.3047693957219995</v>
      </c>
      <c r="I37" s="249">
        <v>14.31578947</v>
      </c>
      <c r="J37" s="250">
        <v>9.9233740000000008</v>
      </c>
      <c r="K37" s="249">
        <v>23.148147999999999</v>
      </c>
      <c r="L37" s="251">
        <v>68.235293999999996</v>
      </c>
      <c r="M37" s="123">
        <v>0.86363599999999996</v>
      </c>
      <c r="N37" s="124">
        <v>0.13636300000000001</v>
      </c>
      <c r="O37" s="234">
        <f t="shared" si="0"/>
        <v>21.400000000000002</v>
      </c>
      <c r="P37" s="179">
        <v>8.4</v>
      </c>
      <c r="Q37" s="180">
        <v>7.2</v>
      </c>
      <c r="R37" s="181">
        <v>5.8</v>
      </c>
      <c r="S37" s="284"/>
    </row>
    <row r="38" spans="1:19" x14ac:dyDescent="0.3">
      <c r="A38" s="81">
        <v>32</v>
      </c>
      <c r="B38" s="300" t="s">
        <v>13</v>
      </c>
      <c r="C38" s="186" t="s">
        <v>12</v>
      </c>
      <c r="D38" s="276" t="s">
        <v>45</v>
      </c>
      <c r="E38" s="229">
        <f t="shared" si="1"/>
        <v>61.467800000000004</v>
      </c>
      <c r="F38" s="230">
        <f t="shared" si="2"/>
        <v>61.467800000000004</v>
      </c>
      <c r="G38" s="129">
        <f t="shared" si="3"/>
        <v>55.901300000000006</v>
      </c>
      <c r="H38" s="154">
        <f t="shared" si="4"/>
        <v>5.5664999999999996</v>
      </c>
      <c r="I38" s="131">
        <v>27.35</v>
      </c>
      <c r="J38" s="132">
        <v>11.17</v>
      </c>
      <c r="K38" s="133">
        <v>22.91</v>
      </c>
      <c r="L38" s="133">
        <v>61.85</v>
      </c>
      <c r="M38" s="134">
        <v>0.91</v>
      </c>
      <c r="N38" s="135">
        <v>0.09</v>
      </c>
      <c r="O38" s="232">
        <f t="shared" si="0"/>
        <v>0</v>
      </c>
      <c r="P38" s="94"/>
      <c r="Q38" s="95"/>
      <c r="R38" s="96"/>
    </row>
    <row r="39" spans="1:19" x14ac:dyDescent="0.3">
      <c r="A39" s="73">
        <v>33</v>
      </c>
      <c r="B39" s="301"/>
      <c r="C39" s="75" t="s">
        <v>34</v>
      </c>
      <c r="D39" s="277" t="s">
        <v>92</v>
      </c>
      <c r="E39" s="210">
        <f t="shared" si="1"/>
        <v>85.248526572399996</v>
      </c>
      <c r="F39" s="209">
        <f t="shared" si="2"/>
        <v>60.448526572399999</v>
      </c>
      <c r="G39" s="62">
        <f t="shared" si="3"/>
        <v>56.132039579000001</v>
      </c>
      <c r="H39" s="86">
        <f t="shared" si="4"/>
        <v>4.3164869933999999</v>
      </c>
      <c r="I39" s="11">
        <v>26</v>
      </c>
      <c r="J39" s="74">
        <v>11.5786</v>
      </c>
      <c r="K39" s="34">
        <v>22.519300000000001</v>
      </c>
      <c r="L39" s="34">
        <v>65.403300000000002</v>
      </c>
      <c r="M39" s="64">
        <v>0.93401000000000001</v>
      </c>
      <c r="N39" s="59">
        <v>6.5998000000000001E-2</v>
      </c>
      <c r="O39" s="206">
        <f t="shared" si="0"/>
        <v>24.799999999999997</v>
      </c>
      <c r="P39" s="107">
        <v>11.2</v>
      </c>
      <c r="Q39" s="108">
        <v>7.6</v>
      </c>
      <c r="R39" s="109">
        <v>6</v>
      </c>
    </row>
    <row r="40" spans="1:19" x14ac:dyDescent="0.3">
      <c r="A40" s="73">
        <v>34</v>
      </c>
      <c r="B40" s="301"/>
      <c r="C40" s="75" t="s">
        <v>35</v>
      </c>
      <c r="D40" s="277" t="s">
        <v>37</v>
      </c>
      <c r="E40" s="210">
        <f t="shared" si="1"/>
        <v>54.637248671854501</v>
      </c>
      <c r="F40" s="209">
        <f t="shared" si="2"/>
        <v>54.637248671854501</v>
      </c>
      <c r="G40" s="62">
        <f t="shared" si="3"/>
        <v>50.580958223854502</v>
      </c>
      <c r="H40" s="86">
        <f t="shared" si="4"/>
        <v>4.0562904479999995</v>
      </c>
      <c r="I40" s="11">
        <v>19.769100000000002</v>
      </c>
      <c r="J40" s="34">
        <v>11.094265</v>
      </c>
      <c r="K40" s="34">
        <v>22.957999999999998</v>
      </c>
      <c r="L40" s="34">
        <v>67.380240000000001</v>
      </c>
      <c r="M40" s="64">
        <v>0.93979330000000005</v>
      </c>
      <c r="N40" s="59">
        <v>6.0199999999999997E-2</v>
      </c>
      <c r="O40" s="206">
        <f t="shared" si="0"/>
        <v>0</v>
      </c>
      <c r="P40" s="30"/>
      <c r="Q40" s="31"/>
      <c r="R40" s="32"/>
      <c r="S40" s="282" t="s">
        <v>95</v>
      </c>
    </row>
    <row r="41" spans="1:19" x14ac:dyDescent="0.3">
      <c r="A41" s="73">
        <v>35</v>
      </c>
      <c r="B41" s="301"/>
      <c r="C41" s="74" t="s">
        <v>29</v>
      </c>
      <c r="D41" s="84" t="s">
        <v>88</v>
      </c>
      <c r="E41" s="210">
        <f t="shared" si="1"/>
        <v>71.926647774665099</v>
      </c>
      <c r="F41" s="209">
        <f t="shared" si="2"/>
        <v>50.526647774665093</v>
      </c>
      <c r="G41" s="62">
        <f t="shared" si="3"/>
        <v>44.507240099084697</v>
      </c>
      <c r="H41" s="86">
        <f t="shared" si="4"/>
        <v>6.0194076755803998</v>
      </c>
      <c r="I41" s="11">
        <v>16.384599999999999</v>
      </c>
      <c r="J41" s="74">
        <v>10.3908</v>
      </c>
      <c r="K41" s="34">
        <v>22.416813000000001</v>
      </c>
      <c r="L41" s="34">
        <v>63.208556000000002</v>
      </c>
      <c r="M41" s="64">
        <v>0.90476190000000001</v>
      </c>
      <c r="N41" s="59">
        <v>9.5230899999999993E-2</v>
      </c>
      <c r="O41" s="206">
        <f t="shared" si="0"/>
        <v>21.4</v>
      </c>
      <c r="P41" s="107">
        <v>9.6</v>
      </c>
      <c r="Q41" s="108">
        <v>6.6</v>
      </c>
      <c r="R41" s="109">
        <v>5.2</v>
      </c>
    </row>
    <row r="42" spans="1:19" x14ac:dyDescent="0.3">
      <c r="A42" s="82">
        <v>36</v>
      </c>
      <c r="B42" s="301"/>
      <c r="C42" s="74" t="s">
        <v>22</v>
      </c>
      <c r="D42" s="213" t="s">
        <v>88</v>
      </c>
      <c r="E42" s="210">
        <f t="shared" si="1"/>
        <v>66.095810252708006</v>
      </c>
      <c r="F42" s="209">
        <f t="shared" si="2"/>
        <v>44.095810252708006</v>
      </c>
      <c r="G42" s="62">
        <f t="shared" si="3"/>
        <v>38.229440104908008</v>
      </c>
      <c r="H42" s="86">
        <f t="shared" si="4"/>
        <v>5.8663701477999997</v>
      </c>
      <c r="I42" s="11">
        <v>12.394366</v>
      </c>
      <c r="J42" s="74">
        <v>10.3543</v>
      </c>
      <c r="K42" s="34">
        <v>19.978300000000001</v>
      </c>
      <c r="L42" s="34">
        <v>55.730600000000003</v>
      </c>
      <c r="M42" s="64">
        <v>0.89473800000000003</v>
      </c>
      <c r="N42" s="59">
        <v>0.105263</v>
      </c>
      <c r="O42" s="206">
        <f t="shared" si="0"/>
        <v>22</v>
      </c>
      <c r="P42" s="107">
        <v>9</v>
      </c>
      <c r="Q42" s="108">
        <v>7.2</v>
      </c>
      <c r="R42" s="109">
        <v>5.8</v>
      </c>
    </row>
    <row r="43" spans="1:19" x14ac:dyDescent="0.3">
      <c r="A43" s="73">
        <v>37</v>
      </c>
      <c r="B43" s="301"/>
      <c r="C43" s="278" t="s">
        <v>10</v>
      </c>
      <c r="D43" s="279" t="s">
        <v>88</v>
      </c>
      <c r="E43" s="210">
        <f t="shared" si="1"/>
        <v>85.171399187225745</v>
      </c>
      <c r="F43" s="209">
        <f t="shared" si="2"/>
        <v>63.171399187225745</v>
      </c>
      <c r="G43" s="62">
        <f t="shared" si="3"/>
        <v>60.578809187225744</v>
      </c>
      <c r="H43" s="86">
        <f t="shared" si="4"/>
        <v>2.59259</v>
      </c>
      <c r="I43" s="11">
        <v>28.3826</v>
      </c>
      <c r="J43" s="74">
        <v>11.94375</v>
      </c>
      <c r="K43" s="34">
        <v>22.582417499999998</v>
      </c>
      <c r="L43" s="34">
        <v>70</v>
      </c>
      <c r="M43" s="64">
        <v>0.96296289999999996</v>
      </c>
      <c r="N43" s="59">
        <v>3.7037E-2</v>
      </c>
      <c r="O43" s="206">
        <f t="shared" si="0"/>
        <v>22</v>
      </c>
      <c r="P43" s="107">
        <v>8.4</v>
      </c>
      <c r="Q43" s="108">
        <v>7.2</v>
      </c>
      <c r="R43" s="109">
        <v>6.4</v>
      </c>
    </row>
    <row r="44" spans="1:19" ht="17.25" thickBot="1" x14ac:dyDescent="0.35">
      <c r="A44" s="254">
        <v>38</v>
      </c>
      <c r="B44" s="302"/>
      <c r="C44" s="98" t="s">
        <v>28</v>
      </c>
      <c r="D44" s="214" t="s">
        <v>90</v>
      </c>
      <c r="E44" s="231">
        <f t="shared" si="1"/>
        <v>51.795904597660929</v>
      </c>
      <c r="F44" s="207">
        <f t="shared" si="2"/>
        <v>51.795904597660929</v>
      </c>
      <c r="G44" s="173">
        <f t="shared" si="3"/>
        <v>48.625529834178082</v>
      </c>
      <c r="H44" s="174">
        <f t="shared" si="4"/>
        <v>3.1703747634828447</v>
      </c>
      <c r="I44" s="12">
        <v>20.313725000000002</v>
      </c>
      <c r="J44" s="98">
        <v>11.098148</v>
      </c>
      <c r="K44" s="122">
        <v>20.199435000000001</v>
      </c>
      <c r="L44" s="122">
        <v>54.802201500000002</v>
      </c>
      <c r="M44" s="123">
        <v>0.94214876000000003</v>
      </c>
      <c r="N44" s="124">
        <v>5.7851229999999997E-2</v>
      </c>
      <c r="O44" s="235">
        <f t="shared" si="0"/>
        <v>0</v>
      </c>
      <c r="P44" s="187"/>
      <c r="Q44" s="188"/>
      <c r="R44" s="189"/>
    </row>
    <row r="45" spans="1:19" ht="17.25" thickBot="1" x14ac:dyDescent="0.35">
      <c r="A45" s="89">
        <v>39</v>
      </c>
      <c r="B45" s="329" t="s">
        <v>14</v>
      </c>
      <c r="C45" s="90" t="s">
        <v>35</v>
      </c>
      <c r="D45" s="175" t="s">
        <v>88</v>
      </c>
      <c r="E45" s="229">
        <f t="shared" si="1"/>
        <v>69.2</v>
      </c>
      <c r="F45" s="230">
        <f t="shared" si="2"/>
        <v>0</v>
      </c>
      <c r="G45" s="129">
        <f t="shared" si="3"/>
        <v>0</v>
      </c>
      <c r="H45" s="154">
        <f t="shared" si="4"/>
        <v>0</v>
      </c>
      <c r="I45" s="192"/>
      <c r="J45" s="260"/>
      <c r="K45" s="193"/>
      <c r="L45" s="193"/>
      <c r="M45" s="194"/>
      <c r="N45" s="195"/>
      <c r="O45" s="232">
        <f t="shared" si="0"/>
        <v>69.2</v>
      </c>
      <c r="P45" s="104">
        <v>29.6</v>
      </c>
      <c r="Q45" s="105">
        <v>23.6</v>
      </c>
      <c r="R45" s="106">
        <v>16</v>
      </c>
    </row>
    <row r="46" spans="1:19" x14ac:dyDescent="0.3">
      <c r="A46" s="60">
        <v>40</v>
      </c>
      <c r="B46" s="330"/>
      <c r="C46" s="74" t="s">
        <v>27</v>
      </c>
      <c r="D46" s="176" t="s">
        <v>47</v>
      </c>
      <c r="E46" s="210">
        <f t="shared" si="1"/>
        <v>49.506730145449993</v>
      </c>
      <c r="F46" s="209">
        <f t="shared" si="2"/>
        <v>49.506730145449993</v>
      </c>
      <c r="G46" s="62">
        <f t="shared" si="3"/>
        <v>43.471027229449994</v>
      </c>
      <c r="H46" s="86">
        <f t="shared" si="4"/>
        <v>6.0357029160000009</v>
      </c>
      <c r="I46" s="11">
        <v>15.66315</v>
      </c>
      <c r="J46" s="34">
        <v>8.4372000000000007</v>
      </c>
      <c r="K46" s="34">
        <v>23.5108</v>
      </c>
      <c r="L46" s="34">
        <v>69.411000000000001</v>
      </c>
      <c r="M46" s="64">
        <v>0.91304300000000005</v>
      </c>
      <c r="N46" s="59">
        <v>8.6956000000000006E-2</v>
      </c>
      <c r="O46" s="206">
        <f t="shared" si="0"/>
        <v>0</v>
      </c>
      <c r="P46" s="30"/>
      <c r="Q46" s="31"/>
      <c r="R46" s="32"/>
      <c r="S46" s="282" t="s">
        <v>98</v>
      </c>
    </row>
    <row r="47" spans="1:19" x14ac:dyDescent="0.3">
      <c r="A47" s="60">
        <v>41</v>
      </c>
      <c r="B47" s="330"/>
      <c r="C47" s="74" t="s">
        <v>10</v>
      </c>
      <c r="D47" s="176" t="s">
        <v>47</v>
      </c>
      <c r="E47" s="210">
        <f t="shared" si="1"/>
        <v>40.714874999999992</v>
      </c>
      <c r="F47" s="209">
        <f t="shared" si="2"/>
        <v>40.714874999999992</v>
      </c>
      <c r="G47" s="62">
        <f t="shared" si="3"/>
        <v>25.084070249999996</v>
      </c>
      <c r="H47" s="86">
        <f t="shared" si="4"/>
        <v>15.630804749999999</v>
      </c>
      <c r="I47" s="280">
        <v>6.9333299999999998</v>
      </c>
      <c r="J47" s="281">
        <v>7.3305499999999997</v>
      </c>
      <c r="K47" s="34">
        <v>19.181546999999998</v>
      </c>
      <c r="L47" s="34">
        <v>62.523218999999997</v>
      </c>
      <c r="M47" s="64">
        <v>0.75</v>
      </c>
      <c r="N47" s="59">
        <v>0.25</v>
      </c>
      <c r="O47" s="206">
        <f t="shared" si="0"/>
        <v>0</v>
      </c>
      <c r="P47" s="30"/>
      <c r="Q47" s="31"/>
      <c r="R47" s="32"/>
    </row>
    <row r="48" spans="1:19" x14ac:dyDescent="0.3">
      <c r="A48" s="73">
        <v>42</v>
      </c>
      <c r="B48" s="330"/>
      <c r="C48" s="285" t="s">
        <v>29</v>
      </c>
      <c r="D48" s="213" t="s">
        <v>84</v>
      </c>
      <c r="E48" s="210">
        <f t="shared" si="1"/>
        <v>50.05254703140001</v>
      </c>
      <c r="F48" s="209">
        <f t="shared" si="2"/>
        <v>50.05254703140001</v>
      </c>
      <c r="G48" s="62">
        <f t="shared" si="3"/>
        <v>35.576269200000006</v>
      </c>
      <c r="H48" s="86">
        <f t="shared" si="4"/>
        <v>14.476277831400001</v>
      </c>
      <c r="I48" s="11">
        <v>10.6</v>
      </c>
      <c r="J48" s="74">
        <v>13</v>
      </c>
      <c r="K48" s="34">
        <v>22.651</v>
      </c>
      <c r="L48" s="34">
        <v>62.730600000000003</v>
      </c>
      <c r="M48" s="64">
        <v>0.76919999999999999</v>
      </c>
      <c r="N48" s="59">
        <v>0.230769</v>
      </c>
      <c r="O48" s="206">
        <f t="shared" si="0"/>
        <v>0</v>
      </c>
      <c r="P48" s="30"/>
      <c r="Q48" s="31"/>
      <c r="R48" s="32"/>
    </row>
    <row r="49" spans="1:19" ht="17.25" thickBot="1" x14ac:dyDescent="0.35">
      <c r="A49" s="97">
        <v>42</v>
      </c>
      <c r="B49" s="331"/>
      <c r="C49" s="98" t="s">
        <v>28</v>
      </c>
      <c r="D49" s="214" t="s">
        <v>91</v>
      </c>
      <c r="E49" s="231">
        <f t="shared" si="1"/>
        <v>74.400000000000006</v>
      </c>
      <c r="F49" s="207">
        <f t="shared" si="2"/>
        <v>0</v>
      </c>
      <c r="G49" s="173">
        <f t="shared" si="3"/>
        <v>0</v>
      </c>
      <c r="H49" s="174">
        <f t="shared" si="4"/>
        <v>0</v>
      </c>
      <c r="I49" s="255"/>
      <c r="J49" s="256"/>
      <c r="K49" s="257"/>
      <c r="L49" s="257"/>
      <c r="M49" s="258"/>
      <c r="N49" s="259"/>
      <c r="O49" s="234">
        <f t="shared" si="0"/>
        <v>74.400000000000006</v>
      </c>
      <c r="P49" s="179">
        <v>27.2</v>
      </c>
      <c r="Q49" s="180">
        <v>29.8</v>
      </c>
      <c r="R49" s="181">
        <v>17.399999999999999</v>
      </c>
    </row>
    <row r="50" spans="1:19" x14ac:dyDescent="0.3">
      <c r="A50" s="89">
        <v>42</v>
      </c>
      <c r="B50" s="332" t="s">
        <v>53</v>
      </c>
      <c r="C50" s="90" t="s">
        <v>12</v>
      </c>
      <c r="D50" s="175" t="s">
        <v>47</v>
      </c>
      <c r="E50" s="229">
        <f t="shared" si="1"/>
        <v>58.374047943405998</v>
      </c>
      <c r="F50" s="230">
        <f t="shared" si="2"/>
        <v>58.374047943405998</v>
      </c>
      <c r="G50" s="129">
        <f t="shared" si="3"/>
        <v>40.152595915725996</v>
      </c>
      <c r="H50" s="154">
        <f t="shared" si="4"/>
        <v>18.221452027680002</v>
      </c>
      <c r="I50" s="269">
        <v>22.795059999999999</v>
      </c>
      <c r="J50" s="133">
        <v>10.724377</v>
      </c>
      <c r="K50" s="133">
        <v>22.781493000000001</v>
      </c>
      <c r="L50" s="133">
        <v>63.529223999999999</v>
      </c>
      <c r="M50" s="134">
        <v>0.71317819999999998</v>
      </c>
      <c r="N50" s="135">
        <v>0.28682000000000002</v>
      </c>
      <c r="O50" s="232">
        <f t="shared" si="0"/>
        <v>0</v>
      </c>
      <c r="P50" s="94"/>
      <c r="Q50" s="95"/>
      <c r="R50" s="96"/>
      <c r="S50" s="282" t="s">
        <v>99</v>
      </c>
    </row>
    <row r="51" spans="1:19" ht="17.25" thickBot="1" x14ac:dyDescent="0.35">
      <c r="A51" s="97">
        <v>43</v>
      </c>
      <c r="B51" s="333"/>
      <c r="C51" s="98" t="s">
        <v>29</v>
      </c>
      <c r="D51" s="178" t="s">
        <v>76</v>
      </c>
      <c r="E51" s="231">
        <f t="shared" si="1"/>
        <v>0</v>
      </c>
      <c r="F51" s="207">
        <f t="shared" si="2"/>
        <v>0</v>
      </c>
      <c r="G51" s="173">
        <f t="shared" si="3"/>
        <v>0</v>
      </c>
      <c r="H51" s="174">
        <f t="shared" si="4"/>
        <v>0</v>
      </c>
      <c r="I51" s="168"/>
      <c r="J51" s="169"/>
      <c r="K51" s="77"/>
      <c r="L51" s="77"/>
      <c r="M51" s="78"/>
      <c r="N51" s="79"/>
      <c r="O51" s="234">
        <f t="shared" si="0"/>
        <v>0</v>
      </c>
      <c r="P51" s="270"/>
      <c r="Q51" s="271"/>
      <c r="R51" s="272"/>
    </row>
    <row r="52" spans="1:19" x14ac:dyDescent="0.3">
      <c r="A52" s="253">
        <v>44</v>
      </c>
      <c r="B52" s="334" t="s">
        <v>55</v>
      </c>
      <c r="C52" s="286" t="s">
        <v>40</v>
      </c>
      <c r="D52" s="287" t="s">
        <v>77</v>
      </c>
      <c r="E52" s="210">
        <f t="shared" si="1"/>
        <v>0</v>
      </c>
      <c r="F52" s="226">
        <f t="shared" si="2"/>
        <v>0</v>
      </c>
      <c r="G52" s="227">
        <f t="shared" si="3"/>
        <v>0</v>
      </c>
      <c r="H52" s="228">
        <f t="shared" si="4"/>
        <v>0</v>
      </c>
      <c r="I52" s="265"/>
      <c r="J52" s="266"/>
      <c r="K52" s="266"/>
      <c r="L52" s="266"/>
      <c r="M52" s="267"/>
      <c r="N52" s="268"/>
      <c r="O52" s="206">
        <f t="shared" si="0"/>
        <v>0</v>
      </c>
      <c r="P52" s="30"/>
      <c r="Q52" s="31"/>
      <c r="R52" s="32"/>
    </row>
    <row r="53" spans="1:19" ht="17.25" thickBot="1" x14ac:dyDescent="0.35">
      <c r="A53" s="73">
        <v>45</v>
      </c>
      <c r="B53" s="334"/>
      <c r="C53" s="285" t="s">
        <v>25</v>
      </c>
      <c r="D53" s="288" t="s">
        <v>77</v>
      </c>
      <c r="E53" s="222">
        <f t="shared" si="1"/>
        <v>0</v>
      </c>
      <c r="F53" s="208">
        <f t="shared" si="2"/>
        <v>0</v>
      </c>
      <c r="G53" s="33">
        <f t="shared" si="3"/>
        <v>0</v>
      </c>
      <c r="H53" s="223">
        <f t="shared" si="4"/>
        <v>0</v>
      </c>
      <c r="I53" s="224"/>
      <c r="J53" s="225"/>
      <c r="K53" s="68"/>
      <c r="L53" s="68"/>
      <c r="M53" s="70"/>
      <c r="N53" s="71"/>
      <c r="O53" s="233">
        <f t="shared" si="0"/>
        <v>0</v>
      </c>
      <c r="P53" s="196"/>
      <c r="Q53" s="197"/>
      <c r="R53" s="198"/>
      <c r="S53" s="282" t="s">
        <v>96</v>
      </c>
    </row>
    <row r="54" spans="1:19" ht="17.25" thickBot="1" x14ac:dyDescent="0.35">
      <c r="A54" s="190">
        <v>46</v>
      </c>
      <c r="B54" s="191" t="s">
        <v>82</v>
      </c>
      <c r="C54" s="215" t="s">
        <v>83</v>
      </c>
      <c r="D54" s="221" t="s">
        <v>91</v>
      </c>
      <c r="E54" s="261">
        <f t="shared" si="1"/>
        <v>60</v>
      </c>
      <c r="F54" s="262">
        <f t="shared" si="2"/>
        <v>0</v>
      </c>
      <c r="G54" s="263">
        <f t="shared" si="3"/>
        <v>0</v>
      </c>
      <c r="H54" s="264">
        <f t="shared" si="4"/>
        <v>0</v>
      </c>
      <c r="I54" s="192"/>
      <c r="J54" s="193"/>
      <c r="K54" s="193"/>
      <c r="L54" s="193"/>
      <c r="M54" s="194"/>
      <c r="N54" s="195"/>
      <c r="O54" s="236">
        <v>60</v>
      </c>
      <c r="P54" s="203">
        <v>18</v>
      </c>
      <c r="Q54" s="204">
        <v>18</v>
      </c>
      <c r="R54" s="205">
        <v>24</v>
      </c>
      <c r="S54" s="282" t="s">
        <v>96</v>
      </c>
    </row>
  </sheetData>
  <autoFilter ref="B6:N7" xr:uid="{00000000-0009-0000-0000-000000000000}"/>
  <mergeCells count="26">
    <mergeCell ref="B25:B37"/>
    <mergeCell ref="B38:B44"/>
    <mergeCell ref="B45:B49"/>
    <mergeCell ref="B50:B51"/>
    <mergeCell ref="B52:B53"/>
    <mergeCell ref="B7:B24"/>
    <mergeCell ref="F3:N3"/>
    <mergeCell ref="I4:I5"/>
    <mergeCell ref="J4:J5"/>
    <mergeCell ref="O3:R3"/>
    <mergeCell ref="O4:O5"/>
    <mergeCell ref="P4:P5"/>
    <mergeCell ref="Q4:Q5"/>
    <mergeCell ref="R4:R5"/>
    <mergeCell ref="K4:L4"/>
    <mergeCell ref="H4:H6"/>
    <mergeCell ref="G4:G6"/>
    <mergeCell ref="F4:F6"/>
    <mergeCell ref="M4:N5"/>
    <mergeCell ref="B1:N1"/>
    <mergeCell ref="M2:N2"/>
    <mergeCell ref="A3:A6"/>
    <mergeCell ref="B3:B6"/>
    <mergeCell ref="C3:C6"/>
    <mergeCell ref="D3:D6"/>
    <mergeCell ref="E3:E6"/>
  </mergeCells>
  <phoneticPr fontId="4" type="noConversion"/>
  <printOptions horizontalCentered="1"/>
  <pageMargins left="0.11811023622047245" right="0.11811023622047245" top="0.39370078740157483" bottom="0.35433070866141736" header="0" footer="0"/>
  <pageSetup paperSize="9" scale="5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C000"/>
    <pageSetUpPr fitToPage="1"/>
  </sheetPr>
  <dimension ref="A1:T51"/>
  <sheetViews>
    <sheetView zoomScale="85" zoomScaleNormal="85" workbookViewId="0">
      <pane xSplit="4" ySplit="6" topLeftCell="E7" activePane="bottomRight" state="frozen"/>
      <selection pane="topRight" activeCell="F1" sqref="F1"/>
      <selection pane="bottomLeft" activeCell="A5" sqref="A5"/>
      <selection pane="bottomRight" activeCell="H8" sqref="H8"/>
    </sheetView>
  </sheetViews>
  <sheetFormatPr defaultRowHeight="16.5" x14ac:dyDescent="0.3"/>
  <cols>
    <col min="1" max="1" width="4.25" customWidth="1"/>
    <col min="2" max="3" width="8.5" customWidth="1"/>
    <col min="4" max="4" width="11.125" customWidth="1"/>
    <col min="5" max="6" width="7.25" style="3" customWidth="1"/>
    <col min="7" max="9" width="6.75" customWidth="1"/>
    <col min="10" max="16" width="8.25" customWidth="1"/>
    <col min="17" max="17" width="13.5" customWidth="1"/>
  </cols>
  <sheetData>
    <row r="1" spans="1:20" ht="51.75" customHeight="1" x14ac:dyDescent="0.3">
      <c r="B1" s="289" t="s">
        <v>56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</row>
    <row r="2" spans="1:20" ht="19.5" customHeight="1" thickBot="1" x14ac:dyDescent="0.3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290">
        <v>45583</v>
      </c>
      <c r="P2" s="291"/>
    </row>
    <row r="3" spans="1:20" ht="21" customHeight="1" thickBot="1" x14ac:dyDescent="0.35">
      <c r="A3" s="292" t="s">
        <v>8</v>
      </c>
      <c r="B3" s="292" t="s">
        <v>7</v>
      </c>
      <c r="C3" s="335" t="s">
        <v>8</v>
      </c>
      <c r="D3" s="336" t="s">
        <v>32</v>
      </c>
      <c r="E3" s="298" t="s">
        <v>63</v>
      </c>
      <c r="F3" s="338" t="s">
        <v>0</v>
      </c>
      <c r="G3" s="303"/>
      <c r="H3" s="303"/>
      <c r="I3" s="303"/>
      <c r="J3" s="303"/>
      <c r="K3" s="303"/>
      <c r="L3" s="303"/>
      <c r="M3" s="303"/>
      <c r="N3" s="303"/>
      <c r="O3" s="303"/>
      <c r="P3" s="309"/>
      <c r="Q3" s="303" t="s">
        <v>57</v>
      </c>
      <c r="R3" s="303"/>
      <c r="S3" s="303"/>
      <c r="T3" s="309"/>
    </row>
    <row r="4" spans="1:20" ht="17.25" customHeight="1" thickBot="1" x14ac:dyDescent="0.35">
      <c r="A4" s="293"/>
      <c r="B4" s="293"/>
      <c r="C4" s="307"/>
      <c r="D4" s="337"/>
      <c r="E4" s="352"/>
      <c r="F4" s="339" t="s">
        <v>16</v>
      </c>
      <c r="G4" s="340"/>
      <c r="H4" s="340"/>
      <c r="I4" s="341"/>
      <c r="J4" s="342" t="s">
        <v>4</v>
      </c>
      <c r="K4" s="314" t="s">
        <v>5</v>
      </c>
      <c r="L4" s="344" t="s">
        <v>20</v>
      </c>
      <c r="M4" s="312"/>
      <c r="N4" s="345" t="s">
        <v>15</v>
      </c>
      <c r="O4" s="347" t="s">
        <v>1</v>
      </c>
      <c r="P4" s="348"/>
      <c r="Q4" s="310" t="s">
        <v>58</v>
      </c>
      <c r="R4" s="312" t="s">
        <v>62</v>
      </c>
      <c r="S4" s="314" t="s">
        <v>59</v>
      </c>
      <c r="T4" s="316" t="s">
        <v>60</v>
      </c>
    </row>
    <row r="5" spans="1:20" ht="14.25" customHeight="1" x14ac:dyDescent="0.3">
      <c r="A5" s="293"/>
      <c r="B5" s="293"/>
      <c r="C5" s="307"/>
      <c r="D5" s="337"/>
      <c r="E5" s="352"/>
      <c r="F5" s="4" t="s">
        <v>18</v>
      </c>
      <c r="G5" s="15" t="s">
        <v>19</v>
      </c>
      <c r="H5" s="16" t="s">
        <v>17</v>
      </c>
      <c r="I5" s="17" t="s">
        <v>31</v>
      </c>
      <c r="J5" s="343"/>
      <c r="K5" s="315"/>
      <c r="L5" s="18" t="s">
        <v>2</v>
      </c>
      <c r="M5" s="18" t="s">
        <v>3</v>
      </c>
      <c r="N5" s="346"/>
      <c r="O5" s="349"/>
      <c r="P5" s="328"/>
      <c r="Q5" s="311"/>
      <c r="R5" s="313"/>
      <c r="S5" s="315"/>
      <c r="T5" s="317"/>
    </row>
    <row r="6" spans="1:20" ht="32.25" customHeight="1" thickBot="1" x14ac:dyDescent="0.35">
      <c r="A6" s="293"/>
      <c r="B6" s="293"/>
      <c r="C6" s="307"/>
      <c r="D6" s="337"/>
      <c r="E6" s="352"/>
      <c r="F6" s="5" t="s">
        <v>30</v>
      </c>
      <c r="G6" s="15">
        <v>15</v>
      </c>
      <c r="H6" s="350">
        <v>55</v>
      </c>
      <c r="I6" s="351"/>
      <c r="J6" s="9">
        <v>25</v>
      </c>
      <c r="K6" s="2">
        <v>10</v>
      </c>
      <c r="L6" s="2">
        <v>20</v>
      </c>
      <c r="M6" s="2">
        <v>55</v>
      </c>
      <c r="N6" s="10">
        <v>15</v>
      </c>
      <c r="O6" s="8" t="s">
        <v>2</v>
      </c>
      <c r="P6" s="6" t="s">
        <v>6</v>
      </c>
      <c r="Q6" s="19" t="s">
        <v>61</v>
      </c>
      <c r="R6" s="20">
        <v>13</v>
      </c>
      <c r="S6" s="2">
        <v>9</v>
      </c>
      <c r="T6" s="10">
        <v>8</v>
      </c>
    </row>
    <row r="7" spans="1:20" ht="17.25" customHeight="1" x14ac:dyDescent="0.3">
      <c r="A7" s="50">
        <v>1</v>
      </c>
      <c r="B7" s="300" t="s">
        <v>9</v>
      </c>
      <c r="C7" s="127" t="s">
        <v>33</v>
      </c>
      <c r="D7" s="128" t="s">
        <v>45</v>
      </c>
      <c r="E7" s="111">
        <f t="shared" ref="E7:E16" si="0">F7+Q7</f>
        <v>53.573845662358394</v>
      </c>
      <c r="F7" s="51">
        <f t="shared" ref="F7:F51" si="1">SUM(G7:I7)</f>
        <v>53.573845662358394</v>
      </c>
      <c r="G7" s="52">
        <f>SUM(N7)</f>
        <v>10.5</v>
      </c>
      <c r="H7" s="129">
        <f>SUM(J7,K7,L7)*O7</f>
        <v>39.932014083411026</v>
      </c>
      <c r="I7" s="130">
        <f t="shared" ref="I7:I51" si="2">SUM(M7)*P7</f>
        <v>3.1418315789473681</v>
      </c>
      <c r="J7" s="131">
        <v>16.9270833333333</v>
      </c>
      <c r="K7" s="132">
        <v>8.0767973856209103</v>
      </c>
      <c r="L7" s="133">
        <v>18.4004824151882</v>
      </c>
      <c r="M7" s="133">
        <v>39.272894736842098</v>
      </c>
      <c r="N7" s="92">
        <v>10.5</v>
      </c>
      <c r="O7" s="134">
        <v>0.92</v>
      </c>
      <c r="P7" s="135">
        <v>0.08</v>
      </c>
      <c r="Q7" s="93">
        <f t="shared" ref="Q7:Q51" si="3">SUM(R7:T7)</f>
        <v>0</v>
      </c>
      <c r="R7" s="94">
        <v>0</v>
      </c>
      <c r="S7" s="95">
        <v>0</v>
      </c>
      <c r="T7" s="96">
        <v>0</v>
      </c>
    </row>
    <row r="8" spans="1:20" ht="17.25" customHeight="1" x14ac:dyDescent="0.3">
      <c r="A8" s="45">
        <v>2</v>
      </c>
      <c r="B8" s="301"/>
      <c r="C8" s="57" t="s">
        <v>40</v>
      </c>
      <c r="D8" s="136" t="s">
        <v>45</v>
      </c>
      <c r="E8" s="53">
        <f t="shared" si="0"/>
        <v>53.886455735596627</v>
      </c>
      <c r="F8" s="46">
        <f t="shared" si="1"/>
        <v>53.886455735596627</v>
      </c>
      <c r="G8" s="47">
        <f t="shared" ref="G8:G51" si="4">SUM(N8)</f>
        <v>10.5</v>
      </c>
      <c r="H8" s="62">
        <f t="shared" ref="H8:H51" si="5">SUM(J8,K8,L8)*O8</f>
        <v>37.280355735596629</v>
      </c>
      <c r="I8" s="63">
        <f t="shared" si="2"/>
        <v>6.1060999999999996</v>
      </c>
      <c r="J8" s="137">
        <v>17.629629629629601</v>
      </c>
      <c r="K8" s="138">
        <v>8.12047440699126</v>
      </c>
      <c r="L8" s="34">
        <v>17.1008795675132</v>
      </c>
      <c r="M8" s="34">
        <v>46.97</v>
      </c>
      <c r="N8" s="35">
        <v>10.5</v>
      </c>
      <c r="O8" s="64">
        <v>0.87</v>
      </c>
      <c r="P8" s="59">
        <v>0.13</v>
      </c>
      <c r="Q8" s="29">
        <f t="shared" si="3"/>
        <v>0</v>
      </c>
      <c r="R8" s="30">
        <v>0</v>
      </c>
      <c r="S8" s="31">
        <v>0</v>
      </c>
      <c r="T8" s="32">
        <v>0</v>
      </c>
    </row>
    <row r="9" spans="1:20" ht="17.25" customHeight="1" x14ac:dyDescent="0.3">
      <c r="A9" s="45">
        <v>3</v>
      </c>
      <c r="B9" s="301"/>
      <c r="C9" s="139" t="s">
        <v>29</v>
      </c>
      <c r="D9" s="140" t="s">
        <v>69</v>
      </c>
      <c r="E9" s="53">
        <f t="shared" si="0"/>
        <v>55.765599999999999</v>
      </c>
      <c r="F9" s="46">
        <f t="shared" si="1"/>
        <v>55.765599999999999</v>
      </c>
      <c r="G9" s="47">
        <f t="shared" si="4"/>
        <v>9.6</v>
      </c>
      <c r="H9" s="62">
        <f t="shared" si="5"/>
        <v>38.725999999999999</v>
      </c>
      <c r="I9" s="63">
        <f t="shared" si="2"/>
        <v>7.4396000000000004</v>
      </c>
      <c r="J9" s="137">
        <v>19.55</v>
      </c>
      <c r="K9" s="138">
        <v>7.5</v>
      </c>
      <c r="L9" s="34">
        <v>18.510000000000002</v>
      </c>
      <c r="M9" s="34">
        <v>53.14</v>
      </c>
      <c r="N9" s="35">
        <v>9.6</v>
      </c>
      <c r="O9" s="64">
        <v>0.85</v>
      </c>
      <c r="P9" s="59">
        <v>0.14000000000000001</v>
      </c>
      <c r="Q9" s="29">
        <f t="shared" si="3"/>
        <v>0</v>
      </c>
      <c r="R9" s="30">
        <v>0</v>
      </c>
      <c r="S9" s="31">
        <v>0</v>
      </c>
      <c r="T9" s="32">
        <v>0</v>
      </c>
    </row>
    <row r="10" spans="1:20" ht="17.25" customHeight="1" x14ac:dyDescent="0.3">
      <c r="A10" s="45">
        <v>4</v>
      </c>
      <c r="B10" s="301"/>
      <c r="C10" s="139" t="s">
        <v>41</v>
      </c>
      <c r="D10" s="141" t="s">
        <v>54</v>
      </c>
      <c r="E10" s="53">
        <f t="shared" si="0"/>
        <v>49.412600000000005</v>
      </c>
      <c r="F10" s="46">
        <f t="shared" si="1"/>
        <v>49.412600000000005</v>
      </c>
      <c r="G10" s="47">
        <f t="shared" si="4"/>
        <v>9.5</v>
      </c>
      <c r="H10" s="62">
        <f t="shared" si="5"/>
        <v>31.922599999999999</v>
      </c>
      <c r="I10" s="63">
        <f t="shared" si="2"/>
        <v>7.99</v>
      </c>
      <c r="J10" s="142">
        <v>14</v>
      </c>
      <c r="K10" s="143">
        <v>6.93</v>
      </c>
      <c r="L10" s="144">
        <v>18</v>
      </c>
      <c r="M10" s="144">
        <v>47</v>
      </c>
      <c r="N10" s="121">
        <v>9.5</v>
      </c>
      <c r="O10" s="145">
        <v>0.82</v>
      </c>
      <c r="P10" s="146">
        <v>0.17</v>
      </c>
      <c r="Q10" s="29">
        <f t="shared" si="3"/>
        <v>0</v>
      </c>
      <c r="R10" s="30">
        <v>0</v>
      </c>
      <c r="S10" s="31">
        <v>0</v>
      </c>
      <c r="T10" s="32">
        <v>0</v>
      </c>
    </row>
    <row r="11" spans="1:20" ht="17.25" customHeight="1" x14ac:dyDescent="0.3">
      <c r="A11" s="45">
        <v>5</v>
      </c>
      <c r="B11" s="301"/>
      <c r="C11" s="57" t="s">
        <v>35</v>
      </c>
      <c r="D11" s="58" t="s">
        <v>47</v>
      </c>
      <c r="E11" s="53">
        <f t="shared" si="0"/>
        <v>51.742800000000003</v>
      </c>
      <c r="F11" s="46">
        <f t="shared" si="1"/>
        <v>51.742800000000003</v>
      </c>
      <c r="G11" s="47">
        <f t="shared" si="4"/>
        <v>11.4</v>
      </c>
      <c r="H11" s="62">
        <f t="shared" si="5"/>
        <v>34.582500000000003</v>
      </c>
      <c r="I11" s="63">
        <f t="shared" si="2"/>
        <v>5.7603000000000009</v>
      </c>
      <c r="J11" s="137">
        <v>14.63</v>
      </c>
      <c r="K11" s="138">
        <v>7.5</v>
      </c>
      <c r="L11" s="34">
        <v>17.62</v>
      </c>
      <c r="M11" s="34">
        <v>44.31</v>
      </c>
      <c r="N11" s="35">
        <v>11.4</v>
      </c>
      <c r="O11" s="64">
        <v>0.87</v>
      </c>
      <c r="P11" s="59">
        <v>0.13</v>
      </c>
      <c r="Q11" s="29">
        <f t="shared" si="3"/>
        <v>0</v>
      </c>
      <c r="R11" s="30">
        <v>0</v>
      </c>
      <c r="S11" s="31">
        <v>0</v>
      </c>
      <c r="T11" s="32">
        <v>0</v>
      </c>
    </row>
    <row r="12" spans="1:20" ht="17.25" customHeight="1" x14ac:dyDescent="0.3">
      <c r="A12" s="45">
        <v>6</v>
      </c>
      <c r="B12" s="301"/>
      <c r="C12" s="57" t="s">
        <v>10</v>
      </c>
      <c r="D12" s="136" t="s">
        <v>79</v>
      </c>
      <c r="E12" s="53">
        <f t="shared" si="0"/>
        <v>57.3245</v>
      </c>
      <c r="F12" s="46">
        <f t="shared" si="1"/>
        <v>57.3245</v>
      </c>
      <c r="G12" s="47">
        <f t="shared" si="4"/>
        <v>11</v>
      </c>
      <c r="H12" s="62">
        <f t="shared" si="5"/>
        <v>42.668399999999998</v>
      </c>
      <c r="I12" s="63">
        <f t="shared" si="2"/>
        <v>3.6561000000000003</v>
      </c>
      <c r="J12" s="137">
        <v>19.829999999999998</v>
      </c>
      <c r="K12" s="138">
        <v>8.75</v>
      </c>
      <c r="L12" s="34">
        <v>17.3</v>
      </c>
      <c r="M12" s="34">
        <v>52.23</v>
      </c>
      <c r="N12" s="35">
        <v>11</v>
      </c>
      <c r="O12" s="64">
        <v>0.93</v>
      </c>
      <c r="P12" s="59">
        <v>7.0000000000000007E-2</v>
      </c>
      <c r="Q12" s="29">
        <f t="shared" si="3"/>
        <v>0</v>
      </c>
      <c r="R12" s="30">
        <v>0</v>
      </c>
      <c r="S12" s="31">
        <v>0</v>
      </c>
      <c r="T12" s="32">
        <v>0</v>
      </c>
    </row>
    <row r="13" spans="1:20" ht="17.25" customHeight="1" x14ac:dyDescent="0.3">
      <c r="A13" s="45">
        <v>7</v>
      </c>
      <c r="B13" s="301"/>
      <c r="C13" s="147" t="s">
        <v>42</v>
      </c>
      <c r="D13" s="61" t="s">
        <v>70</v>
      </c>
      <c r="E13" s="53">
        <f t="shared" si="0"/>
        <v>82.44</v>
      </c>
      <c r="F13" s="46">
        <f t="shared" si="1"/>
        <v>59.64</v>
      </c>
      <c r="G13" s="47">
        <f t="shared" si="4"/>
        <v>12.75</v>
      </c>
      <c r="H13" s="62">
        <f t="shared" si="5"/>
        <v>46.89</v>
      </c>
      <c r="I13" s="63">
        <f t="shared" si="2"/>
        <v>0</v>
      </c>
      <c r="J13" s="137">
        <v>20.95</v>
      </c>
      <c r="K13" s="138">
        <v>8.2799999999999994</v>
      </c>
      <c r="L13" s="34">
        <v>17.66</v>
      </c>
      <c r="M13" s="34">
        <v>50.39</v>
      </c>
      <c r="N13" s="35">
        <v>12.75</v>
      </c>
      <c r="O13" s="64">
        <v>1</v>
      </c>
      <c r="P13" s="59">
        <v>0</v>
      </c>
      <c r="Q13" s="99">
        <f t="shared" si="3"/>
        <v>22.8</v>
      </c>
      <c r="R13" s="100">
        <v>10.4</v>
      </c>
      <c r="S13" s="101">
        <v>6.6</v>
      </c>
      <c r="T13" s="102">
        <v>5.8</v>
      </c>
    </row>
    <row r="14" spans="1:20" ht="17.25" customHeight="1" x14ac:dyDescent="0.3">
      <c r="A14" s="45">
        <v>8</v>
      </c>
      <c r="B14" s="301"/>
      <c r="C14" s="57" t="s">
        <v>27</v>
      </c>
      <c r="D14" s="58" t="s">
        <v>48</v>
      </c>
      <c r="E14" s="53">
        <f t="shared" si="0"/>
        <v>50.606733316545423</v>
      </c>
      <c r="F14" s="46">
        <f t="shared" si="1"/>
        <v>50.606733316545423</v>
      </c>
      <c r="G14" s="47">
        <f t="shared" si="4"/>
        <v>10.5</v>
      </c>
      <c r="H14" s="62">
        <f t="shared" si="5"/>
        <v>34.696689922345648</v>
      </c>
      <c r="I14" s="63">
        <f t="shared" si="2"/>
        <v>5.4100433941997759</v>
      </c>
      <c r="J14" s="137">
        <v>13.8520408163265</v>
      </c>
      <c r="K14" s="138">
        <v>7.8333333333333304</v>
      </c>
      <c r="L14" s="34">
        <v>17.742682580278402</v>
      </c>
      <c r="M14" s="34">
        <v>45.083694951664803</v>
      </c>
      <c r="N14" s="35">
        <v>10.5</v>
      </c>
      <c r="O14" s="64">
        <v>0.88</v>
      </c>
      <c r="P14" s="59">
        <v>0.12</v>
      </c>
      <c r="Q14" s="29">
        <f t="shared" si="3"/>
        <v>0</v>
      </c>
      <c r="R14" s="30">
        <v>0</v>
      </c>
      <c r="S14" s="31">
        <v>0</v>
      </c>
      <c r="T14" s="32">
        <v>0</v>
      </c>
    </row>
    <row r="15" spans="1:20" ht="17.25" customHeight="1" x14ac:dyDescent="0.3">
      <c r="A15" s="45">
        <v>9</v>
      </c>
      <c r="B15" s="301"/>
      <c r="C15" s="57" t="s">
        <v>43</v>
      </c>
      <c r="D15" s="58" t="s">
        <v>49</v>
      </c>
      <c r="E15" s="53">
        <f t="shared" si="0"/>
        <v>56.984999999999992</v>
      </c>
      <c r="F15" s="46">
        <f t="shared" si="1"/>
        <v>56.984999999999992</v>
      </c>
      <c r="G15" s="47">
        <f t="shared" si="4"/>
        <v>10.5</v>
      </c>
      <c r="H15" s="62">
        <f t="shared" si="5"/>
        <v>42.084999999999994</v>
      </c>
      <c r="I15" s="63">
        <f t="shared" si="2"/>
        <v>4.4000000000000004</v>
      </c>
      <c r="J15" s="137">
        <v>22.5</v>
      </c>
      <c r="K15" s="138">
        <v>5.3</v>
      </c>
      <c r="L15" s="34">
        <v>16.5</v>
      </c>
      <c r="M15" s="34">
        <v>55</v>
      </c>
      <c r="N15" s="35">
        <v>10.5</v>
      </c>
      <c r="O15" s="64">
        <v>0.95</v>
      </c>
      <c r="P15" s="59">
        <v>0.08</v>
      </c>
      <c r="Q15" s="29">
        <f t="shared" si="3"/>
        <v>0</v>
      </c>
      <c r="R15" s="30">
        <v>0</v>
      </c>
      <c r="S15" s="31">
        <v>0</v>
      </c>
      <c r="T15" s="32">
        <v>0</v>
      </c>
    </row>
    <row r="16" spans="1:20" ht="17.25" customHeight="1" x14ac:dyDescent="0.3">
      <c r="A16" s="56">
        <v>10</v>
      </c>
      <c r="B16" s="301"/>
      <c r="C16" s="57" t="s">
        <v>44</v>
      </c>
      <c r="D16" s="58" t="s">
        <v>49</v>
      </c>
      <c r="E16" s="53">
        <f t="shared" si="0"/>
        <v>48.800863294791505</v>
      </c>
      <c r="F16" s="46">
        <f t="shared" si="1"/>
        <v>48.800863294791505</v>
      </c>
      <c r="G16" s="47">
        <f t="shared" si="4"/>
        <v>9.5</v>
      </c>
      <c r="H16" s="62">
        <f t="shared" si="5"/>
        <v>33.800017322718467</v>
      </c>
      <c r="I16" s="63">
        <f t="shared" si="2"/>
        <v>5.5008459720730363</v>
      </c>
      <c r="J16" s="137">
        <v>12.236842105263101</v>
      </c>
      <c r="K16" s="138">
        <v>8.4239766081871306</v>
      </c>
      <c r="L16" s="34">
        <v>18.189775910364101</v>
      </c>
      <c r="M16" s="34">
        <v>42.314199785177202</v>
      </c>
      <c r="N16" s="35">
        <v>9.5</v>
      </c>
      <c r="O16" s="64">
        <v>0.87</v>
      </c>
      <c r="P16" s="59">
        <v>0.13</v>
      </c>
      <c r="Q16" s="29">
        <f t="shared" si="3"/>
        <v>0</v>
      </c>
      <c r="R16" s="30">
        <v>0</v>
      </c>
      <c r="S16" s="31">
        <v>0</v>
      </c>
      <c r="T16" s="32">
        <v>0</v>
      </c>
    </row>
    <row r="17" spans="1:20" s="1" customFormat="1" ht="15.75" customHeight="1" x14ac:dyDescent="0.3">
      <c r="A17" s="60">
        <v>11</v>
      </c>
      <c r="B17" s="301"/>
      <c r="C17" s="36" t="s">
        <v>21</v>
      </c>
      <c r="D17" s="61" t="s">
        <v>70</v>
      </c>
      <c r="E17" s="53">
        <f t="shared" ref="E17" si="6">F17+Q17</f>
        <v>81.289999999999992</v>
      </c>
      <c r="F17" s="46">
        <f t="shared" si="1"/>
        <v>60.489999999999995</v>
      </c>
      <c r="G17" s="47">
        <f t="shared" si="4"/>
        <v>9.4700000000000006</v>
      </c>
      <c r="H17" s="62">
        <f t="shared" si="5"/>
        <v>51.019999999999996</v>
      </c>
      <c r="I17" s="63">
        <f t="shared" si="2"/>
        <v>0</v>
      </c>
      <c r="J17" s="11">
        <v>25</v>
      </c>
      <c r="K17" s="74">
        <v>7.64</v>
      </c>
      <c r="L17" s="34">
        <v>18.38</v>
      </c>
      <c r="M17" s="34">
        <v>50.39</v>
      </c>
      <c r="N17" s="35">
        <v>9.4700000000000006</v>
      </c>
      <c r="O17" s="64">
        <v>1</v>
      </c>
      <c r="P17" s="59">
        <v>0</v>
      </c>
      <c r="Q17" s="99">
        <f t="shared" si="3"/>
        <v>20.8</v>
      </c>
      <c r="R17" s="100">
        <v>7.8</v>
      </c>
      <c r="S17" s="101">
        <v>7.2</v>
      </c>
      <c r="T17" s="102">
        <v>5.8</v>
      </c>
    </row>
    <row r="18" spans="1:20" s="1" customFormat="1" ht="15.75" customHeight="1" x14ac:dyDescent="0.3">
      <c r="A18" s="37">
        <v>12</v>
      </c>
      <c r="B18" s="301"/>
      <c r="C18" s="36" t="s">
        <v>22</v>
      </c>
      <c r="D18" s="61" t="s">
        <v>70</v>
      </c>
      <c r="E18" s="53">
        <f t="shared" ref="E18" si="7">F18+Q18</f>
        <v>68.769256508305688</v>
      </c>
      <c r="F18" s="46">
        <f t="shared" si="1"/>
        <v>46.769256508305688</v>
      </c>
      <c r="G18" s="47">
        <f t="shared" si="4"/>
        <v>9.4774405189888409</v>
      </c>
      <c r="H18" s="62">
        <f t="shared" si="5"/>
        <v>37.291815989316845</v>
      </c>
      <c r="I18" s="63">
        <f t="shared" si="2"/>
        <v>0</v>
      </c>
      <c r="J18" s="125">
        <v>11.176470588235199</v>
      </c>
      <c r="K18" s="34">
        <v>7.6450028781075501</v>
      </c>
      <c r="L18" s="34">
        <v>18.4703425229741</v>
      </c>
      <c r="M18" s="34">
        <v>50.394534631416697</v>
      </c>
      <c r="N18" s="35">
        <v>9.4774405189888409</v>
      </c>
      <c r="O18" s="64">
        <v>1</v>
      </c>
      <c r="P18" s="59">
        <v>0</v>
      </c>
      <c r="Q18" s="99">
        <f t="shared" si="3"/>
        <v>22</v>
      </c>
      <c r="R18" s="107">
        <v>9.6</v>
      </c>
      <c r="S18" s="108">
        <v>7.2</v>
      </c>
      <c r="T18" s="109">
        <v>5.2</v>
      </c>
    </row>
    <row r="19" spans="1:20" s="1" customFormat="1" ht="15.75" customHeight="1" x14ac:dyDescent="0.3">
      <c r="A19" s="37">
        <v>13</v>
      </c>
      <c r="B19" s="301"/>
      <c r="C19" s="36" t="s">
        <v>23</v>
      </c>
      <c r="D19" s="61" t="s">
        <v>70</v>
      </c>
      <c r="E19" s="53">
        <f t="shared" ref="E19" si="8">F19+Q19</f>
        <v>73.798000000000002</v>
      </c>
      <c r="F19" s="46">
        <f t="shared" si="1"/>
        <v>52.398000000000003</v>
      </c>
      <c r="G19" s="47">
        <f t="shared" si="4"/>
        <v>9.4700000000000006</v>
      </c>
      <c r="H19" s="62">
        <f t="shared" si="5"/>
        <v>32.248000000000005</v>
      </c>
      <c r="I19" s="63">
        <f t="shared" si="2"/>
        <v>10.68</v>
      </c>
      <c r="J19" s="11">
        <v>14.37</v>
      </c>
      <c r="K19" s="74">
        <v>7.64</v>
      </c>
      <c r="L19" s="34">
        <v>18.3</v>
      </c>
      <c r="M19" s="34">
        <v>53.4</v>
      </c>
      <c r="N19" s="35">
        <v>9.4700000000000006</v>
      </c>
      <c r="O19" s="64">
        <v>0.8</v>
      </c>
      <c r="P19" s="148">
        <v>0.2</v>
      </c>
      <c r="Q19" s="99">
        <f t="shared" si="3"/>
        <v>21.400000000000002</v>
      </c>
      <c r="R19" s="100">
        <v>8.4</v>
      </c>
      <c r="S19" s="101">
        <v>7.2</v>
      </c>
      <c r="T19" s="102">
        <v>5.8</v>
      </c>
    </row>
    <row r="20" spans="1:20" s="1" customFormat="1" ht="15.75" customHeight="1" x14ac:dyDescent="0.3">
      <c r="A20" s="37">
        <v>14</v>
      </c>
      <c r="B20" s="301"/>
      <c r="C20" s="36" t="s">
        <v>24</v>
      </c>
      <c r="D20" s="149" t="s">
        <v>70</v>
      </c>
      <c r="E20" s="53">
        <f t="shared" ref="E20" si="9">F20+Q20</f>
        <v>76.92</v>
      </c>
      <c r="F20" s="46">
        <f t="shared" si="1"/>
        <v>54.12</v>
      </c>
      <c r="G20" s="47">
        <f t="shared" si="4"/>
        <v>9.4</v>
      </c>
      <c r="H20" s="33">
        <f t="shared" si="5"/>
        <v>38.72</v>
      </c>
      <c r="I20" s="150">
        <f t="shared" si="2"/>
        <v>6</v>
      </c>
      <c r="J20" s="7">
        <v>22.4</v>
      </c>
      <c r="K20" s="126">
        <v>7.6</v>
      </c>
      <c r="L20" s="55">
        <v>14</v>
      </c>
      <c r="M20" s="55">
        <v>50</v>
      </c>
      <c r="N20" s="35">
        <v>9.4</v>
      </c>
      <c r="O20" s="54">
        <v>0.88</v>
      </c>
      <c r="P20" s="59">
        <v>0.12</v>
      </c>
      <c r="Q20" s="99">
        <f t="shared" si="3"/>
        <v>22.8</v>
      </c>
      <c r="R20" s="100">
        <v>9.8000000000000007</v>
      </c>
      <c r="S20" s="101">
        <v>7.2</v>
      </c>
      <c r="T20" s="102">
        <v>5.8</v>
      </c>
    </row>
    <row r="21" spans="1:20" s="1" customFormat="1" ht="15.75" customHeight="1" x14ac:dyDescent="0.3">
      <c r="A21" s="37">
        <v>15</v>
      </c>
      <c r="B21" s="301"/>
      <c r="C21" s="36" t="s">
        <v>25</v>
      </c>
      <c r="D21" s="43" t="s">
        <v>70</v>
      </c>
      <c r="E21" s="53">
        <f t="shared" ref="E21" si="10">F21+Q21</f>
        <v>63.879599999999996</v>
      </c>
      <c r="F21" s="46">
        <f t="shared" si="1"/>
        <v>42.479599999999998</v>
      </c>
      <c r="G21" s="47">
        <f t="shared" si="4"/>
        <v>9.4700000000000006</v>
      </c>
      <c r="H21" s="48">
        <f t="shared" si="5"/>
        <v>30.231200000000001</v>
      </c>
      <c r="I21" s="49">
        <f t="shared" si="2"/>
        <v>2.7784</v>
      </c>
      <c r="J21" s="21">
        <v>10.92</v>
      </c>
      <c r="K21" s="21">
        <v>7.64</v>
      </c>
      <c r="L21" s="34">
        <v>14.3</v>
      </c>
      <c r="M21" s="34">
        <v>34.729999999999997</v>
      </c>
      <c r="N21" s="35">
        <v>9.4700000000000006</v>
      </c>
      <c r="O21" s="64">
        <v>0.92</v>
      </c>
      <c r="P21" s="59">
        <v>0.08</v>
      </c>
      <c r="Q21" s="99">
        <f t="shared" si="3"/>
        <v>21.400000000000002</v>
      </c>
      <c r="R21" s="100">
        <v>8.4</v>
      </c>
      <c r="S21" s="101">
        <v>7.2</v>
      </c>
      <c r="T21" s="102">
        <v>5.8</v>
      </c>
    </row>
    <row r="22" spans="1:20" s="1" customFormat="1" ht="15.75" customHeight="1" x14ac:dyDescent="0.3">
      <c r="A22" s="37">
        <v>16</v>
      </c>
      <c r="B22" s="301"/>
      <c r="C22" s="36" t="s">
        <v>65</v>
      </c>
      <c r="D22" s="44" t="s">
        <v>26</v>
      </c>
      <c r="E22" s="38">
        <f t="shared" ref="E22" si="11">F22+Q22</f>
        <v>0</v>
      </c>
      <c r="F22" s="39">
        <f t="shared" si="1"/>
        <v>0</v>
      </c>
      <c r="G22" s="40">
        <f t="shared" si="4"/>
        <v>0</v>
      </c>
      <c r="H22" s="41">
        <f t="shared" si="5"/>
        <v>0</v>
      </c>
      <c r="I22" s="42">
        <f t="shared" si="2"/>
        <v>0</v>
      </c>
      <c r="J22" s="22"/>
      <c r="K22" s="23"/>
      <c r="L22" s="25"/>
      <c r="M22" s="25"/>
      <c r="N22" s="26"/>
      <c r="O22" s="27"/>
      <c r="P22" s="28"/>
      <c r="Q22" s="29">
        <f t="shared" si="3"/>
        <v>0</v>
      </c>
      <c r="R22" s="30">
        <v>0</v>
      </c>
      <c r="S22" s="31">
        <v>0</v>
      </c>
      <c r="T22" s="32">
        <v>0</v>
      </c>
    </row>
    <row r="23" spans="1:20" s="1" customFormat="1" ht="15.75" customHeight="1" thickBot="1" x14ac:dyDescent="0.35">
      <c r="A23" s="37">
        <v>17</v>
      </c>
      <c r="B23" s="301"/>
      <c r="C23" s="36" t="s">
        <v>66</v>
      </c>
      <c r="D23" s="44" t="s">
        <v>71</v>
      </c>
      <c r="E23" s="38">
        <f t="shared" ref="E23" si="12">F23+Q23</f>
        <v>0</v>
      </c>
      <c r="F23" s="39">
        <f t="shared" si="1"/>
        <v>0</v>
      </c>
      <c r="G23" s="40">
        <f t="shared" si="4"/>
        <v>0</v>
      </c>
      <c r="H23" s="41">
        <f t="shared" si="5"/>
        <v>0</v>
      </c>
      <c r="I23" s="42">
        <f t="shared" si="2"/>
        <v>0</v>
      </c>
      <c r="J23" s="22"/>
      <c r="K23" s="24"/>
      <c r="L23" s="68"/>
      <c r="M23" s="68"/>
      <c r="N23" s="26"/>
      <c r="O23" s="70"/>
      <c r="P23" s="71"/>
      <c r="Q23" s="29">
        <f t="shared" si="3"/>
        <v>0</v>
      </c>
      <c r="R23" s="30">
        <v>0</v>
      </c>
      <c r="S23" s="31">
        <v>0</v>
      </c>
      <c r="T23" s="32">
        <v>0</v>
      </c>
    </row>
    <row r="24" spans="1:20" s="1" customFormat="1" ht="15.75" customHeight="1" x14ac:dyDescent="0.3">
      <c r="A24" s="72">
        <v>18</v>
      </c>
      <c r="B24" s="300" t="s">
        <v>11</v>
      </c>
      <c r="C24" s="151" t="s">
        <v>12</v>
      </c>
      <c r="D24" s="152" t="s">
        <v>70</v>
      </c>
      <c r="E24" s="111">
        <f t="shared" ref="E24" si="13">F24+Q24</f>
        <v>72.293000000000006</v>
      </c>
      <c r="F24" s="51">
        <f t="shared" si="1"/>
        <v>51.093000000000004</v>
      </c>
      <c r="G24" s="153">
        <f t="shared" si="4"/>
        <v>12.75</v>
      </c>
      <c r="H24" s="129">
        <f t="shared" si="5"/>
        <v>33.336000000000006</v>
      </c>
      <c r="I24" s="154">
        <f t="shared" si="2"/>
        <v>5.0070000000000006</v>
      </c>
      <c r="J24" s="13">
        <v>11.23</v>
      </c>
      <c r="K24" s="90">
        <v>7.94</v>
      </c>
      <c r="L24" s="133">
        <v>17.87</v>
      </c>
      <c r="M24" s="133">
        <v>50.07</v>
      </c>
      <c r="N24" s="92">
        <v>12.75</v>
      </c>
      <c r="O24" s="134">
        <v>0.9</v>
      </c>
      <c r="P24" s="135">
        <v>0.1</v>
      </c>
      <c r="Q24" s="103">
        <f t="shared" si="3"/>
        <v>21.2</v>
      </c>
      <c r="R24" s="104">
        <v>9.8000000000000007</v>
      </c>
      <c r="S24" s="105">
        <v>6.6</v>
      </c>
      <c r="T24" s="106">
        <v>4.8</v>
      </c>
    </row>
    <row r="25" spans="1:20" s="1" customFormat="1" ht="15.75" customHeight="1" x14ac:dyDescent="0.3">
      <c r="A25" s="37">
        <v>19</v>
      </c>
      <c r="B25" s="301"/>
      <c r="C25" s="75" t="s">
        <v>34</v>
      </c>
      <c r="D25" s="140" t="s">
        <v>69</v>
      </c>
      <c r="E25" s="53">
        <f t="shared" ref="E25" si="14">F25+Q25</f>
        <v>52.183899999999994</v>
      </c>
      <c r="F25" s="46">
        <f t="shared" si="1"/>
        <v>52.183899999999994</v>
      </c>
      <c r="G25" s="47">
        <f t="shared" si="4"/>
        <v>10.5</v>
      </c>
      <c r="H25" s="62">
        <f t="shared" si="5"/>
        <v>35.875899999999994</v>
      </c>
      <c r="I25" s="86">
        <f t="shared" si="2"/>
        <v>5.8079999999999998</v>
      </c>
      <c r="J25" s="11">
        <v>13.03</v>
      </c>
      <c r="K25" s="34">
        <v>8.6999999999999993</v>
      </c>
      <c r="L25" s="34">
        <v>18.579999999999998</v>
      </c>
      <c r="M25" s="34">
        <v>52.8</v>
      </c>
      <c r="N25" s="35">
        <v>10.5</v>
      </c>
      <c r="O25" s="64">
        <v>0.89</v>
      </c>
      <c r="P25" s="59">
        <v>0.11</v>
      </c>
      <c r="Q25" s="29">
        <f t="shared" si="3"/>
        <v>0</v>
      </c>
      <c r="R25" s="30">
        <v>0</v>
      </c>
      <c r="S25" s="31">
        <v>0</v>
      </c>
      <c r="T25" s="32">
        <v>0</v>
      </c>
    </row>
    <row r="26" spans="1:20" s="1" customFormat="1" ht="15.75" customHeight="1" x14ac:dyDescent="0.3">
      <c r="A26" s="37">
        <v>20</v>
      </c>
      <c r="B26" s="301"/>
      <c r="C26" s="74" t="s">
        <v>35</v>
      </c>
      <c r="D26" s="74" t="s">
        <v>48</v>
      </c>
      <c r="E26" s="53">
        <f t="shared" ref="E26" si="15">F26+Q26</f>
        <v>42.36</v>
      </c>
      <c r="F26" s="46">
        <f t="shared" si="1"/>
        <v>42.36</v>
      </c>
      <c r="G26" s="47">
        <f t="shared" si="4"/>
        <v>10.5</v>
      </c>
      <c r="H26" s="62">
        <f t="shared" si="5"/>
        <v>31.86</v>
      </c>
      <c r="I26" s="86">
        <f t="shared" si="2"/>
        <v>0</v>
      </c>
      <c r="J26" s="11">
        <v>6.7</v>
      </c>
      <c r="K26" s="34">
        <v>7.72</v>
      </c>
      <c r="L26" s="34">
        <v>17.440000000000001</v>
      </c>
      <c r="M26" s="34">
        <v>50.39</v>
      </c>
      <c r="N26" s="35">
        <v>10.5</v>
      </c>
      <c r="O26" s="64">
        <v>1</v>
      </c>
      <c r="P26" s="59">
        <v>0</v>
      </c>
      <c r="Q26" s="29">
        <f t="shared" si="3"/>
        <v>0</v>
      </c>
      <c r="R26" s="30">
        <v>0</v>
      </c>
      <c r="S26" s="31">
        <v>0</v>
      </c>
      <c r="T26" s="32">
        <v>0</v>
      </c>
    </row>
    <row r="27" spans="1:20" s="1" customFormat="1" ht="15.75" customHeight="1" x14ac:dyDescent="0.3">
      <c r="A27" s="37">
        <v>21</v>
      </c>
      <c r="B27" s="301"/>
      <c r="C27" s="36" t="s">
        <v>10</v>
      </c>
      <c r="D27" s="61" t="s">
        <v>70</v>
      </c>
      <c r="E27" s="53">
        <f t="shared" ref="E27" si="16">F27+Q27</f>
        <v>67.235500000000002</v>
      </c>
      <c r="F27" s="46">
        <f t="shared" si="1"/>
        <v>46.835500000000003</v>
      </c>
      <c r="G27" s="47">
        <f t="shared" si="4"/>
        <v>9.5</v>
      </c>
      <c r="H27" s="62">
        <f t="shared" si="5"/>
        <v>35.156000000000006</v>
      </c>
      <c r="I27" s="86">
        <f t="shared" si="2"/>
        <v>2.1795000000000004</v>
      </c>
      <c r="J27" s="11">
        <v>11.36</v>
      </c>
      <c r="K27" s="74">
        <v>7.44</v>
      </c>
      <c r="L27" s="34">
        <v>18.600000000000001</v>
      </c>
      <c r="M27" s="34">
        <v>43.59</v>
      </c>
      <c r="N27" s="35">
        <v>9.5</v>
      </c>
      <c r="O27" s="64">
        <v>0.94</v>
      </c>
      <c r="P27" s="59">
        <v>0.05</v>
      </c>
      <c r="Q27" s="99">
        <f t="shared" si="3"/>
        <v>20.399999999999999</v>
      </c>
      <c r="R27" s="107">
        <v>8.6</v>
      </c>
      <c r="S27" s="108">
        <v>6.6</v>
      </c>
      <c r="T27" s="109">
        <v>5.2</v>
      </c>
    </row>
    <row r="28" spans="1:20" s="1" customFormat="1" ht="15.75" customHeight="1" x14ac:dyDescent="0.3">
      <c r="A28" s="73">
        <v>22</v>
      </c>
      <c r="B28" s="301"/>
      <c r="C28" s="74" t="s">
        <v>41</v>
      </c>
      <c r="D28" s="155" t="s">
        <v>49</v>
      </c>
      <c r="E28" s="53">
        <f t="shared" ref="E28" si="17">F28+Q28</f>
        <v>47.333400000000005</v>
      </c>
      <c r="F28" s="46">
        <f t="shared" si="1"/>
        <v>47.333400000000005</v>
      </c>
      <c r="G28" s="47">
        <f t="shared" si="4"/>
        <v>10.5</v>
      </c>
      <c r="H28" s="62">
        <f t="shared" si="5"/>
        <v>33.647400000000005</v>
      </c>
      <c r="I28" s="86">
        <f t="shared" si="2"/>
        <v>3.1859999999999999</v>
      </c>
      <c r="J28" s="137">
        <v>10.55</v>
      </c>
      <c r="K28" s="138">
        <v>7.35</v>
      </c>
      <c r="L28" s="34">
        <v>18.28</v>
      </c>
      <c r="M28" s="34">
        <v>53.1</v>
      </c>
      <c r="N28" s="35">
        <v>10.5</v>
      </c>
      <c r="O28" s="64">
        <v>0.93</v>
      </c>
      <c r="P28" s="59">
        <v>0.06</v>
      </c>
      <c r="Q28" s="29">
        <f t="shared" si="3"/>
        <v>0</v>
      </c>
      <c r="R28" s="30">
        <v>0</v>
      </c>
      <c r="S28" s="31">
        <v>0</v>
      </c>
      <c r="T28" s="32">
        <v>0</v>
      </c>
    </row>
    <row r="29" spans="1:20" s="1" customFormat="1" ht="15.75" customHeight="1" x14ac:dyDescent="0.3">
      <c r="A29" s="73">
        <v>23</v>
      </c>
      <c r="B29" s="301"/>
      <c r="C29" s="74" t="s">
        <v>36</v>
      </c>
      <c r="D29" s="155" t="s">
        <v>49</v>
      </c>
      <c r="E29" s="53">
        <f t="shared" ref="E29" si="18">F29+Q29</f>
        <v>47.040700000000001</v>
      </c>
      <c r="F29" s="46">
        <f t="shared" si="1"/>
        <v>47.040700000000001</v>
      </c>
      <c r="G29" s="76">
        <f t="shared" si="4"/>
        <v>10.5</v>
      </c>
      <c r="H29" s="156">
        <f t="shared" si="5"/>
        <v>33.460700000000003</v>
      </c>
      <c r="I29" s="157">
        <f t="shared" si="2"/>
        <v>3.08</v>
      </c>
      <c r="J29" s="137">
        <v>10.63</v>
      </c>
      <c r="K29" s="138">
        <v>8.4700000000000006</v>
      </c>
      <c r="L29" s="34">
        <v>17.670000000000002</v>
      </c>
      <c r="M29" s="34">
        <v>44</v>
      </c>
      <c r="N29" s="35">
        <v>10.5</v>
      </c>
      <c r="O29" s="64">
        <v>0.91</v>
      </c>
      <c r="P29" s="59">
        <v>7.0000000000000007E-2</v>
      </c>
      <c r="Q29" s="29">
        <f t="shared" si="3"/>
        <v>0</v>
      </c>
      <c r="R29" s="30">
        <v>0</v>
      </c>
      <c r="S29" s="31">
        <v>0</v>
      </c>
      <c r="T29" s="32">
        <v>0</v>
      </c>
    </row>
    <row r="30" spans="1:20" s="1" customFormat="1" ht="15.75" customHeight="1" x14ac:dyDescent="0.3">
      <c r="A30" s="73">
        <v>24</v>
      </c>
      <c r="B30" s="301"/>
      <c r="C30" s="74" t="s">
        <v>44</v>
      </c>
      <c r="D30" s="155" t="s">
        <v>49</v>
      </c>
      <c r="E30" s="53">
        <f t="shared" ref="E30" si="19">F30+Q30</f>
        <v>43.487699999999997</v>
      </c>
      <c r="F30" s="46">
        <f t="shared" si="1"/>
        <v>43.487699999999997</v>
      </c>
      <c r="G30" s="47">
        <f t="shared" si="4"/>
        <v>7.5</v>
      </c>
      <c r="H30" s="62">
        <f t="shared" si="5"/>
        <v>31.067699999999995</v>
      </c>
      <c r="I30" s="86">
        <f t="shared" si="2"/>
        <v>4.92</v>
      </c>
      <c r="J30" s="137">
        <v>9.52</v>
      </c>
      <c r="K30" s="138">
        <v>7.29</v>
      </c>
      <c r="L30" s="34">
        <v>18.899999999999999</v>
      </c>
      <c r="M30" s="34">
        <v>41</v>
      </c>
      <c r="N30" s="35">
        <v>7.5</v>
      </c>
      <c r="O30" s="64">
        <v>0.87</v>
      </c>
      <c r="P30" s="59">
        <v>0.12</v>
      </c>
      <c r="Q30" s="29">
        <f t="shared" si="3"/>
        <v>0</v>
      </c>
      <c r="R30" s="30">
        <v>0</v>
      </c>
      <c r="S30" s="31">
        <v>0</v>
      </c>
      <c r="T30" s="32">
        <v>0</v>
      </c>
    </row>
    <row r="31" spans="1:20" s="1" customFormat="1" ht="15.75" customHeight="1" x14ac:dyDescent="0.3">
      <c r="A31" s="73">
        <v>25</v>
      </c>
      <c r="B31" s="301"/>
      <c r="C31" s="74" t="s">
        <v>50</v>
      </c>
      <c r="D31" s="155" t="s">
        <v>49</v>
      </c>
      <c r="E31" s="53">
        <f t="shared" ref="E31" si="20">F31+Q31</f>
        <v>49.675600000000003</v>
      </c>
      <c r="F31" s="46">
        <f t="shared" si="1"/>
        <v>49.675600000000003</v>
      </c>
      <c r="G31" s="47">
        <f t="shared" si="4"/>
        <v>10.5</v>
      </c>
      <c r="H31" s="62">
        <f t="shared" si="5"/>
        <v>34.858800000000002</v>
      </c>
      <c r="I31" s="86">
        <f t="shared" si="2"/>
        <v>4.3167999999999997</v>
      </c>
      <c r="J31" s="137">
        <v>11.33</v>
      </c>
      <c r="K31" s="138">
        <v>8.18</v>
      </c>
      <c r="L31" s="34">
        <v>18.38</v>
      </c>
      <c r="M31" s="34">
        <v>53.96</v>
      </c>
      <c r="N31" s="35">
        <v>10.5</v>
      </c>
      <c r="O31" s="64">
        <v>0.92</v>
      </c>
      <c r="P31" s="59">
        <v>0.08</v>
      </c>
      <c r="Q31" s="29">
        <f t="shared" si="3"/>
        <v>0</v>
      </c>
      <c r="R31" s="30">
        <v>0</v>
      </c>
      <c r="S31" s="31">
        <v>0</v>
      </c>
      <c r="T31" s="32">
        <v>0</v>
      </c>
    </row>
    <row r="32" spans="1:20" s="1" customFormat="1" ht="15.75" customHeight="1" x14ac:dyDescent="0.3">
      <c r="A32" s="73">
        <v>26</v>
      </c>
      <c r="B32" s="301"/>
      <c r="C32" s="36" t="s">
        <v>27</v>
      </c>
      <c r="D32" s="83" t="s">
        <v>73</v>
      </c>
      <c r="E32" s="53">
        <f t="shared" ref="E32" si="21">F32+Q32</f>
        <v>70.403199999999998</v>
      </c>
      <c r="F32" s="46">
        <f t="shared" si="1"/>
        <v>48.803200000000004</v>
      </c>
      <c r="G32" s="47">
        <f t="shared" si="4"/>
        <v>9.4700000000000006</v>
      </c>
      <c r="H32" s="62">
        <f t="shared" si="5"/>
        <v>32.1554</v>
      </c>
      <c r="I32" s="86">
        <f t="shared" si="2"/>
        <v>7.1778000000000013</v>
      </c>
      <c r="J32" s="137">
        <v>12.5</v>
      </c>
      <c r="K32" s="158">
        <v>7.64</v>
      </c>
      <c r="L32" s="34">
        <v>17.25</v>
      </c>
      <c r="M32" s="34">
        <v>51.27</v>
      </c>
      <c r="N32" s="35">
        <v>9.4700000000000006</v>
      </c>
      <c r="O32" s="64">
        <v>0.86</v>
      </c>
      <c r="P32" s="59">
        <v>0.14000000000000001</v>
      </c>
      <c r="Q32" s="99">
        <f t="shared" si="3"/>
        <v>21.599999999999998</v>
      </c>
      <c r="R32" s="107">
        <v>9.1999999999999993</v>
      </c>
      <c r="S32" s="108">
        <v>6.6</v>
      </c>
      <c r="T32" s="109">
        <v>5.8</v>
      </c>
    </row>
    <row r="33" spans="1:20" s="1" customFormat="1" ht="15.75" customHeight="1" x14ac:dyDescent="0.3">
      <c r="A33" s="73">
        <v>27</v>
      </c>
      <c r="B33" s="301"/>
      <c r="C33" s="36" t="s">
        <v>23</v>
      </c>
      <c r="D33" s="83" t="s">
        <v>72</v>
      </c>
      <c r="E33" s="53">
        <f t="shared" ref="E33" si="22">F33+Q33</f>
        <v>73.13</v>
      </c>
      <c r="F33" s="46">
        <f t="shared" si="1"/>
        <v>52.929999999999993</v>
      </c>
      <c r="G33" s="85">
        <f t="shared" si="4"/>
        <v>9.4700000000000006</v>
      </c>
      <c r="H33" s="62">
        <f t="shared" si="5"/>
        <v>28.342999999999993</v>
      </c>
      <c r="I33" s="86">
        <f t="shared" si="2"/>
        <v>15.116999999999999</v>
      </c>
      <c r="J33" s="11">
        <v>14.37</v>
      </c>
      <c r="K33" s="74">
        <v>7.64</v>
      </c>
      <c r="L33" s="34">
        <v>18.48</v>
      </c>
      <c r="M33" s="34">
        <v>50.39</v>
      </c>
      <c r="N33" s="35">
        <v>9.4700000000000006</v>
      </c>
      <c r="O33" s="64">
        <v>0.7</v>
      </c>
      <c r="P33" s="59">
        <v>0.3</v>
      </c>
      <c r="Q33" s="99">
        <f t="shared" si="3"/>
        <v>20.200000000000003</v>
      </c>
      <c r="R33" s="107">
        <v>8.4</v>
      </c>
      <c r="S33" s="108">
        <v>5.4</v>
      </c>
      <c r="T33" s="109">
        <v>6.4</v>
      </c>
    </row>
    <row r="34" spans="1:20" s="1" customFormat="1" ht="15.75" customHeight="1" x14ac:dyDescent="0.3">
      <c r="A34" s="73">
        <v>28</v>
      </c>
      <c r="B34" s="301"/>
      <c r="C34" s="36" t="s">
        <v>25</v>
      </c>
      <c r="D34" s="83" t="s">
        <v>78</v>
      </c>
      <c r="E34" s="53">
        <f t="shared" ref="E34" si="23">F34+Q34</f>
        <v>73.199999999999989</v>
      </c>
      <c r="F34" s="39">
        <f t="shared" si="1"/>
        <v>0</v>
      </c>
      <c r="G34" s="159">
        <f t="shared" si="4"/>
        <v>0</v>
      </c>
      <c r="H34" s="160">
        <f t="shared" si="5"/>
        <v>0</v>
      </c>
      <c r="I34" s="161">
        <f t="shared" si="2"/>
        <v>0</v>
      </c>
      <c r="J34" s="162">
        <v>0</v>
      </c>
      <c r="K34" s="163">
        <v>0</v>
      </c>
      <c r="L34" s="25">
        <v>0</v>
      </c>
      <c r="M34" s="25">
        <v>0</v>
      </c>
      <c r="N34" s="26">
        <v>0</v>
      </c>
      <c r="O34" s="27">
        <v>0</v>
      </c>
      <c r="P34" s="28">
        <v>0</v>
      </c>
      <c r="Q34" s="99">
        <f t="shared" si="3"/>
        <v>73.199999999999989</v>
      </c>
      <c r="R34" s="107">
        <v>27.8</v>
      </c>
      <c r="S34" s="108">
        <v>28</v>
      </c>
      <c r="T34" s="109">
        <v>17.399999999999999</v>
      </c>
    </row>
    <row r="35" spans="1:20" s="1" customFormat="1" ht="15.75" customHeight="1" x14ac:dyDescent="0.3">
      <c r="A35" s="73">
        <v>29</v>
      </c>
      <c r="B35" s="301"/>
      <c r="C35" s="36" t="s">
        <v>67</v>
      </c>
      <c r="D35" s="83" t="s">
        <v>74</v>
      </c>
      <c r="E35" s="53">
        <f t="shared" ref="E35" si="24">F35+Q35</f>
        <v>60.873200000000004</v>
      </c>
      <c r="F35" s="46">
        <f t="shared" si="1"/>
        <v>38.673200000000001</v>
      </c>
      <c r="G35" s="85">
        <f t="shared" si="4"/>
        <v>9.4700000000000006</v>
      </c>
      <c r="H35" s="62">
        <f t="shared" si="5"/>
        <v>24.8032</v>
      </c>
      <c r="I35" s="86">
        <f t="shared" si="2"/>
        <v>4.4000000000000004</v>
      </c>
      <c r="J35" s="11">
        <v>10.75</v>
      </c>
      <c r="K35" s="74">
        <v>7.64</v>
      </c>
      <c r="L35" s="34">
        <v>8.57</v>
      </c>
      <c r="M35" s="34">
        <v>55</v>
      </c>
      <c r="N35" s="35">
        <v>9.4700000000000006</v>
      </c>
      <c r="O35" s="64">
        <v>0.92</v>
      </c>
      <c r="P35" s="59">
        <v>0.08</v>
      </c>
      <c r="Q35" s="99">
        <f t="shared" si="3"/>
        <v>22.200000000000003</v>
      </c>
      <c r="R35" s="107">
        <v>9.6</v>
      </c>
      <c r="S35" s="108">
        <v>7.2</v>
      </c>
      <c r="T35" s="109">
        <v>5.4</v>
      </c>
    </row>
    <row r="36" spans="1:20" s="1" customFormat="1" ht="15.75" customHeight="1" thickBot="1" x14ac:dyDescent="0.35">
      <c r="A36" s="73">
        <v>30</v>
      </c>
      <c r="B36" s="301"/>
      <c r="C36" s="65" t="s">
        <v>68</v>
      </c>
      <c r="D36" s="164" t="s">
        <v>75</v>
      </c>
      <c r="E36" s="80">
        <f t="shared" ref="E36" si="25">F36+Q36</f>
        <v>0</v>
      </c>
      <c r="F36" s="66">
        <f t="shared" si="1"/>
        <v>0</v>
      </c>
      <c r="G36" s="165">
        <f t="shared" si="4"/>
        <v>0</v>
      </c>
      <c r="H36" s="166">
        <f t="shared" si="5"/>
        <v>0</v>
      </c>
      <c r="I36" s="167">
        <f t="shared" si="2"/>
        <v>0</v>
      </c>
      <c r="J36" s="168"/>
      <c r="K36" s="169"/>
      <c r="L36" s="77"/>
      <c r="M36" s="77"/>
      <c r="N36" s="69"/>
      <c r="O36" s="78"/>
      <c r="P36" s="79"/>
      <c r="Q36" s="29">
        <f t="shared" si="3"/>
        <v>0</v>
      </c>
      <c r="R36" s="30">
        <v>0</v>
      </c>
      <c r="S36" s="31">
        <v>0</v>
      </c>
      <c r="T36" s="32">
        <v>0</v>
      </c>
    </row>
    <row r="37" spans="1:20" s="1" customFormat="1" ht="15.75" customHeight="1" x14ac:dyDescent="0.3">
      <c r="A37" s="81">
        <v>31</v>
      </c>
      <c r="B37" s="300" t="s">
        <v>13</v>
      </c>
      <c r="C37" s="90" t="s">
        <v>33</v>
      </c>
      <c r="D37" s="170" t="s">
        <v>37</v>
      </c>
      <c r="E37" s="111">
        <f t="shared" ref="E37" si="26">F37+Q37</f>
        <v>57.937518349226686</v>
      </c>
      <c r="F37" s="51">
        <f t="shared" si="1"/>
        <v>57.937518349226686</v>
      </c>
      <c r="G37" s="52">
        <f t="shared" si="4"/>
        <v>9</v>
      </c>
      <c r="H37" s="129">
        <f t="shared" si="5"/>
        <v>44.911824749373395</v>
      </c>
      <c r="I37" s="154">
        <f t="shared" si="2"/>
        <v>4.0256935998532883</v>
      </c>
      <c r="J37" s="131">
        <v>21.98</v>
      </c>
      <c r="K37" s="132">
        <v>8.66</v>
      </c>
      <c r="L37" s="133">
        <v>18.177200814536299</v>
      </c>
      <c r="M37" s="133">
        <v>50.321169998166098</v>
      </c>
      <c r="N37" s="92">
        <v>9</v>
      </c>
      <c r="O37" s="134">
        <v>0.92</v>
      </c>
      <c r="P37" s="135">
        <v>0.08</v>
      </c>
      <c r="Q37" s="93">
        <f t="shared" si="3"/>
        <v>0</v>
      </c>
      <c r="R37" s="94">
        <v>0</v>
      </c>
      <c r="S37" s="95">
        <v>0</v>
      </c>
      <c r="T37" s="96">
        <v>0</v>
      </c>
    </row>
    <row r="38" spans="1:20" s="1" customFormat="1" ht="15.75" customHeight="1" x14ac:dyDescent="0.3">
      <c r="A38" s="73">
        <v>32</v>
      </c>
      <c r="B38" s="301"/>
      <c r="C38" s="74" t="s">
        <v>34</v>
      </c>
      <c r="D38" s="171" t="s">
        <v>38</v>
      </c>
      <c r="E38" s="53">
        <f t="shared" ref="E38" si="27">F38+Q38</f>
        <v>56.076164584952323</v>
      </c>
      <c r="F38" s="46">
        <f t="shared" si="1"/>
        <v>56.076164584952323</v>
      </c>
      <c r="G38" s="47">
        <f t="shared" si="4"/>
        <v>8.1</v>
      </c>
      <c r="H38" s="62">
        <f t="shared" si="5"/>
        <v>44.990158393001856</v>
      </c>
      <c r="I38" s="86">
        <f t="shared" si="2"/>
        <v>2.9860061919504641</v>
      </c>
      <c r="J38" s="11">
        <v>20.65</v>
      </c>
      <c r="K38" s="74">
        <v>9.0500000000000007</v>
      </c>
      <c r="L38" s="34">
        <v>18.102043292564499</v>
      </c>
      <c r="M38" s="34">
        <v>50.762105263157899</v>
      </c>
      <c r="N38" s="35">
        <v>8.1</v>
      </c>
      <c r="O38" s="64">
        <f>0.941176470588235%*100</f>
        <v>0.94117647058823484</v>
      </c>
      <c r="P38" s="59">
        <f>0.0588235294117647%*100</f>
        <v>5.8823529411764698E-2</v>
      </c>
      <c r="Q38" s="29">
        <f t="shared" si="3"/>
        <v>0</v>
      </c>
      <c r="R38" s="30">
        <v>0</v>
      </c>
      <c r="S38" s="31">
        <v>0</v>
      </c>
      <c r="T38" s="32">
        <v>0</v>
      </c>
    </row>
    <row r="39" spans="1:20" s="1" customFormat="1" ht="15.75" customHeight="1" x14ac:dyDescent="0.3">
      <c r="A39" s="73">
        <v>33</v>
      </c>
      <c r="B39" s="301"/>
      <c r="C39" s="74" t="s">
        <v>35</v>
      </c>
      <c r="D39" s="171" t="s">
        <v>39</v>
      </c>
      <c r="E39" s="53">
        <f t="shared" ref="E39" si="28">F39+Q39</f>
        <v>54.286200131929853</v>
      </c>
      <c r="F39" s="46">
        <f t="shared" si="1"/>
        <v>54.286200131929853</v>
      </c>
      <c r="G39" s="85">
        <f t="shared" si="4"/>
        <v>10.5</v>
      </c>
      <c r="H39" s="62">
        <f t="shared" si="5"/>
        <v>41.637628703358423</v>
      </c>
      <c r="I39" s="86">
        <f t="shared" si="2"/>
        <v>2.1485714285714281</v>
      </c>
      <c r="J39" s="11">
        <v>16.739999999999998</v>
      </c>
      <c r="K39" s="34">
        <v>8.51</v>
      </c>
      <c r="L39" s="34">
        <v>18.122529899331699</v>
      </c>
      <c r="M39" s="34">
        <v>53.714285714285701</v>
      </c>
      <c r="N39" s="35">
        <v>10.5</v>
      </c>
      <c r="O39" s="64">
        <v>0.96</v>
      </c>
      <c r="P39" s="59">
        <v>0.04</v>
      </c>
      <c r="Q39" s="29">
        <f t="shared" si="3"/>
        <v>0</v>
      </c>
      <c r="R39" s="30">
        <v>0</v>
      </c>
      <c r="S39" s="31">
        <v>0</v>
      </c>
      <c r="T39" s="32">
        <v>0</v>
      </c>
    </row>
    <row r="40" spans="1:20" s="1" customFormat="1" ht="15.75" customHeight="1" x14ac:dyDescent="0.3">
      <c r="A40" s="73">
        <v>34</v>
      </c>
      <c r="B40" s="301"/>
      <c r="C40" s="74" t="s">
        <v>36</v>
      </c>
      <c r="D40" s="84" t="s">
        <v>46</v>
      </c>
      <c r="E40" s="53">
        <f t="shared" ref="E40" si="29">F40+Q40</f>
        <v>50.344906226920799</v>
      </c>
      <c r="F40" s="46">
        <f t="shared" si="1"/>
        <v>50.344906226920799</v>
      </c>
      <c r="G40" s="85">
        <f t="shared" si="4"/>
        <v>10.5</v>
      </c>
      <c r="H40" s="62">
        <f t="shared" si="5"/>
        <v>34.241266226920807</v>
      </c>
      <c r="I40" s="86">
        <f t="shared" si="2"/>
        <v>5.603639999999988</v>
      </c>
      <c r="J40" s="11">
        <v>12.87</v>
      </c>
      <c r="K40" s="74">
        <v>8.3800000000000008</v>
      </c>
      <c r="L40" s="34">
        <v>17.6605298033191</v>
      </c>
      <c r="M40" s="34">
        <v>46.696999999999903</v>
      </c>
      <c r="N40" s="35">
        <v>10.5</v>
      </c>
      <c r="O40" s="64">
        <v>0.88</v>
      </c>
      <c r="P40" s="59">
        <v>0.12</v>
      </c>
      <c r="Q40" s="29">
        <f t="shared" si="3"/>
        <v>0</v>
      </c>
      <c r="R40" s="30">
        <v>0</v>
      </c>
      <c r="S40" s="31">
        <v>0</v>
      </c>
      <c r="T40" s="32">
        <v>0</v>
      </c>
    </row>
    <row r="41" spans="1:20" s="1" customFormat="1" ht="15.75" customHeight="1" x14ac:dyDescent="0.3">
      <c r="A41" s="82">
        <v>35</v>
      </c>
      <c r="B41" s="301"/>
      <c r="C41" s="36" t="s">
        <v>22</v>
      </c>
      <c r="D41" s="83" t="s">
        <v>76</v>
      </c>
      <c r="E41" s="53">
        <f t="shared" ref="E41" si="30">F41+Q41</f>
        <v>58.885321999999995</v>
      </c>
      <c r="F41" s="46">
        <f t="shared" si="1"/>
        <v>37.485321999999996</v>
      </c>
      <c r="G41" s="47">
        <f t="shared" si="4"/>
        <v>9.4700000000000006</v>
      </c>
      <c r="H41" s="62">
        <f t="shared" si="5"/>
        <v>26.720849999999999</v>
      </c>
      <c r="I41" s="86">
        <f t="shared" si="2"/>
        <v>1.2944720000000001</v>
      </c>
      <c r="J41" s="11">
        <v>7.81</v>
      </c>
      <c r="K41" s="74">
        <v>5.05</v>
      </c>
      <c r="L41" s="34">
        <v>14.83</v>
      </c>
      <c r="M41" s="34">
        <v>37.630000000000003</v>
      </c>
      <c r="N41" s="35">
        <v>9.4700000000000006</v>
      </c>
      <c r="O41" s="64">
        <v>0.96499999999999997</v>
      </c>
      <c r="P41" s="59">
        <v>3.44E-2</v>
      </c>
      <c r="Q41" s="99">
        <f t="shared" si="3"/>
        <v>21.4</v>
      </c>
      <c r="R41" s="107">
        <v>9</v>
      </c>
      <c r="S41" s="108">
        <v>7.2</v>
      </c>
      <c r="T41" s="109">
        <v>5.2</v>
      </c>
    </row>
    <row r="42" spans="1:20" s="1" customFormat="1" ht="15.75" customHeight="1" x14ac:dyDescent="0.3">
      <c r="A42" s="73">
        <v>36</v>
      </c>
      <c r="B42" s="301"/>
      <c r="C42" s="36" t="s">
        <v>10</v>
      </c>
      <c r="D42" s="83" t="s">
        <v>74</v>
      </c>
      <c r="E42" s="53">
        <f t="shared" ref="E42" si="31">F42+Q42</f>
        <v>82.015999999999991</v>
      </c>
      <c r="F42" s="46">
        <f t="shared" si="1"/>
        <v>59.41599999999999</v>
      </c>
      <c r="G42" s="47">
        <f t="shared" si="4"/>
        <v>9.4</v>
      </c>
      <c r="H42" s="62">
        <f t="shared" si="5"/>
        <v>50.015999999999991</v>
      </c>
      <c r="I42" s="86">
        <f t="shared" si="2"/>
        <v>0</v>
      </c>
      <c r="J42" s="11">
        <v>24.8</v>
      </c>
      <c r="K42" s="74">
        <v>9.5</v>
      </c>
      <c r="L42" s="34">
        <v>17.8</v>
      </c>
      <c r="M42" s="34">
        <v>50.3</v>
      </c>
      <c r="N42" s="35">
        <v>9.4</v>
      </c>
      <c r="O42" s="64">
        <v>0.96</v>
      </c>
      <c r="P42" s="59">
        <v>0</v>
      </c>
      <c r="Q42" s="99">
        <f t="shared" si="3"/>
        <v>22.6</v>
      </c>
      <c r="R42" s="107">
        <v>9</v>
      </c>
      <c r="S42" s="108">
        <v>7.2</v>
      </c>
      <c r="T42" s="109">
        <v>6.4</v>
      </c>
    </row>
    <row r="43" spans="1:20" s="1" customFormat="1" ht="15.75" customHeight="1" thickBot="1" x14ac:dyDescent="0.35">
      <c r="A43" s="82">
        <v>37</v>
      </c>
      <c r="B43" s="301"/>
      <c r="C43" s="65" t="s">
        <v>28</v>
      </c>
      <c r="D43" s="172" t="s">
        <v>74</v>
      </c>
      <c r="E43" s="113">
        <f t="shared" ref="E43" si="32">F43+Q43</f>
        <v>72.070060965400003</v>
      </c>
      <c r="F43" s="87">
        <f t="shared" si="1"/>
        <v>49.270060965400006</v>
      </c>
      <c r="G43" s="88">
        <f t="shared" si="4"/>
        <v>9.477440519</v>
      </c>
      <c r="H43" s="173">
        <f t="shared" si="5"/>
        <v>36.451267063200007</v>
      </c>
      <c r="I43" s="174">
        <f t="shared" si="2"/>
        <v>3.3413533832000004</v>
      </c>
      <c r="J43" s="12">
        <v>15.05</v>
      </c>
      <c r="K43" s="98">
        <v>8.7200000000000006</v>
      </c>
      <c r="L43" s="122">
        <v>15.850942460000001</v>
      </c>
      <c r="M43" s="122">
        <v>41.766917290000002</v>
      </c>
      <c r="N43" s="91">
        <v>9.477440519</v>
      </c>
      <c r="O43" s="123">
        <v>0.92</v>
      </c>
      <c r="P43" s="124">
        <v>0.08</v>
      </c>
      <c r="Q43" s="99">
        <f t="shared" si="3"/>
        <v>22.799999999999997</v>
      </c>
      <c r="R43" s="107">
        <v>9.1999999999999993</v>
      </c>
      <c r="S43" s="108">
        <v>7.2</v>
      </c>
      <c r="T43" s="109">
        <v>6.4</v>
      </c>
    </row>
    <row r="44" spans="1:20" s="1" customFormat="1" ht="15.75" customHeight="1" x14ac:dyDescent="0.3">
      <c r="A44" s="89">
        <v>38</v>
      </c>
      <c r="B44" s="329" t="s">
        <v>14</v>
      </c>
      <c r="C44" s="90" t="s">
        <v>51</v>
      </c>
      <c r="D44" s="175" t="s">
        <v>46</v>
      </c>
      <c r="E44" s="111">
        <f t="shared" ref="E44" si="33">F44+Q44</f>
        <v>49.116000000000007</v>
      </c>
      <c r="F44" s="51">
        <f t="shared" si="1"/>
        <v>49.116000000000007</v>
      </c>
      <c r="G44" s="52">
        <f t="shared" si="4"/>
        <v>15</v>
      </c>
      <c r="H44" s="129">
        <f t="shared" si="5"/>
        <v>29.900000000000002</v>
      </c>
      <c r="I44" s="154">
        <f t="shared" si="2"/>
        <v>4.2160000000000002</v>
      </c>
      <c r="J44" s="13">
        <v>7.94</v>
      </c>
      <c r="K44" s="133">
        <v>6.9</v>
      </c>
      <c r="L44" s="133">
        <v>17.66</v>
      </c>
      <c r="M44" s="133">
        <v>52.7</v>
      </c>
      <c r="N44" s="92">
        <v>15</v>
      </c>
      <c r="O44" s="134">
        <v>0.92</v>
      </c>
      <c r="P44" s="135">
        <v>0.08</v>
      </c>
      <c r="Q44" s="93">
        <f t="shared" si="3"/>
        <v>0</v>
      </c>
      <c r="R44" s="94">
        <v>0</v>
      </c>
      <c r="S44" s="95">
        <v>0</v>
      </c>
      <c r="T44" s="96">
        <v>0</v>
      </c>
    </row>
    <row r="45" spans="1:20" s="1" customFormat="1" ht="15.75" customHeight="1" x14ac:dyDescent="0.3">
      <c r="A45" s="60">
        <v>39</v>
      </c>
      <c r="B45" s="330"/>
      <c r="C45" s="74" t="s">
        <v>27</v>
      </c>
      <c r="D45" s="176" t="s">
        <v>49</v>
      </c>
      <c r="E45" s="53">
        <f t="shared" ref="E45" si="34">F45+Q45</f>
        <v>52.207139037433073</v>
      </c>
      <c r="F45" s="46">
        <f t="shared" si="1"/>
        <v>52.207139037433073</v>
      </c>
      <c r="G45" s="47">
        <f t="shared" si="4"/>
        <v>12.75</v>
      </c>
      <c r="H45" s="62">
        <f t="shared" si="5"/>
        <v>37.872139037433072</v>
      </c>
      <c r="I45" s="86">
        <f t="shared" si="2"/>
        <v>1.584999999999998</v>
      </c>
      <c r="J45" s="11">
        <v>16.309999999999999</v>
      </c>
      <c r="K45" s="34">
        <v>6.48</v>
      </c>
      <c r="L45" s="34">
        <v>16.885574229691802</v>
      </c>
      <c r="M45" s="34">
        <v>34.869999999999997</v>
      </c>
      <c r="N45" s="35">
        <v>12.75</v>
      </c>
      <c r="O45" s="64">
        <f>0.954545454545454%*100</f>
        <v>0.95454545454545414</v>
      </c>
      <c r="P45" s="59">
        <f>0.0454545454545454%*100</f>
        <v>4.54545454545454E-2</v>
      </c>
      <c r="Q45" s="29">
        <f t="shared" si="3"/>
        <v>0</v>
      </c>
      <c r="R45" s="30">
        <v>0</v>
      </c>
      <c r="S45" s="31">
        <v>0</v>
      </c>
      <c r="T45" s="32">
        <v>0</v>
      </c>
    </row>
    <row r="46" spans="1:20" s="1" customFormat="1" ht="15.75" customHeight="1" x14ac:dyDescent="0.3">
      <c r="A46" s="60">
        <v>40</v>
      </c>
      <c r="B46" s="330"/>
      <c r="C46" s="74" t="s">
        <v>52</v>
      </c>
      <c r="D46" s="176" t="s">
        <v>49</v>
      </c>
      <c r="E46" s="53">
        <f t="shared" ref="E46" si="35">F46+Q46</f>
        <v>0</v>
      </c>
      <c r="F46" s="46">
        <f t="shared" si="1"/>
        <v>0</v>
      </c>
      <c r="G46" s="47">
        <f t="shared" si="4"/>
        <v>0</v>
      </c>
      <c r="H46" s="62">
        <f t="shared" si="5"/>
        <v>0</v>
      </c>
      <c r="I46" s="86">
        <f t="shared" si="2"/>
        <v>0</v>
      </c>
      <c r="J46" s="11"/>
      <c r="K46" s="74"/>
      <c r="L46" s="34"/>
      <c r="M46" s="34"/>
      <c r="N46" s="35"/>
      <c r="O46" s="64"/>
      <c r="P46" s="59"/>
      <c r="Q46" s="29">
        <f t="shared" si="3"/>
        <v>0</v>
      </c>
      <c r="R46" s="30">
        <v>0</v>
      </c>
      <c r="S46" s="31">
        <v>0</v>
      </c>
      <c r="T46" s="32">
        <v>0</v>
      </c>
    </row>
    <row r="47" spans="1:20" s="1" customFormat="1" ht="15.75" customHeight="1" thickBot="1" x14ac:dyDescent="0.35">
      <c r="A47" s="73">
        <v>41</v>
      </c>
      <c r="B47" s="330"/>
      <c r="C47" s="65" t="s">
        <v>29</v>
      </c>
      <c r="D47" s="172" t="s">
        <v>74</v>
      </c>
      <c r="E47" s="113">
        <f t="shared" ref="E47" si="36">F47+Q47</f>
        <v>67.134165784533593</v>
      </c>
      <c r="F47" s="87">
        <f t="shared" si="1"/>
        <v>44.534165784533585</v>
      </c>
      <c r="G47" s="177">
        <f t="shared" si="4"/>
        <v>9.4774405189888409</v>
      </c>
      <c r="H47" s="173">
        <f t="shared" si="5"/>
        <v>27.472514739228966</v>
      </c>
      <c r="I47" s="174">
        <f t="shared" si="2"/>
        <v>7.5842105263157809</v>
      </c>
      <c r="J47" s="12">
        <v>5</v>
      </c>
      <c r="K47" s="98">
        <v>7.65</v>
      </c>
      <c r="L47" s="122">
        <v>19.294784580498799</v>
      </c>
      <c r="M47" s="122">
        <v>54.172932330827003</v>
      </c>
      <c r="N47" s="91">
        <v>9.4774405189888409</v>
      </c>
      <c r="O47" s="123">
        <v>0.86</v>
      </c>
      <c r="P47" s="124">
        <v>0.14000000000000001</v>
      </c>
      <c r="Q47" s="99">
        <f t="shared" si="3"/>
        <v>22.6</v>
      </c>
      <c r="R47" s="107">
        <v>9</v>
      </c>
      <c r="S47" s="108">
        <v>7.2</v>
      </c>
      <c r="T47" s="109">
        <v>6.4</v>
      </c>
    </row>
    <row r="48" spans="1:20" s="1" customFormat="1" ht="15.75" customHeight="1" x14ac:dyDescent="0.3">
      <c r="A48" s="89">
        <v>42</v>
      </c>
      <c r="B48" s="332" t="s">
        <v>53</v>
      </c>
      <c r="C48" s="90" t="s">
        <v>33</v>
      </c>
      <c r="D48" s="175" t="s">
        <v>48</v>
      </c>
      <c r="E48" s="111">
        <f t="shared" ref="E48" si="37">F48+Q48</f>
        <v>49.25370313405179</v>
      </c>
      <c r="F48" s="51">
        <f t="shared" si="1"/>
        <v>49.25370313405179</v>
      </c>
      <c r="G48" s="52">
        <f t="shared" si="4"/>
        <v>5.25</v>
      </c>
      <c r="H48" s="129">
        <f t="shared" si="5"/>
        <v>30.872635078197888</v>
      </c>
      <c r="I48" s="154">
        <f t="shared" si="2"/>
        <v>13.131068055853905</v>
      </c>
      <c r="J48" s="13">
        <v>16.420000000000002</v>
      </c>
      <c r="K48" s="133">
        <v>7.82</v>
      </c>
      <c r="L48" s="133">
        <v>18.051280929038199</v>
      </c>
      <c r="M48" s="133">
        <v>48.633585392051501</v>
      </c>
      <c r="N48" s="92">
        <v>5.25</v>
      </c>
      <c r="O48" s="134">
        <v>0.73</v>
      </c>
      <c r="P48" s="135">
        <v>0.27</v>
      </c>
      <c r="Q48" s="93">
        <f t="shared" si="3"/>
        <v>0</v>
      </c>
      <c r="R48" s="94">
        <v>0</v>
      </c>
      <c r="S48" s="95">
        <v>0</v>
      </c>
      <c r="T48" s="96">
        <v>0</v>
      </c>
    </row>
    <row r="49" spans="1:20" s="1" customFormat="1" ht="15.75" customHeight="1" thickBot="1" x14ac:dyDescent="0.35">
      <c r="A49" s="60">
        <v>43</v>
      </c>
      <c r="B49" s="334"/>
      <c r="C49" s="98" t="s">
        <v>36</v>
      </c>
      <c r="D49" s="178" t="s">
        <v>46</v>
      </c>
      <c r="E49" s="113">
        <f t="shared" ref="E49" si="38">F49+Q49</f>
        <v>0</v>
      </c>
      <c r="F49" s="87">
        <f t="shared" si="1"/>
        <v>0</v>
      </c>
      <c r="G49" s="88">
        <f t="shared" si="4"/>
        <v>0</v>
      </c>
      <c r="H49" s="173">
        <f t="shared" si="5"/>
        <v>0</v>
      </c>
      <c r="I49" s="174">
        <f t="shared" si="2"/>
        <v>0</v>
      </c>
      <c r="J49" s="12"/>
      <c r="K49" s="98"/>
      <c r="L49" s="122"/>
      <c r="M49" s="122"/>
      <c r="N49" s="91"/>
      <c r="O49" s="123"/>
      <c r="P49" s="124"/>
      <c r="Q49" s="29">
        <f t="shared" si="3"/>
        <v>0</v>
      </c>
      <c r="R49" s="30">
        <v>0</v>
      </c>
      <c r="S49" s="31">
        <v>0</v>
      </c>
      <c r="T49" s="32">
        <v>0</v>
      </c>
    </row>
    <row r="50" spans="1:20" s="1" customFormat="1" ht="15.75" customHeight="1" x14ac:dyDescent="0.3">
      <c r="A50" s="89">
        <v>44</v>
      </c>
      <c r="B50" s="332" t="s">
        <v>55</v>
      </c>
      <c r="C50" s="112" t="s">
        <v>64</v>
      </c>
      <c r="D50" s="182" t="s">
        <v>77</v>
      </c>
      <c r="E50" s="111">
        <f t="shared" ref="E50" si="39">F50+Q50</f>
        <v>68.8</v>
      </c>
      <c r="F50" s="114">
        <f t="shared" si="1"/>
        <v>0</v>
      </c>
      <c r="G50" s="115">
        <f t="shared" si="4"/>
        <v>0</v>
      </c>
      <c r="H50" s="183">
        <f t="shared" si="5"/>
        <v>0</v>
      </c>
      <c r="I50" s="184">
        <f t="shared" si="2"/>
        <v>0</v>
      </c>
      <c r="J50" s="185"/>
      <c r="K50" s="116"/>
      <c r="L50" s="116">
        <v>0</v>
      </c>
      <c r="M50" s="116">
        <v>0</v>
      </c>
      <c r="N50" s="118">
        <v>0</v>
      </c>
      <c r="O50" s="119">
        <v>0</v>
      </c>
      <c r="P50" s="120">
        <v>0</v>
      </c>
      <c r="Q50" s="103">
        <f t="shared" si="3"/>
        <v>68.8</v>
      </c>
      <c r="R50" s="104">
        <v>27.4</v>
      </c>
      <c r="S50" s="105">
        <v>25.4</v>
      </c>
      <c r="T50" s="106">
        <v>16</v>
      </c>
    </row>
    <row r="51" spans="1:20" s="1" customFormat="1" ht="15.75" customHeight="1" thickBot="1" x14ac:dyDescent="0.35">
      <c r="A51" s="97">
        <v>45</v>
      </c>
      <c r="B51" s="333"/>
      <c r="C51" s="117" t="s">
        <v>25</v>
      </c>
      <c r="D51" s="172" t="s">
        <v>77</v>
      </c>
      <c r="E51" s="113">
        <f t="shared" ref="E51" si="40">F51+Q51</f>
        <v>74</v>
      </c>
      <c r="F51" s="66">
        <f t="shared" si="1"/>
        <v>0</v>
      </c>
      <c r="G51" s="67">
        <f t="shared" si="4"/>
        <v>0</v>
      </c>
      <c r="H51" s="166">
        <f t="shared" si="5"/>
        <v>0</v>
      </c>
      <c r="I51" s="167">
        <f t="shared" si="2"/>
        <v>0</v>
      </c>
      <c r="J51" s="168"/>
      <c r="K51" s="169"/>
      <c r="L51" s="77">
        <v>0</v>
      </c>
      <c r="M51" s="77">
        <v>0</v>
      </c>
      <c r="N51" s="69">
        <v>0</v>
      </c>
      <c r="O51" s="78">
        <v>0</v>
      </c>
      <c r="P51" s="79">
        <v>0</v>
      </c>
      <c r="Q51" s="110">
        <f t="shared" si="3"/>
        <v>74</v>
      </c>
      <c r="R51" s="179">
        <v>28.6</v>
      </c>
      <c r="S51" s="180">
        <v>28</v>
      </c>
      <c r="T51" s="181">
        <v>17.399999999999999</v>
      </c>
    </row>
  </sheetData>
  <autoFilter ref="B6:P51" xr:uid="{00000000-0009-0000-0000-000001000000}"/>
  <mergeCells count="26">
    <mergeCell ref="B50:B51"/>
    <mergeCell ref="B48:B49"/>
    <mergeCell ref="Q3:T3"/>
    <mergeCell ref="Q4:Q5"/>
    <mergeCell ref="R4:R5"/>
    <mergeCell ref="S4:S5"/>
    <mergeCell ref="T4:T5"/>
    <mergeCell ref="B7:B23"/>
    <mergeCell ref="B24:B36"/>
    <mergeCell ref="B37:B43"/>
    <mergeCell ref="B44:B47"/>
    <mergeCell ref="H6:I6"/>
    <mergeCell ref="E3:E6"/>
    <mergeCell ref="B1:P1"/>
    <mergeCell ref="O2:P2"/>
    <mergeCell ref="A3:A6"/>
    <mergeCell ref="B3:B6"/>
    <mergeCell ref="C3:C6"/>
    <mergeCell ref="D3:D6"/>
    <mergeCell ref="F3:P3"/>
    <mergeCell ref="F4:I4"/>
    <mergeCell ref="J4:J5"/>
    <mergeCell ref="K4:K5"/>
    <mergeCell ref="L4:M4"/>
    <mergeCell ref="N4:N5"/>
    <mergeCell ref="O4:P5"/>
  </mergeCells>
  <phoneticPr fontId="4" type="noConversion"/>
  <printOptions horizontalCentered="1"/>
  <pageMargins left="0.11811023622047245" right="0.11811023622047245" top="0.39370078740157483" bottom="0.35433070866141736" header="0" footer="0"/>
  <pageSetup paperSize="9" scale="47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25년 평가결과</vt:lpstr>
      <vt:lpstr>24년 평가결과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이용호</dc:creator>
  <cp:lastModifiedBy>Administrator</cp:lastModifiedBy>
  <cp:lastPrinted>2025-11-03T04:27:28Z</cp:lastPrinted>
  <dcterms:created xsi:type="dcterms:W3CDTF">2021-05-21T08:21:45Z</dcterms:created>
  <dcterms:modified xsi:type="dcterms:W3CDTF">2025-11-06T01:35:50Z</dcterms:modified>
</cp:coreProperties>
</file>
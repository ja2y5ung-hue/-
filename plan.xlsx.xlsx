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4.100\02_교육부문_국비사업팀\#공유자료\05. 과정 운영관리\연간개설계획\"/>
    </mc:Choice>
  </mc:AlternateContent>
  <xr:revisionPtr revIDLastSave="0" documentId="13_ncr:1_{A4B68A95-657D-4C58-A3D0-490C2936515F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1.연간개설계획" sheetId="3" r:id="rId1"/>
    <sheet name="2.반납과정" sheetId="4" r:id="rId2"/>
  </sheets>
  <definedNames>
    <definedName name="_xlnm._FilterDatabase" localSheetId="0" hidden="1">'1.연간개설계획'!$B$4:$Z$76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0" i="3" l="1"/>
  <c r="O169" i="3" l="1"/>
  <c r="O168" i="3"/>
  <c r="O167" i="3"/>
  <c r="O166" i="3"/>
  <c r="O165" i="3"/>
  <c r="O164" i="3"/>
  <c r="O163" i="3"/>
  <c r="O162" i="3"/>
  <c r="O161" i="3"/>
  <c r="K32" i="4" l="1"/>
  <c r="O171" i="3"/>
  <c r="O170" i="3"/>
  <c r="K28" i="4" l="1"/>
  <c r="K25" i="4"/>
  <c r="K24" i="4"/>
  <c r="K23" i="4"/>
  <c r="K22" i="4"/>
  <c r="K18" i="4"/>
  <c r="K12" i="4"/>
  <c r="O160" i="3" l="1"/>
  <c r="O159" i="3"/>
  <c r="O158" i="3"/>
  <c r="O157" i="3"/>
  <c r="O156" i="3"/>
  <c r="O155" i="3"/>
  <c r="O154" i="3"/>
  <c r="O153" i="3"/>
  <c r="O152" i="3"/>
  <c r="O151" i="3"/>
  <c r="O150" i="3"/>
  <c r="O149" i="3"/>
  <c r="O141" i="3"/>
  <c r="O140" i="3"/>
  <c r="O139" i="3"/>
  <c r="O138" i="3"/>
  <c r="L138" i="3"/>
  <c r="O137" i="3"/>
  <c r="L137" i="3"/>
  <c r="O136" i="3"/>
  <c r="L136" i="3"/>
  <c r="O135" i="3"/>
  <c r="O134" i="3"/>
  <c r="O133" i="3"/>
  <c r="O132" i="3"/>
  <c r="O131" i="3"/>
  <c r="O130" i="3"/>
  <c r="L130" i="3"/>
  <c r="O129" i="3"/>
  <c r="L129" i="3"/>
  <c r="O128" i="3"/>
  <c r="L128" i="3"/>
  <c r="O127" i="3"/>
  <c r="L127" i="3"/>
  <c r="O126" i="3"/>
  <c r="L126" i="3"/>
  <c r="O109" i="3"/>
  <c r="O108" i="3"/>
  <c r="O107" i="3"/>
  <c r="O91" i="3"/>
  <c r="O90" i="3"/>
  <c r="O76" i="3"/>
  <c r="K10" i="4"/>
  <c r="O39" i="3" l="1"/>
  <c r="O38" i="3"/>
  <c r="O37" i="3"/>
  <c r="O36" i="3"/>
  <c r="O35" i="3"/>
  <c r="O34" i="3"/>
  <c r="O33" i="3"/>
  <c r="O32" i="3"/>
  <c r="O31" i="3"/>
  <c r="O30" i="3"/>
  <c r="O29" i="3" l="1"/>
  <c r="O28" i="3"/>
  <c r="O27" i="3"/>
  <c r="O26" i="3"/>
  <c r="O25" i="3"/>
  <c r="O24" i="3"/>
  <c r="O23" i="3"/>
  <c r="O22" i="3"/>
  <c r="O15" i="3" l="1"/>
  <c r="O14" i="3"/>
  <c r="O13" i="3"/>
  <c r="O12" i="3"/>
  <c r="O11" i="3" l="1"/>
  <c r="O10" i="3"/>
  <c r="O9" i="3"/>
  <c r="O8" i="3"/>
  <c r="O7" i="3"/>
  <c r="O6" i="3"/>
  <c r="K31" i="4" l="1"/>
  <c r="K30" i="4"/>
  <c r="O68" i="3" l="1"/>
  <c r="O67" i="3" l="1"/>
  <c r="O66" i="3"/>
  <c r="O65" i="3"/>
  <c r="O63" i="3" l="1"/>
  <c r="O62" i="3" l="1"/>
  <c r="O61" i="3"/>
  <c r="K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4" authorId="0" shapeId="0" xr:uid="{00000000-0006-0000-0000-000001000000}">
      <text>
        <r>
          <rPr>
            <sz val="8"/>
            <color indexed="81"/>
            <rFont val="돋움"/>
            <family val="3"/>
            <charset val="129"/>
          </rPr>
          <t>강사를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구인해야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하는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과정의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'</t>
        </r>
        <r>
          <rPr>
            <sz val="8"/>
            <color indexed="81"/>
            <rFont val="돋움"/>
            <family val="3"/>
            <charset val="129"/>
          </rPr>
          <t>구인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예정</t>
        </r>
        <r>
          <rPr>
            <sz val="8"/>
            <color indexed="81"/>
            <rFont val="Tahoma"/>
            <family val="2"/>
          </rPr>
          <t>'</t>
        </r>
        <r>
          <rPr>
            <sz val="8"/>
            <color indexed="81"/>
            <rFont val="돋움"/>
            <family val="3"/>
            <charset val="129"/>
          </rPr>
          <t>으로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<sst xmlns="http://schemas.openxmlformats.org/spreadsheetml/2006/main" count="1512" uniqueCount="548">
  <si>
    <t>계열</t>
    <phoneticPr fontId="14" type="noConversion"/>
  </si>
  <si>
    <t>지점명</t>
    <phoneticPr fontId="11" type="noConversion"/>
  </si>
  <si>
    <t>훈련과정명</t>
  </si>
  <si>
    <t>훈련기간</t>
    <phoneticPr fontId="14" type="noConversion"/>
  </si>
  <si>
    <t>직종
단가</t>
    <phoneticPr fontId="10" type="noConversion"/>
  </si>
  <si>
    <t>정원</t>
  </si>
  <si>
    <t>훈련시작일</t>
    <phoneticPr fontId="10" type="noConversion"/>
  </si>
  <si>
    <t>훈련종료일</t>
    <phoneticPr fontId="10" type="noConversion"/>
  </si>
  <si>
    <t>강의장</t>
    <phoneticPr fontId="10" type="noConversion"/>
  </si>
  <si>
    <t>잔여
회차</t>
    <phoneticPr fontId="10" type="noConversion"/>
  </si>
  <si>
    <t>운영
회차</t>
    <phoneticPr fontId="10" type="noConversion"/>
  </si>
  <si>
    <t>훈련
일수</t>
    <phoneticPr fontId="11" type="noConversion"/>
  </si>
  <si>
    <t>총 훈련비</t>
    <phoneticPr fontId="10" type="noConversion"/>
  </si>
  <si>
    <t>집체훈련
시간</t>
    <phoneticPr fontId="11" type="noConversion"/>
  </si>
  <si>
    <t>훈련강사</t>
    <phoneticPr fontId="10" type="noConversion"/>
  </si>
  <si>
    <t>연번</t>
    <phoneticPr fontId="14" type="noConversion"/>
  </si>
  <si>
    <t>비고</t>
    <phoneticPr fontId="10" type="noConversion"/>
  </si>
  <si>
    <t>26년 국비 훈련 연간 개설 계획</t>
    <phoneticPr fontId="10" type="noConversion"/>
  </si>
  <si>
    <t>국기</t>
  </si>
  <si>
    <t>국기</t>
    <phoneticPr fontId="10" type="noConversion"/>
  </si>
  <si>
    <t>계좌제</t>
    <phoneticPr fontId="10" type="noConversion"/>
  </si>
  <si>
    <t>근로자</t>
    <phoneticPr fontId="10" type="noConversion"/>
  </si>
  <si>
    <t>과평(국)</t>
    <phoneticPr fontId="10" type="noConversion"/>
  </si>
  <si>
    <t>과평(계)</t>
    <phoneticPr fontId="10" type="noConversion"/>
  </si>
  <si>
    <t>산대특</t>
    <phoneticPr fontId="10" type="noConversion"/>
  </si>
  <si>
    <t>KDT</t>
    <phoneticPr fontId="10" type="noConversion"/>
  </si>
  <si>
    <t>X</t>
    <phoneticPr fontId="10" type="noConversion"/>
  </si>
  <si>
    <t>O</t>
    <phoneticPr fontId="10" type="noConversion"/>
  </si>
  <si>
    <r>
      <t xml:space="preserve">훈련종류
</t>
    </r>
    <r>
      <rPr>
        <b/>
        <sz val="8"/>
        <color rgb="FFFF0000"/>
        <rFont val="맑은 고딕"/>
        <family val="3"/>
        <charset val="129"/>
        <scheme val="major"/>
      </rPr>
      <t>(선택)</t>
    </r>
    <phoneticPr fontId="10" type="noConversion"/>
  </si>
  <si>
    <t>디지털디자인</t>
    <phoneticPr fontId="10" type="noConversion"/>
  </si>
  <si>
    <t>멀티미디어</t>
    <phoneticPr fontId="10" type="noConversion"/>
  </si>
  <si>
    <t>(국) 국기직종 
(계) NCS 세분류</t>
    <phoneticPr fontId="10" type="noConversion"/>
  </si>
  <si>
    <t>반납 사유</t>
    <phoneticPr fontId="10" type="noConversion"/>
  </si>
  <si>
    <r>
      <rPr>
        <b/>
        <sz val="10"/>
        <color theme="1"/>
        <rFont val="맑은 고딕"/>
        <family val="3"/>
        <charset val="129"/>
        <scheme val="minor"/>
      </rPr>
      <t>[작성방법]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■ 대상
   - 승인 과정 중 과정 개설 불가 등의 사유로 반납 계획이 있는 과정 작성</t>
    </r>
    <phoneticPr fontId="10" type="noConversion"/>
  </si>
  <si>
    <t>국비 강의실 부족으로 인한 반납</t>
    <phoneticPr fontId="10" type="noConversion"/>
  </si>
  <si>
    <r>
      <rPr>
        <b/>
        <sz val="10"/>
        <color theme="1"/>
        <rFont val="맑은 고딕"/>
        <family val="3"/>
        <charset val="129"/>
        <scheme val="minor"/>
      </rPr>
      <t>[작성방법]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■ 대상 (훈련종류)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 xml:space="preserve">   - 국기 / 계좌제 / 근로자</t>
    </r>
    <r>
      <rPr>
        <sz val="10"/>
        <color theme="1"/>
        <rFont val="맑은 고딕"/>
        <family val="3"/>
        <charset val="129"/>
        <scheme val="minor"/>
      </rPr>
      <t xml:space="preserve"> : 26년 과정심사 결과 반영
    ※ 조건부적합 과정 포함</t>
    </r>
    <r>
      <rPr>
        <b/>
        <sz val="10"/>
        <color rgb="FFFF0000"/>
        <rFont val="맑은 고딕"/>
        <family val="3"/>
        <charset val="129"/>
        <scheme val="minor"/>
      </rPr>
      <t xml:space="preserve">
    ★ 국기 부적합 과정 중 재선정 신청 계획이 있는 과정 포함하여 작성
</t>
    </r>
    <r>
      <rPr>
        <sz val="10"/>
        <color theme="1"/>
        <rFont val="맑은 고딕"/>
        <family val="3"/>
        <charset val="129"/>
        <scheme val="minor"/>
      </rPr>
      <t xml:space="preserve">    ※  잔여회차: 해당과정 실시 후 남은 회차 기록
         예) 5회차 제한 과정의 경우 : 운영회차 1 / 잔여회차 4
    ★ 반납 과정의 경우 '2번째 탭'에 작성
 </t>
    </r>
    <r>
      <rPr>
        <b/>
        <sz val="10"/>
        <color theme="1"/>
        <rFont val="맑은 고딕"/>
        <family val="3"/>
        <charset val="129"/>
        <scheme val="minor"/>
      </rPr>
      <t xml:space="preserve">  - 과정평가형</t>
    </r>
    <r>
      <rPr>
        <sz val="10"/>
        <color theme="1"/>
        <rFont val="맑은 고딕"/>
        <family val="3"/>
        <charset val="129"/>
        <scheme val="minor"/>
      </rPr>
      <t xml:space="preserve"> : 신청과정 (결과 발표 전)
</t>
    </r>
    <r>
      <rPr>
        <b/>
        <sz val="10"/>
        <color theme="1"/>
        <rFont val="맑은 고딕"/>
        <family val="3"/>
        <charset val="129"/>
        <scheme val="minor"/>
      </rPr>
      <t xml:space="preserve">   - 산대특 / KDT</t>
    </r>
    <r>
      <rPr>
        <sz val="10"/>
        <color theme="1"/>
        <rFont val="맑은 고딕"/>
        <family val="3"/>
        <charset val="129"/>
        <scheme val="minor"/>
      </rPr>
      <t xml:space="preserve"> : 26년 운영가능 과정</t>
    </r>
    <phoneticPr fontId="10" type="noConversion"/>
  </si>
  <si>
    <t>컴퓨터</t>
    <phoneticPr fontId="10" type="noConversion"/>
  </si>
  <si>
    <t>강남</t>
    <phoneticPr fontId="10" type="noConversion"/>
  </si>
  <si>
    <t>N</t>
    <phoneticPr fontId="10" type="noConversion"/>
  </si>
  <si>
    <t>과평(국)</t>
  </si>
  <si>
    <t>[멀티미디어] 멀티미디어콘텐츠제작(에펙, 프리미어, 시네마4D)_A</t>
    <phoneticPr fontId="10" type="noConversion"/>
  </si>
  <si>
    <t>조주상</t>
    <phoneticPr fontId="10" type="noConversion"/>
  </si>
  <si>
    <t>[멀티미디어] 멀티미디어콘텐츠제작(에펙, 프리미어, 시네마4D)_B</t>
    <phoneticPr fontId="10" type="noConversion"/>
  </si>
  <si>
    <t>편집디자인</t>
    <phoneticPr fontId="10" type="noConversion"/>
  </si>
  <si>
    <t>오후 5시간</t>
    <phoneticPr fontId="10" type="noConversion"/>
  </si>
  <si>
    <t>컴퓨터</t>
  </si>
  <si>
    <t>디지털디자인</t>
  </si>
  <si>
    <t>B</t>
  </si>
  <si>
    <t>부산</t>
  </si>
  <si>
    <t>응용SW엔지니어링</t>
  </si>
  <si>
    <t>H</t>
  </si>
  <si>
    <t>C</t>
  </si>
  <si>
    <t>계좌제</t>
  </si>
  <si>
    <t>실내건축설계</t>
  </si>
  <si>
    <t>산대특</t>
  </si>
  <si>
    <t>광고콘텐츠제작</t>
  </si>
  <si>
    <t>O</t>
  </si>
  <si>
    <t>25년승인과정 재인정특례</t>
  </si>
  <si>
    <t>부평</t>
    <phoneticPr fontId="10" type="noConversion"/>
  </si>
  <si>
    <t>편집디자인 실무과정(포토샵, 일러스트, 인디자인)</t>
    <phoneticPr fontId="10" type="noConversion"/>
  </si>
  <si>
    <t>BIM</t>
    <phoneticPr fontId="10" type="noConversion"/>
  </si>
  <si>
    <t>[BIM] 실내건축설계 인테리어과정(캐드,스케치업,맥스,레빗)</t>
    <phoneticPr fontId="10" type="noConversion"/>
  </si>
  <si>
    <t>C</t>
    <phoneticPr fontId="10" type="noConversion"/>
  </si>
  <si>
    <t>실내건축설계</t>
    <phoneticPr fontId="10" type="noConversion"/>
  </si>
  <si>
    <t>실내건축설계 인테리어(캐드, 스케치업)</t>
    <phoneticPr fontId="10" type="noConversion"/>
  </si>
  <si>
    <t>광고콘텐츠</t>
    <phoneticPr fontId="10" type="noConversion"/>
  </si>
  <si>
    <t>AI활용 영상편집, 모션그래픽(프리미어, 에프터이펙트, 시네마4D)</t>
    <phoneticPr fontId="10" type="noConversion"/>
  </si>
  <si>
    <t>세무회계</t>
    <phoneticPr fontId="10" type="noConversion"/>
  </si>
  <si>
    <t>전산세무회계(전산회계1급, 전산세무2급) 자격증 취득과정</t>
    <phoneticPr fontId="10" type="noConversion"/>
  </si>
  <si>
    <t>I</t>
    <phoneticPr fontId="10" type="noConversion"/>
  </si>
  <si>
    <t>출판</t>
    <phoneticPr fontId="10" type="noConversion"/>
  </si>
  <si>
    <t>[출판] 챗GPT,AI를 활용한 디지털편집디자인(포토샵, 일러스트, 인디자인)</t>
    <phoneticPr fontId="10" type="noConversion"/>
  </si>
  <si>
    <t>대구</t>
    <phoneticPr fontId="10" type="noConversion"/>
  </si>
  <si>
    <t>[디지털디자인] 챗GPT&amp;React 활용한 스마트UIUX 반응형 웹디자인(웹퍼블리셔)_A</t>
    <phoneticPr fontId="10" type="noConversion"/>
  </si>
  <si>
    <t>J</t>
    <phoneticPr fontId="10" type="noConversion"/>
  </si>
  <si>
    <t>구인 예정</t>
    <phoneticPr fontId="10" type="noConversion"/>
  </si>
  <si>
    <t>[디지털디자인] 챗GPT&amp;React 활용한 스마트UIUX 반응형 웹디자인(웹퍼블리셔)_B</t>
    <phoneticPr fontId="10" type="noConversion"/>
  </si>
  <si>
    <t>G</t>
    <phoneticPr fontId="10" type="noConversion"/>
  </si>
  <si>
    <t>김태완</t>
    <phoneticPr fontId="10" type="noConversion"/>
  </si>
  <si>
    <t>[디지털디자인] 챗GPT&amp;React 활용한 스마트UIUX 반응형 웹디자인(웹퍼블리셔)_C</t>
    <phoneticPr fontId="10" type="noConversion"/>
  </si>
  <si>
    <t>(BIM) 실내건축설계 인테리어 양성과정 (캐드,스케치업,맥스,레빗)_A</t>
    <phoneticPr fontId="10" type="noConversion"/>
  </si>
  <si>
    <t>김원락</t>
    <phoneticPr fontId="10" type="noConversion"/>
  </si>
  <si>
    <t>실내건축</t>
    <phoneticPr fontId="10" type="noConversion"/>
  </si>
  <si>
    <t>광고콘텐츠제작</t>
    <phoneticPr fontId="10" type="noConversion"/>
  </si>
  <si>
    <t>영상편집(프리미어, 에펙) 양성과정</t>
    <phoneticPr fontId="10" type="noConversion"/>
  </si>
  <si>
    <t>김문연</t>
    <phoneticPr fontId="10" type="noConversion"/>
  </si>
  <si>
    <t>[과정평가형] 실내건축산업기사 취득과정A</t>
    <phoneticPr fontId="10" type="noConversion"/>
  </si>
  <si>
    <t>-</t>
    <phoneticPr fontId="10" type="noConversion"/>
  </si>
  <si>
    <t>[과정평가형] 실내건축산업기사 취득과정B</t>
    <phoneticPr fontId="10" type="noConversion"/>
  </si>
  <si>
    <t>[과정평가형] 멀티미디어콘텐츠제작전문가 취득과정</t>
  </si>
  <si>
    <t>대전</t>
  </si>
  <si>
    <t>[BIM] 스마트 건축 설계&amp;실내인테리어 3D디자이너 양성과정(캐드,스케치업,레빗) A</t>
  </si>
  <si>
    <t>J</t>
  </si>
  <si>
    <t>[디지털디자인] AI 기반 UIUX 웹디자인 &amp; 웹퍼블리셔 양성과정(Figma, HTML5, CSS) A</t>
  </si>
  <si>
    <t>[디지털디자인] AI 기반 UIUX 웹디자인 &amp; 웹퍼블리셔 양성과정(Figma, HTML5, CSS) B</t>
  </si>
  <si>
    <t>디지털컨버전스</t>
  </si>
  <si>
    <t>[디지털컨버전스] 공공데이터 융합 풀스택 웹 개발자 양성과정(Next.js &amp; Spring) A</t>
  </si>
  <si>
    <t>[디지털컨버전스] 공공데이터 융합 풀스택 웹 개발자 양성과정(Next.js &amp; Spring) B</t>
  </si>
  <si>
    <t>[디지털컨버전스] 공공데이터 융합 풀스택 웹 개발자 양성과정(Next.js &amp; Spring) C</t>
  </si>
  <si>
    <t>영상편집&amp;유튜브편집제작(프리미어,에프터이펙트)실무자 양성과정</t>
  </si>
  <si>
    <t>제한없음</t>
  </si>
  <si>
    <t>실내건축 인테리어 과정(CAD, 스케치업)</t>
  </si>
  <si>
    <t>편집디자인</t>
  </si>
  <si>
    <t>편집디자인(포토샵, 일러스트, 인디자인) 실무자 양성과정</t>
  </si>
  <si>
    <t>제품디자인</t>
  </si>
  <si>
    <t>[디지털컨버전스] 공공데이터 융합 풀스택 웹 개발자 양성과정(Next.js &amp; Spring) D</t>
  </si>
  <si>
    <t>해당 직종 모집 인원 부족으로 인한 반납</t>
  </si>
  <si>
    <t>[디지털컨버전스] 공공데이터 융합 풀스택 웹 개발자 양성과정(Next.js &amp; Spring) E</t>
  </si>
  <si>
    <t>AI를 활용한 UIUX 웹디자이너 양성과정</t>
  </si>
  <si>
    <t>해당 직종 국기 과정 선정으로 인해 불필요하다고 판단되어 반납</t>
  </si>
  <si>
    <t>광주</t>
  </si>
  <si>
    <t>(디지털디자인) 챗GPT를 활용한 스마트UIUX 반응형 웹디자이너 양성과정</t>
  </si>
  <si>
    <t>F</t>
  </si>
  <si>
    <t>김미행</t>
  </si>
  <si>
    <t>(디지털디자인) 챗GPT를 활용한 스마트기기 웹디자이너 양성과정</t>
  </si>
  <si>
    <t>웹디자이너 양성과정</t>
  </si>
  <si>
    <t>E</t>
  </si>
  <si>
    <t>디자인 커리어를 완성하는 편집 디자인 과정</t>
  </si>
  <si>
    <t>박정연</t>
  </si>
  <si>
    <t>강사변경예정</t>
  </si>
  <si>
    <t>실내디자인</t>
  </si>
  <si>
    <t>구월</t>
  </si>
  <si>
    <t>UI/UX 엔지니어링</t>
  </si>
  <si>
    <t>생성형 AI활용 (UX/UI)웹 퍼블리셔 양성과정</t>
  </si>
  <si>
    <t>지정호</t>
  </si>
  <si>
    <t>(스마트웹&amp;컨텐츠개발)생성형 AI활용 프론트엔드(웹퍼블리셔)개발자 양성과정</t>
  </si>
  <si>
    <t>수원</t>
    <phoneticPr fontId="10" type="noConversion"/>
  </si>
  <si>
    <t>미정</t>
    <phoneticPr fontId="10" type="noConversion"/>
  </si>
  <si>
    <t>B</t>
    <phoneticPr fontId="10" type="noConversion"/>
  </si>
  <si>
    <t>미개설</t>
    <phoneticPr fontId="10" type="noConversion"/>
  </si>
  <si>
    <t>UI/UX엔지니어링</t>
    <phoneticPr fontId="10" type="noConversion"/>
  </si>
  <si>
    <t>UIUX 웹퍼블리셔 양성과정</t>
    <phoneticPr fontId="10" type="noConversion"/>
  </si>
  <si>
    <t>울산</t>
  </si>
  <si>
    <t>(산대특)_AI 기반 모션·광고콘텐츠 제작자 (생성형AI, 프리미어, 에펙, C4D) 육성과정</t>
  </si>
  <si>
    <t>박민정, 권유정</t>
  </si>
  <si>
    <t>(산대특)_생성형 AI 활용 마케팅/편집디자인 실무자 육성과정</t>
  </si>
  <si>
    <t>서지윤, 박민정</t>
  </si>
  <si>
    <t>웹디자이너 실무자 양성과정</t>
  </si>
  <si>
    <t>구인 예정</t>
  </si>
  <si>
    <t>실내건축 인테리어(캐드,스케치업,맥스) 실무자 양성과정</t>
  </si>
  <si>
    <t>정광호</t>
  </si>
  <si>
    <t>노원</t>
    <phoneticPr fontId="10" type="noConversion"/>
  </si>
  <si>
    <t>[UIUX] 스마트 웹퍼블리셔 양성 과정</t>
  </si>
  <si>
    <t>D</t>
    <phoneticPr fontId="10" type="noConversion"/>
  </si>
  <si>
    <t>구인예정</t>
    <phoneticPr fontId="10" type="noConversion"/>
  </si>
  <si>
    <t>[디지털디자인] 스마트 UIUX 반응형 웹디자인(웹퍼블리셔) 과정</t>
    <phoneticPr fontId="10" type="noConversion"/>
  </si>
  <si>
    <t>[과정평가형] 실내건축기능사 취득과정</t>
  </si>
  <si>
    <t>분당</t>
    <phoneticPr fontId="10" type="noConversion"/>
  </si>
  <si>
    <t>영상편집&amp;모션그래픽제작(프리미어,에프터이펙트)실무자 양성 과정</t>
  </si>
  <si>
    <t>이준혁</t>
    <phoneticPr fontId="10" type="noConversion"/>
  </si>
  <si>
    <t>종로</t>
  </si>
  <si>
    <t>스마트웹&amp;콘텐츠개발</t>
  </si>
  <si>
    <t>(스마트웹&amp;콘텐츠개발)UIUX 웹디자인(웹퍼블리셔)양성과정</t>
  </si>
  <si>
    <t>I</t>
  </si>
  <si>
    <t>김영원</t>
  </si>
  <si>
    <t>UIUX 웹퍼블리셔 양성과정</t>
  </si>
  <si>
    <t>국비 강의실 부족으로인한 반납</t>
  </si>
  <si>
    <t>안산</t>
    <phoneticPr fontId="10" type="noConversion"/>
  </si>
  <si>
    <t>모션그래픽(영상편집,CG) 제작과정</t>
    <phoneticPr fontId="10" type="noConversion"/>
  </si>
  <si>
    <t>송지우,이주형</t>
    <phoneticPr fontId="10" type="noConversion"/>
  </si>
  <si>
    <t>실내건축설계 양성과정</t>
    <phoneticPr fontId="10" type="noConversion"/>
  </si>
  <si>
    <t>장수지,성유진</t>
    <phoneticPr fontId="10" type="noConversion"/>
  </si>
  <si>
    <t>안양</t>
    <phoneticPr fontId="10" type="noConversion"/>
  </si>
  <si>
    <t>편집디자인(포토샵, 일러스트, 인디자인) 실무자 양성과정</t>
    <phoneticPr fontId="10" type="noConversion"/>
  </si>
  <si>
    <t>청주</t>
    <phoneticPr fontId="10" type="noConversion"/>
  </si>
  <si>
    <t>디지털 출판, 편집(포토샵,일러스트,인디자인) 디자이너 양성과정</t>
    <phoneticPr fontId="10" type="noConversion"/>
  </si>
  <si>
    <t>실내건축설계 인테리어디자이너 양성과정</t>
    <phoneticPr fontId="10" type="noConversion"/>
  </si>
  <si>
    <t>천안</t>
    <phoneticPr fontId="10" type="noConversion"/>
  </si>
  <si>
    <t>게임</t>
    <phoneticPr fontId="10" type="noConversion"/>
  </si>
  <si>
    <t>게임콘텐츠제작</t>
    <phoneticPr fontId="10" type="noConversion"/>
  </si>
  <si>
    <t xml:space="preserve"> (게임콘텐츠제작) 게임그래픽 디자이너 양성과정</t>
    <phoneticPr fontId="10" type="noConversion"/>
  </si>
  <si>
    <t>강사 구인</t>
    <phoneticPr fontId="10" type="noConversion"/>
  </si>
  <si>
    <t>K</t>
    <phoneticPr fontId="10" type="noConversion"/>
  </si>
  <si>
    <t>게임</t>
  </si>
  <si>
    <t>강남</t>
  </si>
  <si>
    <t>게임콘텐츠제작</t>
  </si>
  <si>
    <t>국비 강의실 부족으로 인한 반납</t>
  </si>
  <si>
    <t>게임그래픽 디자이너 양성과정(3D 모델링)</t>
    <phoneticPr fontId="10" type="noConversion"/>
  </si>
  <si>
    <t>신촌</t>
  </si>
  <si>
    <t>대구</t>
  </si>
  <si>
    <t>대전</t>
    <phoneticPr fontId="10" type="noConversion"/>
  </si>
  <si>
    <t>부평</t>
  </si>
  <si>
    <t>부산</t>
    <phoneticPr fontId="10" type="noConversion"/>
  </si>
  <si>
    <t>수원</t>
  </si>
  <si>
    <t>안산</t>
  </si>
  <si>
    <t>노원</t>
  </si>
  <si>
    <t>(게임콘텐츠제작) 유니티 게임 프로그래머 양성과정B</t>
  </si>
  <si>
    <t>문화콘텐츠제작</t>
  </si>
  <si>
    <t>유니티 게임프로그래머 양성과정</t>
  </si>
  <si>
    <t>일정과 훈련과정 효율화를 위한 조정</t>
  </si>
  <si>
    <t>게임콘텐츠개발</t>
  </si>
  <si>
    <t>게임프로그래머 양성과정(유니티)</t>
  </si>
  <si>
    <t>게임기획 실무자 양성과정B</t>
  </si>
  <si>
    <t>강사님 수업 일정 불가로 인한 반납</t>
  </si>
  <si>
    <t>게임프로그래밍(유니티) 개발자 양성과정</t>
  </si>
  <si>
    <t>A</t>
    <phoneticPr fontId="10" type="noConversion"/>
  </si>
  <si>
    <t>게임프로그래머 양성과정(유니티)</t>
    <phoneticPr fontId="10" type="noConversion"/>
  </si>
  <si>
    <t>유니티 개발자 양성과정</t>
  </si>
  <si>
    <t>게임프로그래머 유니티 양성과정</t>
  </si>
  <si>
    <t>모집률 저조 예상으로 인한 반납</t>
  </si>
  <si>
    <t>IT</t>
    <phoneticPr fontId="10" type="noConversion"/>
  </si>
  <si>
    <t>디지털컨버전스</t>
    <phoneticPr fontId="10" type="noConversion"/>
  </si>
  <si>
    <t>H</t>
    <phoneticPr fontId="10" type="noConversion"/>
  </si>
  <si>
    <t>IT</t>
  </si>
  <si>
    <t>네트워크운영관리</t>
  </si>
  <si>
    <t>[과정평가형]정보보안산업기사 취득과정C</t>
  </si>
  <si>
    <t>공공데이터 융합 풀스택 개발자 양성과정G</t>
    <phoneticPr fontId="10" type="noConversion"/>
  </si>
  <si>
    <t>KDT 신청 승인대비 강의장확보</t>
    <phoneticPr fontId="10" type="noConversion"/>
  </si>
  <si>
    <t>공공데이터 융합 풀스택 개발자 양성과정H</t>
    <phoneticPr fontId="10" type="noConversion"/>
  </si>
  <si>
    <t>응용SW엔지니어링</t>
    <phoneticPr fontId="10" type="noConversion"/>
  </si>
  <si>
    <t>미정</t>
  </si>
  <si>
    <t>자바(JAVA) 스프링기반 웹개발자 양성 과정</t>
  </si>
  <si>
    <t>근로자</t>
  </si>
  <si>
    <t>뷰티</t>
  </si>
  <si>
    <t>피부미용</t>
  </si>
  <si>
    <t>메이크업</t>
  </si>
  <si>
    <t>미용사(메이크업)국가자격증 취득과정</t>
  </si>
  <si>
    <t>교보재 단가 대비 운영 효율성 저조, 22년도부터 미개설로 전달받음</t>
  </si>
  <si>
    <t>속눈썹 연장 및 펌 실무과정</t>
  </si>
  <si>
    <t>지점 임원(원・부원장) 및 부서장에게 적합 보고하였으나 개설 과정에서 배제됨</t>
  </si>
  <si>
    <t>일반고</t>
    <phoneticPr fontId="10" type="noConversion"/>
  </si>
  <si>
    <t>홍대</t>
    <phoneticPr fontId="10" type="noConversion"/>
  </si>
  <si>
    <t>시스템SW엔지니어링</t>
    <phoneticPr fontId="10" type="noConversion"/>
  </si>
  <si>
    <t>[산대특]생성형 Ai를 활용한 UIUX웹개발자 양성과정 2회차</t>
    <phoneticPr fontId="10" type="noConversion"/>
  </si>
  <si>
    <t>웹디자이너 양성과정</t>
    <phoneticPr fontId="10" type="noConversion"/>
  </si>
  <si>
    <t>실내건축설계 인테리어과정</t>
    <phoneticPr fontId="10" type="noConversion"/>
  </si>
  <si>
    <t>자바기반 웹개발자 양성과정</t>
    <phoneticPr fontId="10" type="noConversion"/>
  </si>
  <si>
    <t>오전 5시간</t>
    <phoneticPr fontId="10" type="noConversion"/>
  </si>
  <si>
    <t>편집디자인 (포토샵, 일러스트, 인디자인) 양성과정</t>
    <phoneticPr fontId="10" type="noConversion"/>
  </si>
  <si>
    <t>미정 강사구인</t>
    <phoneticPr fontId="10" type="noConversion"/>
  </si>
  <si>
    <t>(디지털디자인) AI를 활용한 스마트UIUX 반응형 웹디자인(웹퍼블리셔)A</t>
    <phoneticPr fontId="10" type="noConversion"/>
  </si>
  <si>
    <t>L</t>
    <phoneticPr fontId="10" type="noConversion"/>
  </si>
  <si>
    <t>최현숙</t>
    <phoneticPr fontId="10" type="noConversion"/>
  </si>
  <si>
    <t>(디지털디자인) AI를 활용한 스마트UIUX 반응형 웹디자인(웹퍼블리셔)B</t>
    <phoneticPr fontId="10" type="noConversion"/>
  </si>
  <si>
    <t>윤호정(변경가능)</t>
    <phoneticPr fontId="10" type="noConversion"/>
  </si>
  <si>
    <t>임시강사</t>
    <phoneticPr fontId="10" type="noConversion"/>
  </si>
  <si>
    <t>(출판) AI를 활용한 디지털편집디자인(일러스트,포토샵,인디자인) 실무양성과정A</t>
    <phoneticPr fontId="10" type="noConversion"/>
  </si>
  <si>
    <t>오창운</t>
    <phoneticPr fontId="10" type="noConversion"/>
  </si>
  <si>
    <t>(스마트웹&amp;콘텐츠개발)UIUX웹퍼블리싱&amp;프론트엔드실무자양성과정</t>
    <phoneticPr fontId="10" type="noConversion"/>
  </si>
  <si>
    <t>이정환</t>
    <phoneticPr fontId="10" type="noConversion"/>
  </si>
  <si>
    <t>(BIM)건축설계&amp;실내건축설계양성과정(CAD,MAX)</t>
    <phoneticPr fontId="10" type="noConversion"/>
  </si>
  <si>
    <t>김정용,문정원</t>
    <phoneticPr fontId="10" type="noConversion"/>
  </si>
  <si>
    <t>실내건축 인테리어 디자이너양성과정</t>
    <phoneticPr fontId="10" type="noConversion"/>
  </si>
  <si>
    <t>임서영,김정용</t>
    <phoneticPr fontId="10" type="noConversion"/>
  </si>
  <si>
    <t>글로벌 문화관광 콘텐츠영상제작과정</t>
    <phoneticPr fontId="10" type="noConversion"/>
  </si>
  <si>
    <t>박동우,최유경</t>
    <phoneticPr fontId="10" type="noConversion"/>
  </si>
  <si>
    <t>박두리</t>
  </si>
  <si>
    <t>송연수</t>
  </si>
  <si>
    <t>송연수 강사 변경인정신청 예정</t>
  </si>
  <si>
    <t>최명훈</t>
  </si>
  <si>
    <t>이상효</t>
  </si>
  <si>
    <t>현장심사 완료</t>
    <phoneticPr fontId="10" type="noConversion"/>
  </si>
  <si>
    <t>김주영</t>
    <phoneticPr fontId="10" type="noConversion"/>
  </si>
  <si>
    <t>김혜지4</t>
    <phoneticPr fontId="10" type="noConversion"/>
  </si>
  <si>
    <t>김혜지5</t>
    <phoneticPr fontId="10" type="noConversion"/>
  </si>
  <si>
    <t>제한없음</t>
    <phoneticPr fontId="10" type="noConversion"/>
  </si>
  <si>
    <t>윤진</t>
    <phoneticPr fontId="10" type="noConversion"/>
  </si>
  <si>
    <t>김서영</t>
    <phoneticPr fontId="10" type="noConversion"/>
  </si>
  <si>
    <t>[과정평가형] 실내건축기능사 취득과정 (캐드,스케치업)</t>
    <phoneticPr fontId="10" type="noConversion"/>
  </si>
  <si>
    <t>(스마트웹&amp;콘텐츠개발) UIUX 웹디자이너&amp;웹퍼블리셔 양성과정</t>
  </si>
  <si>
    <t>광고콘텐츠 제작</t>
  </si>
  <si>
    <t>3D 영상콘텐츠 실무자 양성과정</t>
  </si>
  <si>
    <t>박소룡</t>
  </si>
  <si>
    <t>[과정평가형] 실내건축산업기사 취득과정</t>
  </si>
  <si>
    <t>오유경</t>
  </si>
  <si>
    <t>[과정평가형] 제품디자인 산업기사 취득과정</t>
  </si>
  <si>
    <t xml:space="preserve">실내건축설계 </t>
  </si>
  <si>
    <t>실내건축 인테리어 실무자 양성과정</t>
  </si>
  <si>
    <t>오선영</t>
  </si>
  <si>
    <t>[과정평가형] 프로그래밍 기능사 취득과정</t>
  </si>
  <si>
    <t>김은범</t>
  </si>
  <si>
    <t>울산</t>
    <phoneticPr fontId="10" type="noConversion"/>
  </si>
  <si>
    <t>편집디자인(포토샵, 일러스트) 실무자 양성과정</t>
    <phoneticPr fontId="10" type="noConversion"/>
  </si>
  <si>
    <t>강의장 B에서 C로 변경</t>
    <phoneticPr fontId="10" type="noConversion"/>
  </si>
  <si>
    <t>홍성엽, 서민경</t>
  </si>
  <si>
    <t>최영애, 서민경</t>
  </si>
  <si>
    <t>홍성엽, 전현기</t>
  </si>
  <si>
    <t>유현석, 남서희</t>
  </si>
  <si>
    <t>한보미</t>
  </si>
  <si>
    <t>정한성</t>
  </si>
  <si>
    <t xml:space="preserve"> (게임콘텐츠제작) 게임그래픽 디자이너 양성과정</t>
  </si>
  <si>
    <t>G</t>
  </si>
  <si>
    <t>강사 구인</t>
  </si>
  <si>
    <t>게임기획 실무자 양성과정</t>
  </si>
  <si>
    <t>K</t>
  </si>
  <si>
    <t>일반고</t>
  </si>
  <si>
    <t>[일반고] 게임프로그래밍 전문가 양성과정 (정보처리기능사)</t>
  </si>
  <si>
    <t>D</t>
  </si>
  <si>
    <t>정우일</t>
  </si>
  <si>
    <t>게임 프로그래밍(Unity 활용) 개발자 양성</t>
  </si>
  <si>
    <t>ABKO</t>
  </si>
  <si>
    <t>서제원</t>
  </si>
  <si>
    <t>(게임콘텐츠제작) 게임개발자 양성과정 (유니티엔진 활용 프로그래밍, 기획)</t>
  </si>
  <si>
    <t>25년 12월 모집시작 예정</t>
  </si>
  <si>
    <t>(게임콘텐츠제작) 유니티 게임 프로그래머 양성과정A</t>
  </si>
  <si>
    <t>성하천, 이정대</t>
  </si>
  <si>
    <t>(게임콘텐츠제작) 게임 3D 배경 그래픽 디자이너 양성과정(2026)</t>
  </si>
  <si>
    <t>A</t>
  </si>
  <si>
    <t>박진수</t>
  </si>
  <si>
    <t>(게임콘텐츠제작) 게임 기획 실무자 양성과정(2026)</t>
  </si>
  <si>
    <t>이정대</t>
  </si>
  <si>
    <t>(만화콘텐츠제작) 웹툰 전문가 양성과정(2026)</t>
  </si>
  <si>
    <t>최원준</t>
  </si>
  <si>
    <t>강인혜 강사로 변경 예정</t>
  </si>
  <si>
    <t>(게임콘텐츠제작유니티 게임프로그래머 개발자 전문 양성과정</t>
  </si>
  <si>
    <t>2026.04.01</t>
  </si>
  <si>
    <t>2026.12.10</t>
  </si>
  <si>
    <t>최항, 박현우</t>
  </si>
  <si>
    <t>(게임콘텐츠제작유니티 게임프로그래밍&amp;기획 전문가 양성과정</t>
  </si>
  <si>
    <t>2026.12.28</t>
  </si>
  <si>
    <t>2027.09.06</t>
  </si>
  <si>
    <t>박현우, 기획 구인예정</t>
  </si>
  <si>
    <t>게임기획 전문 실무자 양성과정(1회차)</t>
  </si>
  <si>
    <t>2025.06.08</t>
  </si>
  <si>
    <t>2026.10.21</t>
  </si>
  <si>
    <t>최항</t>
  </si>
  <si>
    <t>게임기획 전문 실무자 양성과정(2회차)</t>
  </si>
  <si>
    <t>2025.12.01</t>
  </si>
  <si>
    <t>2027.04.15</t>
  </si>
  <si>
    <t>I+J</t>
    <phoneticPr fontId="10" type="noConversion"/>
  </si>
  <si>
    <t>박재일</t>
    <phoneticPr fontId="10" type="noConversion"/>
  </si>
  <si>
    <t>(게임콘텐츠제작)게임프로그래머 전문가 양성과정</t>
  </si>
  <si>
    <t>박재일/서총명</t>
    <phoneticPr fontId="10" type="noConversion"/>
  </si>
  <si>
    <t>(게임콘텐츠제작)게임 프로그래머 양성과정</t>
  </si>
  <si>
    <t>선진송</t>
  </si>
  <si>
    <t>실무 중심 언리얼 엔진 게임 개발자 양성과정</t>
  </si>
  <si>
    <t>조혁진</t>
  </si>
  <si>
    <t>일산</t>
  </si>
  <si>
    <t>(게임콘텐츠제작) 유니티(Unity) 프로그래밍 전문가 양성과정</t>
  </si>
  <si>
    <t>M</t>
  </si>
  <si>
    <t>김현복</t>
  </si>
  <si>
    <t>(게임콘텐츠제작) 게임개발 실무자 양성과정(기획, 프로그래밍)</t>
  </si>
  <si>
    <t>L</t>
  </si>
  <si>
    <t>조은애+김영규</t>
  </si>
  <si>
    <t>게임기획 실무자 양성과정A</t>
  </si>
  <si>
    <t>조은애</t>
  </si>
  <si>
    <t>게임</t>
    <phoneticPr fontId="10" type="noConversion"/>
  </si>
  <si>
    <t>수원</t>
    <phoneticPr fontId="10" type="noConversion"/>
  </si>
  <si>
    <t>계좌제</t>
    <phoneticPr fontId="10" type="noConversion"/>
  </si>
  <si>
    <t>게임콘텐츠제작</t>
    <phoneticPr fontId="10" type="noConversion"/>
  </si>
  <si>
    <t>미개설 가능성 있음</t>
  </si>
  <si>
    <t>분당</t>
  </si>
  <si>
    <t>(게임콘텐츠제작)게임개발자 양성과정</t>
  </si>
  <si>
    <t>이진구, 구인예정</t>
  </si>
  <si>
    <t>게임기획실무자양성과정</t>
  </si>
  <si>
    <t>구인예정</t>
  </si>
  <si>
    <t>게임 3D그래픽 디자이너</t>
  </si>
  <si>
    <t>게임그래픽 실무자 양성과정</t>
  </si>
  <si>
    <t>이진옥</t>
  </si>
  <si>
    <t>(게임콘텐츠제작) 유니티게임프로그래머 양성과정</t>
  </si>
  <si>
    <t>(게임콘텐츠제작)유니티기반 기획&amp;프로그래밍 게임개발자 양성과정</t>
  </si>
  <si>
    <t>이수호</t>
  </si>
  <si>
    <t>게임그래픽 디자이너 양성과정(2D원화,UI,일러스트)</t>
  </si>
  <si>
    <t>D,E</t>
  </si>
  <si>
    <t>임준혁</t>
  </si>
  <si>
    <t>최효석</t>
  </si>
  <si>
    <t>천안</t>
  </si>
  <si>
    <t>[일반고] 생성형 AI를 활용한 게임그래픽 디자이너 양성과정(게임그래픽전문가)</t>
  </si>
  <si>
    <t>허재현</t>
    <phoneticPr fontId="10" type="noConversion"/>
  </si>
  <si>
    <t>이대우</t>
    <phoneticPr fontId="10" type="noConversion"/>
  </si>
  <si>
    <t>게임 프로그래밍 실무자 양성과정</t>
  </si>
  <si>
    <t>양주현</t>
    <phoneticPr fontId="10" type="noConversion"/>
  </si>
  <si>
    <t>-</t>
  </si>
  <si>
    <t>공공데이터 융합 풀스택 개발자 양성과정E</t>
  </si>
  <si>
    <t>오미란</t>
  </si>
  <si>
    <t>AI활용 소프트웨어 개발 및 응용</t>
  </si>
  <si>
    <t>AI 활용 소프트웨어 개발 및 응용과정B</t>
  </si>
  <si>
    <t>성연철</t>
  </si>
  <si>
    <t>KDT</t>
  </si>
  <si>
    <t>인공지능</t>
  </si>
  <si>
    <t>랭체인을 활용한 AI 영상객체탐지분석 플랫폼 구축과정</t>
  </si>
  <si>
    <t>김효경</t>
  </si>
  <si>
    <t>정보보호</t>
  </si>
  <si>
    <t>정보보안산업기사 취득과정A</t>
  </si>
  <si>
    <t>박세찬</t>
  </si>
  <si>
    <t>AI 활용 소프트웨어 개발 및 응용과정A</t>
  </si>
  <si>
    <t>조기용</t>
  </si>
  <si>
    <t>유정원</t>
  </si>
  <si>
    <t>공공데이터 융합 풀스택 개발자 양성과정C</t>
  </si>
  <si>
    <t>한동석</t>
  </si>
  <si>
    <t>공공데이터 융합 풀스택 개발자 양성과정A</t>
  </si>
  <si>
    <t>김세환</t>
  </si>
  <si>
    <t>정보보안산업기사 취득과정B</t>
  </si>
  <si>
    <t>김영선</t>
  </si>
  <si>
    <t>진석형</t>
  </si>
  <si>
    <t>정보보안산업기사 취득과정C</t>
  </si>
  <si>
    <t>공공데이터 융합 풀스택 개발자 양성과정F</t>
  </si>
  <si>
    <t>공공데이터 융합 풀스택 개발자 양성과정D</t>
  </si>
  <si>
    <t>공공데이터 융합 풀스택 개발자 양성과정B</t>
  </si>
  <si>
    <t>신촌</t>
    <phoneticPr fontId="10" type="noConversion"/>
  </si>
  <si>
    <t>AI 활용 소프트웨어 개발 및 응용</t>
    <phoneticPr fontId="10" type="noConversion"/>
  </si>
  <si>
    <t>[AI 활용 소프트웨어 개발 및 응용] 인공지능(AI)기반 응용SW개발자 양성과정</t>
  </si>
  <si>
    <t>전준형</t>
    <phoneticPr fontId="10" type="noConversion"/>
  </si>
  <si>
    <t>정보시스템구축 개발,운영</t>
    <phoneticPr fontId="10" type="noConversion"/>
  </si>
  <si>
    <t>[정보시스템구축(개발·운영)] 정보시스템 보안운영 및 보안사고 분석A</t>
  </si>
  <si>
    <t>고승욱</t>
    <phoneticPr fontId="10" type="noConversion"/>
  </si>
  <si>
    <t>[정보시스템구축(개발·운영)] 정보시스템 보안운영 및 보안사고 분석B</t>
  </si>
  <si>
    <t>2026-0917</t>
    <phoneticPr fontId="10" type="noConversion"/>
  </si>
  <si>
    <t>배동규</t>
    <phoneticPr fontId="10" type="noConversion"/>
  </si>
  <si>
    <t>[정보시스템구축(개발·운영)] 정보시스템 보안운영 및 보안사고 분석C</t>
  </si>
  <si>
    <t>[디지털컨버전스] 공공데이터 및 ChatGPT 활용 풀스택 개발자 양성과정A</t>
  </si>
  <si>
    <t>E</t>
    <phoneticPr fontId="10" type="noConversion"/>
  </si>
  <si>
    <t>신동열</t>
    <phoneticPr fontId="10" type="noConversion"/>
  </si>
  <si>
    <t>(과정평가형) 정보처리산업기사 취득과정A</t>
    <phoneticPr fontId="10" type="noConversion"/>
  </si>
  <si>
    <t>이영걸</t>
    <phoneticPr fontId="10" type="noConversion"/>
  </si>
  <si>
    <t>(디지털컨버전스) 공공데이터 융합 풀스택 개발자 양성과정A</t>
    <phoneticPr fontId="10" type="noConversion"/>
  </si>
  <si>
    <t>최해만</t>
    <phoneticPr fontId="10" type="noConversion"/>
  </si>
  <si>
    <t>(디지털컨버전스) 공공데이터 융합 풀스택 개발자 양성과정C</t>
    <phoneticPr fontId="10" type="noConversion"/>
  </si>
  <si>
    <t>박용현</t>
    <phoneticPr fontId="10" type="noConversion"/>
  </si>
  <si>
    <t>KDT 승인 시, 미개설</t>
    <phoneticPr fontId="10" type="noConversion"/>
  </si>
  <si>
    <t>(디지털컨버전스) 공공데이터 융합 풀스택 개발자 양성과정D</t>
    <phoneticPr fontId="10" type="noConversion"/>
  </si>
  <si>
    <t>김성우</t>
    <phoneticPr fontId="10" type="noConversion"/>
  </si>
  <si>
    <t>(디지털컨버전스) 공공데이터 융합 풀스택 개발자 양성과정E</t>
    <phoneticPr fontId="10" type="noConversion"/>
  </si>
  <si>
    <t>AI 활용 소프트웨어 개발 및 응용</t>
  </si>
  <si>
    <t>(AI 활용 소프트웨어 개발 및 응용)AI 활용 소프트웨어 개발자 양성과정</t>
  </si>
  <si>
    <t>정우균</t>
    <phoneticPr fontId="10" type="noConversion"/>
  </si>
  <si>
    <t>빅데이터 분석 및 UI 전문가</t>
  </si>
  <si>
    <t>(빅데이터 분석 및 UI 전문가) 자바, 파이썬 기반 빅데이터 UI 전문가 양성과정</t>
  </si>
  <si>
    <t>빅데이터전문가</t>
  </si>
  <si>
    <t>(빅데이터전문가) 빅데이터 분석 플랫폼 개발자 양성과정</t>
  </si>
  <si>
    <t>석득화</t>
    <phoneticPr fontId="10" type="noConversion"/>
  </si>
  <si>
    <t>네트워크운영관리</t>
    <phoneticPr fontId="10" type="noConversion"/>
  </si>
  <si>
    <t>[과정평가형]정보보안산업기사 취득과정A</t>
    <phoneticPr fontId="10" type="noConversion"/>
  </si>
  <si>
    <t>고기정</t>
    <phoneticPr fontId="10" type="noConversion"/>
  </si>
  <si>
    <t>[과정평가형]정보보안산업기사 취득과정B</t>
    <phoneticPr fontId="10" type="noConversion"/>
  </si>
  <si>
    <t>(산대특)생성형 AI 챗봇 활용 시니어 슬립테크 디지털 치료제 개발자 양성</t>
  </si>
  <si>
    <t>(산대특)생성형 AI(챗GPT API) 활용 실버케어 PHR 솔루션 개발</t>
  </si>
  <si>
    <t>김준일</t>
  </si>
  <si>
    <t>(산대특)디지털 트윈 활용 독거노인 헬스케어 실시간 모니터링 솔루션 개발자 양성</t>
  </si>
  <si>
    <t>이동윤</t>
  </si>
  <si>
    <t>(디지털컨버전스)공공데이터 융합 생성형 AI 활용 풀스택 개발자 양성과정</t>
  </si>
  <si>
    <t>안근수</t>
  </si>
  <si>
    <t>(과정평가형 자격) 프로그래밍기능사 취득과정B</t>
  </si>
  <si>
    <t>(디지털컨버전스)LLM 기반 생성형 AI·공공데이터 융합 풀스택 플랫폼 개발자 양성과정</t>
  </si>
  <si>
    <t>(과정평가형 자격) 프로그래밍기능사 취득과정A</t>
  </si>
  <si>
    <t>인천</t>
    <phoneticPr fontId="10" type="noConversion"/>
  </si>
  <si>
    <t>스마트웹&amp;콘텐츠개발</t>
    <phoneticPr fontId="10" type="noConversion"/>
  </si>
  <si>
    <t>(스마트웹콘텐츠개발) AWS로 배우는 실전형 풀스택 웹개발 (React &amp; SpringBoot)</t>
    <phoneticPr fontId="10" type="noConversion"/>
  </si>
  <si>
    <t>2026.04.16</t>
    <phoneticPr fontId="10" type="noConversion"/>
  </si>
  <si>
    <t>2026.10.08</t>
    <phoneticPr fontId="10" type="noConversion"/>
  </si>
  <si>
    <t>김재섭</t>
    <phoneticPr fontId="10" type="noConversion"/>
  </si>
  <si>
    <t>취업 포트폴리오 완성하러 올 사람?</t>
    <phoneticPr fontId="10" type="noConversion"/>
  </si>
  <si>
    <t>2026.11.16</t>
    <phoneticPr fontId="10" type="noConversion"/>
  </si>
  <si>
    <t>2026.12.11</t>
    <phoneticPr fontId="10" type="noConversion"/>
  </si>
  <si>
    <t>자바(JAVA)기반 백엔드 개발자 양성과정</t>
    <phoneticPr fontId="10" type="noConversion"/>
  </si>
  <si>
    <t>2026.08.03</t>
    <phoneticPr fontId="10" type="noConversion"/>
  </si>
  <si>
    <t>2026.11.13</t>
    <phoneticPr fontId="10" type="noConversion"/>
  </si>
  <si>
    <t>[과정평가형] 정보처리산업기사 취득과정A</t>
    <phoneticPr fontId="10" type="noConversion"/>
  </si>
  <si>
    <t>2026.02.09</t>
    <phoneticPr fontId="10" type="noConversion"/>
  </si>
  <si>
    <t>2026.07.15</t>
    <phoneticPr fontId="10" type="noConversion"/>
  </si>
  <si>
    <t>이현준</t>
    <phoneticPr fontId="10" type="noConversion"/>
  </si>
  <si>
    <t>[과정평가형] 정보처리산업기사 취득과정B</t>
    <phoneticPr fontId="10" type="noConversion"/>
  </si>
  <si>
    <t>2026.07.16</t>
    <phoneticPr fontId="10" type="noConversion"/>
  </si>
  <si>
    <t>2026.12.16</t>
    <phoneticPr fontId="10" type="noConversion"/>
  </si>
  <si>
    <t>(산대특) 클라우드 네이티브&amp;생성형 AI기반 SaaS플랫폼 구축 과정</t>
    <phoneticPr fontId="10" type="noConversion"/>
  </si>
  <si>
    <t>2025.12.30</t>
    <phoneticPr fontId="10" type="noConversion"/>
  </si>
  <si>
    <t>2026.06.26</t>
    <phoneticPr fontId="10" type="noConversion"/>
  </si>
  <si>
    <t>정보보호관리·운영</t>
    <phoneticPr fontId="10" type="noConversion"/>
  </si>
  <si>
    <t>(산대특) AWS클라우드 환경의 인프라구축을 통한 보안전문가 양성과정</t>
    <phoneticPr fontId="10" type="noConversion"/>
  </si>
  <si>
    <t>2025.11.24</t>
    <phoneticPr fontId="10" type="noConversion"/>
  </si>
  <si>
    <t>2026.05.08</t>
    <phoneticPr fontId="10" type="noConversion"/>
  </si>
  <si>
    <t>도현</t>
    <phoneticPr fontId="10" type="noConversion"/>
  </si>
  <si>
    <t>2026.03.12</t>
    <phoneticPr fontId="10" type="noConversion"/>
  </si>
  <si>
    <t>2026.08.19</t>
    <phoneticPr fontId="10" type="noConversion"/>
  </si>
  <si>
    <t>(산대특) 공공데이터 융합 AWS클라우드 활용 풀스택 개발자 양성(재)</t>
    <phoneticPr fontId="10" type="noConversion"/>
  </si>
  <si>
    <t>(산대특) AI(인공지능)활용 핀테크서비스 개발자 양성과정(재)</t>
    <phoneticPr fontId="10" type="noConversion"/>
  </si>
  <si>
    <t>2026.09.21</t>
    <phoneticPr fontId="10" type="noConversion"/>
  </si>
  <si>
    <t>김진만</t>
    <phoneticPr fontId="10" type="noConversion"/>
  </si>
  <si>
    <t>(산대특) CI/CD 자동화를 위한 React&amp;Node.js 기반 풀스택 개발 과정(재)</t>
    <phoneticPr fontId="10" type="noConversion"/>
  </si>
  <si>
    <t>(산대특) AI 데이터 기반 언리얼 프로그래밍 활용 과정</t>
    <phoneticPr fontId="10" type="noConversion"/>
  </si>
  <si>
    <t>2026.01.29</t>
    <phoneticPr fontId="10" type="noConversion"/>
  </si>
  <si>
    <t>2026.07.20</t>
    <phoneticPr fontId="10" type="noConversion"/>
  </si>
  <si>
    <t>이상동</t>
    <phoneticPr fontId="10" type="noConversion"/>
  </si>
  <si>
    <t>게임 디자인 2D그래픽 디자이너 양성(디지털드로잉, 컨셉아트, UI그래픽)</t>
  </si>
  <si>
    <t>모집률 저조로 인한 반납</t>
  </si>
  <si>
    <t>게임인공지능 설계중심 게임개발자 양성과정(유니티)</t>
  </si>
  <si>
    <t>(과정평가형) 정보처리산업기사 취득과정B</t>
    <phoneticPr fontId="10" type="noConversion"/>
  </si>
  <si>
    <t>국비 강의실 부족</t>
    <phoneticPr fontId="10" type="noConversion"/>
  </si>
  <si>
    <t>[디지털컨버전스] 공공데이터 및 ChatGPT 활용 풀스택 개발자 양성과정B</t>
    <phoneticPr fontId="10" type="noConversion"/>
  </si>
  <si>
    <t>(디지털컨버전스) 공공데이터 융합 풀스택 개발자 양성과정B</t>
    <phoneticPr fontId="10" type="noConversion"/>
  </si>
  <si>
    <t>정보시스템구축(개발-운영)</t>
  </si>
  <si>
    <t>(정보시스템구축(개발･운영)) 시스템 보안 전문가 양성과정</t>
  </si>
  <si>
    <t>스마트문화앱콘텐츠제작</t>
  </si>
  <si>
    <t>다트(Dart), 플러터(Flutter) 기반 모바일 앱 개발자 양성과정</t>
  </si>
  <si>
    <t>빅데이터분석</t>
    <phoneticPr fontId="10" type="noConversion"/>
  </si>
  <si>
    <t>파이썬 활용 빅데이터 시각화 분석 전문가 양성과정</t>
    <phoneticPr fontId="10" type="noConversion"/>
  </si>
  <si>
    <t>타과정으로 정보기술개발 직종 실적 충족가능</t>
    <phoneticPr fontId="10" type="noConversion"/>
  </si>
  <si>
    <t>네일미용</t>
  </si>
  <si>
    <t>미용사(네일)국가자격증 취득과정</t>
  </si>
  <si>
    <t>2_Nail Art</t>
  </si>
  <si>
    <t>에스테틱B</t>
  </si>
  <si>
    <t>서미영</t>
  </si>
  <si>
    <t>인천</t>
  </si>
  <si>
    <t>미용사(네일) 국가자격증 취득과정</t>
  </si>
  <si>
    <t>네일 2</t>
  </si>
  <si>
    <t>주승옥</t>
  </si>
  <si>
    <t>승무원</t>
  </si>
  <si>
    <t>항공여객운송서비스</t>
  </si>
  <si>
    <t>항공사지상직CRS(예약발권)/DCS(공항수속)과정</t>
  </si>
  <si>
    <t>로마</t>
  </si>
  <si>
    <t>조은정</t>
  </si>
  <si>
    <t>여행상품상담</t>
  </si>
  <si>
    <t>여행사예약발권(CRS)/오퍼레이터(OP)과정</t>
  </si>
  <si>
    <t>도쿄</t>
  </si>
  <si>
    <t>정혜미</t>
  </si>
  <si>
    <t>국내여행안내</t>
  </si>
  <si>
    <t>관광통역안내사/국내여행안내사 필기 자격증 과정</t>
  </si>
  <si>
    <t>이응주</t>
  </si>
  <si>
    <t>요리</t>
  </si>
  <si>
    <t>제과·제빵·떡제조 [210201]</t>
  </si>
  <si>
    <t>제과제빵기능사자격증 취득과정(실기)</t>
  </si>
  <si>
    <t>김나희</t>
  </si>
  <si>
    <t>미용사(피부) 국가자격증 취득과정</t>
    <phoneticPr fontId="10" type="noConversion"/>
  </si>
  <si>
    <t>피부2</t>
    <phoneticPr fontId="10" type="noConversion"/>
  </si>
  <si>
    <t>강정현,손지희</t>
    <phoneticPr fontId="10" type="noConversion"/>
  </si>
  <si>
    <t>네일미용(젤 네일) 실무과정</t>
    <phoneticPr fontId="10" type="noConversion"/>
  </si>
  <si>
    <t>네일2</t>
    <phoneticPr fontId="10" type="noConversion"/>
  </si>
  <si>
    <t>구선우,김경주</t>
    <phoneticPr fontId="10" type="noConversion"/>
  </si>
  <si>
    <t>뷰티</t>
    <phoneticPr fontId="10" type="noConversion"/>
  </si>
  <si>
    <t>헤어미용</t>
    <phoneticPr fontId="10" type="noConversion"/>
  </si>
  <si>
    <t>헤어커트 실무과정</t>
    <phoneticPr fontId="10" type="noConversion"/>
  </si>
  <si>
    <t>수강료 대비 교보재 단가가 높아 반납</t>
    <phoneticPr fontId="10" type="noConversion"/>
  </si>
  <si>
    <t>차주환</t>
    <phoneticPr fontId="10" type="noConversion"/>
  </si>
  <si>
    <t>(산대특) 바이브코딩을 활용한 AI 기반 웹풀스택 개발 과정</t>
    <phoneticPr fontId="10" type="noConversion"/>
  </si>
  <si>
    <t>김기연</t>
    <phoneticPr fontId="10" type="noConversion"/>
  </si>
  <si>
    <t>(국기) (디지털컨버전스) 공공데이터 활용 풀스택 개발자 양성과정</t>
    <phoneticPr fontId="10" type="noConversion"/>
  </si>
  <si>
    <t>최우영</t>
    <phoneticPr fontId="10" type="noConversion"/>
  </si>
  <si>
    <t>자바 스프링 프레임워크 웹개발자 양성 과정</t>
    <phoneticPr fontId="10" type="noConversion"/>
  </si>
  <si>
    <t>강진혁</t>
    <phoneticPr fontId="10" type="noConversion"/>
  </si>
  <si>
    <t>보안엔지니어링</t>
    <phoneticPr fontId="10" type="noConversion"/>
  </si>
  <si>
    <t>(과정평가형) 정보보안산업기사 취득과정B</t>
    <phoneticPr fontId="10" type="noConversion"/>
  </si>
  <si>
    <t>유영식</t>
    <phoneticPr fontId="10" type="noConversion"/>
  </si>
  <si>
    <t>(계좌제) 정보보안 엔지니어 양성 과정</t>
    <phoneticPr fontId="10" type="noConversion"/>
  </si>
  <si>
    <t>오전 4시간 or 오후 4시간 / 과평 불승인으로  편집 계좌제 과정 반납안하고 운영 예정</t>
    <phoneticPr fontId="10" type="noConversion"/>
  </si>
  <si>
    <t>확정은 아니나 개설 가능성 有</t>
    <phoneticPr fontId="10" type="noConversion"/>
  </si>
  <si>
    <t>재</t>
    <phoneticPr fontId="10" type="noConversion"/>
  </si>
  <si>
    <t>(국) 유니티게임프로그램개발자양성과정</t>
    <phoneticPr fontId="10" type="noConversion"/>
  </si>
  <si>
    <t>&lt;게임강남 개설계획 미포함 과정&gt; 국기 1 / 계좌제 1_ 사유: 일반고 모집 저조시 해당 개설 예정</t>
    <phoneticPr fontId="10" type="noConversion"/>
  </si>
  <si>
    <t xml:space="preserve">(계)유니티게임프로그램개발자양성과정 </t>
    <phoneticPr fontId="10" type="noConversion"/>
  </si>
  <si>
    <t>&lt;뷰티 수원 개설계획 미포함 과정&gt; 계좌제 2_ 사유: 개설계획 없으나 반납 가능수가 정해져 있어 반납 X</t>
    <phoneticPr fontId="10" type="noConversion"/>
  </si>
  <si>
    <t>(계) 피부, 일반</t>
    <phoneticPr fontId="10" type="noConversion"/>
  </si>
  <si>
    <t>서지윤</t>
    <phoneticPr fontId="10" type="noConversion"/>
  </si>
  <si>
    <t>09:00 ~ 13:00 (4시간)</t>
    <phoneticPr fontId="10" type="noConversion"/>
  </si>
  <si>
    <t>14:00 ~ 18:00 (4시간)</t>
    <phoneticPr fontId="10" type="noConversion"/>
  </si>
  <si>
    <t>일산</t>
    <phoneticPr fontId="10" type="noConversion"/>
  </si>
  <si>
    <t>모집률 저조가 예상되어 과정 운영이 어렵다고 판단됨</t>
    <phoneticPr fontId="10" type="noConversion"/>
  </si>
  <si>
    <t>게임 프로그래머 양성과정_유니티(Unity)</t>
    <phoneticPr fontId="10" type="noConversion"/>
  </si>
  <si>
    <t xml:space="preserve">12.24 추가 반납 결정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</si>
</sst>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4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8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i/>
      <sz val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ajor"/>
    </font>
    <font>
      <sz val="8"/>
      <color theme="0" tint="-0.34998626667073579"/>
      <name val="맑은 고딕"/>
      <family val="3"/>
      <charset val="129"/>
    </font>
    <font>
      <b/>
      <sz val="8"/>
      <color theme="0" tint="-0.34998626667073579"/>
      <name val="맑은 고딕"/>
      <family val="3"/>
      <charset val="129"/>
      <scheme val="minor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  <scheme val="maj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aj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i/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i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0">
    <xf numFmtId="0" fontId="0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0" borderId="0"/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0" xfId="1" applyFont="1">
      <alignment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shrinkToFit="1"/>
    </xf>
    <xf numFmtId="0" fontId="15" fillId="0" borderId="11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 shrinkToFit="1"/>
    </xf>
    <xf numFmtId="41" fontId="23" fillId="0" borderId="15" xfId="1" applyNumberFormat="1" applyFont="1" applyBorder="1" applyAlignment="1">
      <alignment horizontal="center" vertical="center"/>
    </xf>
    <xf numFmtId="41" fontId="23" fillId="0" borderId="22" xfId="1" applyNumberFormat="1" applyFont="1" applyBorder="1" applyAlignment="1">
      <alignment horizontal="center" vertical="center"/>
    </xf>
    <xf numFmtId="41" fontId="23" fillId="0" borderId="3" xfId="1" applyNumberFormat="1" applyFont="1" applyBorder="1" applyAlignment="1">
      <alignment horizontal="center" vertical="center"/>
    </xf>
    <xf numFmtId="41" fontId="23" fillId="0" borderId="9" xfId="1" applyNumberFormat="1" applyFont="1" applyBorder="1" applyAlignment="1">
      <alignment horizontal="center" vertical="center"/>
    </xf>
    <xf numFmtId="41" fontId="23" fillId="0" borderId="10" xfId="1" applyNumberFormat="1" applyFont="1" applyBorder="1" applyAlignment="1">
      <alignment horizontal="center" vertical="center"/>
    </xf>
    <xf numFmtId="41" fontId="23" fillId="0" borderId="4" xfId="1" applyNumberFormat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19" fillId="0" borderId="26" xfId="1" applyFont="1" applyBorder="1" applyAlignment="1">
      <alignment horizontal="left" vertical="center"/>
    </xf>
    <xf numFmtId="41" fontId="15" fillId="0" borderId="15" xfId="1" applyNumberFormat="1" applyFont="1" applyBorder="1" applyAlignment="1">
      <alignment horizontal="center" vertical="center"/>
    </xf>
    <xf numFmtId="41" fontId="15" fillId="0" borderId="22" xfId="1" applyNumberFormat="1" applyFont="1" applyBorder="1" applyAlignment="1">
      <alignment horizontal="center" vertical="center"/>
    </xf>
    <xf numFmtId="41" fontId="15" fillId="0" borderId="3" xfId="1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5" fillId="0" borderId="1" xfId="1" applyFont="1" applyBorder="1" applyAlignment="1">
      <alignment horizontal="left" vertical="center" shrinkToFit="1"/>
    </xf>
    <xf numFmtId="0" fontId="33" fillId="0" borderId="0" xfId="1" applyFont="1">
      <alignment vertical="center"/>
    </xf>
    <xf numFmtId="0" fontId="32" fillId="0" borderId="0" xfId="0" applyFont="1">
      <alignment vertical="center"/>
    </xf>
    <xf numFmtId="0" fontId="13" fillId="3" borderId="9" xfId="1" applyFont="1" applyFill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4" fontId="15" fillId="0" borderId="15" xfId="1" applyNumberFormat="1" applyFont="1" applyBorder="1" applyAlignment="1">
      <alignment horizontal="center" vertical="center"/>
    </xf>
    <xf numFmtId="14" fontId="15" fillId="0" borderId="16" xfId="1" applyNumberFormat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 shrinkToFit="1"/>
    </xf>
    <xf numFmtId="0" fontId="13" fillId="3" borderId="12" xfId="1" applyFont="1" applyFill="1" applyBorder="1" applyAlignment="1">
      <alignment horizontal="center" vertical="center"/>
    </xf>
    <xf numFmtId="14" fontId="15" fillId="0" borderId="27" xfId="1" applyNumberFormat="1" applyFont="1" applyBorder="1" applyAlignment="1">
      <alignment horizontal="center" vertical="center"/>
    </xf>
    <xf numFmtId="14" fontId="29" fillId="0" borderId="22" xfId="0" applyNumberFormat="1" applyFont="1" applyBorder="1" applyAlignment="1">
      <alignment horizontal="center" vertical="center"/>
    </xf>
    <xf numFmtId="14" fontId="29" fillId="0" borderId="16" xfId="0" applyNumberFormat="1" applyFont="1" applyBorder="1" applyAlignment="1">
      <alignment horizontal="center" vertical="center"/>
    </xf>
    <xf numFmtId="14" fontId="30" fillId="0" borderId="15" xfId="1" applyNumberFormat="1" applyFont="1" applyBorder="1" applyAlignment="1">
      <alignment horizontal="center" vertical="center"/>
    </xf>
    <xf numFmtId="14" fontId="30" fillId="0" borderId="16" xfId="1" applyNumberFormat="1" applyFont="1" applyBorder="1" applyAlignment="1">
      <alignment horizontal="center" vertical="center"/>
    </xf>
    <xf numFmtId="0" fontId="15" fillId="0" borderId="16" xfId="1" quotePrefix="1" applyFont="1" applyBorder="1" applyAlignment="1">
      <alignment horizontal="center" vertical="center" shrinkToFit="1"/>
    </xf>
    <xf numFmtId="0" fontId="15" fillId="0" borderId="1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 shrinkToFit="1"/>
    </xf>
    <xf numFmtId="14" fontId="15" fillId="0" borderId="9" xfId="1" applyNumberFormat="1" applyFont="1" applyBorder="1" applyAlignment="1">
      <alignment horizontal="center" vertical="center"/>
    </xf>
    <xf numFmtId="14" fontId="15" fillId="0" borderId="12" xfId="1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9" fillId="0" borderId="14" xfId="1" applyFont="1" applyBorder="1">
      <alignment vertical="center"/>
    </xf>
    <xf numFmtId="0" fontId="35" fillId="0" borderId="0" xfId="0" applyFont="1">
      <alignment vertical="center"/>
    </xf>
    <xf numFmtId="0" fontId="36" fillId="0" borderId="22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 shrinkToFit="1"/>
    </xf>
    <xf numFmtId="0" fontId="36" fillId="0" borderId="16" xfId="1" applyFont="1" applyBorder="1" applyAlignment="1">
      <alignment horizontal="center" vertical="center" shrinkToFit="1"/>
    </xf>
    <xf numFmtId="14" fontId="36" fillId="0" borderId="15" xfId="1" applyNumberFormat="1" applyFont="1" applyBorder="1" applyAlignment="1">
      <alignment horizontal="center" vertical="center"/>
    </xf>
    <xf numFmtId="14" fontId="36" fillId="0" borderId="16" xfId="1" applyNumberFormat="1" applyFont="1" applyBorder="1" applyAlignment="1">
      <alignment horizontal="center" vertical="center"/>
    </xf>
    <xf numFmtId="41" fontId="37" fillId="0" borderId="15" xfId="1" applyNumberFormat="1" applyFont="1" applyBorder="1" applyAlignment="1">
      <alignment horizontal="center" vertical="center"/>
    </xf>
    <xf numFmtId="41" fontId="37" fillId="0" borderId="22" xfId="1" applyNumberFormat="1" applyFont="1" applyBorder="1" applyAlignment="1">
      <alignment horizontal="center" vertical="center"/>
    </xf>
    <xf numFmtId="41" fontId="37" fillId="0" borderId="3" xfId="1" applyNumberFormat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6" fillId="0" borderId="20" xfId="1" applyFont="1" applyBorder="1" applyAlignment="1">
      <alignment horizontal="center" vertical="center"/>
    </xf>
    <xf numFmtId="0" fontId="36" fillId="0" borderId="16" xfId="1" applyFont="1" applyBorder="1" applyAlignment="1">
      <alignment horizontal="center" vertical="center"/>
    </xf>
    <xf numFmtId="0" fontId="19" fillId="0" borderId="26" xfId="1" applyFont="1" applyBorder="1">
      <alignment vertical="center"/>
    </xf>
    <xf numFmtId="0" fontId="34" fillId="0" borderId="0" xfId="0" applyFont="1">
      <alignment vertical="center"/>
    </xf>
    <xf numFmtId="0" fontId="36" fillId="0" borderId="1" xfId="1" applyFont="1" applyBorder="1" applyAlignment="1">
      <alignment horizontal="left" vertical="center" shrinkToFit="1"/>
    </xf>
    <xf numFmtId="0" fontId="19" fillId="0" borderId="26" xfId="1" applyFont="1" applyBorder="1" applyAlignment="1">
      <alignment horizontal="center" vertical="center"/>
    </xf>
    <xf numFmtId="14" fontId="15" fillId="0" borderId="16" xfId="1" quotePrefix="1" applyNumberFormat="1" applyFont="1" applyBorder="1" applyAlignment="1">
      <alignment horizontal="center" vertical="center"/>
    </xf>
    <xf numFmtId="0" fontId="19" fillId="0" borderId="0" xfId="1" applyFont="1">
      <alignment vertical="center"/>
    </xf>
    <xf numFmtId="0" fontId="19" fillId="0" borderId="26" xfId="1" applyFont="1" applyBorder="1" applyAlignment="1">
      <alignment horizontal="left" vertical="center" wrapText="1"/>
    </xf>
    <xf numFmtId="0" fontId="19" fillId="0" borderId="16" xfId="1" applyFont="1" applyBorder="1" applyAlignment="1">
      <alignment horizontal="left" vertical="center"/>
    </xf>
    <xf numFmtId="0" fontId="20" fillId="0" borderId="26" xfId="1" applyFont="1" applyBorder="1" applyAlignment="1">
      <alignment horizontal="left" vertical="center"/>
    </xf>
    <xf numFmtId="0" fontId="15" fillId="0" borderId="29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 shrinkToFit="1"/>
    </xf>
    <xf numFmtId="0" fontId="15" fillId="0" borderId="30" xfId="1" applyFont="1" applyBorder="1" applyAlignment="1">
      <alignment horizontal="left" vertical="center" shrinkToFit="1"/>
    </xf>
    <xf numFmtId="0" fontId="15" fillId="0" borderId="31" xfId="1" applyFont="1" applyBorder="1" applyAlignment="1">
      <alignment horizontal="center" vertical="center" shrinkToFit="1"/>
    </xf>
    <xf numFmtId="14" fontId="15" fillId="0" borderId="32" xfId="1" applyNumberFormat="1" applyFont="1" applyBorder="1" applyAlignment="1">
      <alignment horizontal="center" vertical="center"/>
    </xf>
    <xf numFmtId="14" fontId="15" fillId="0" borderId="31" xfId="1" applyNumberFormat="1" applyFont="1" applyBorder="1" applyAlignment="1">
      <alignment horizontal="center" vertical="center"/>
    </xf>
    <xf numFmtId="41" fontId="23" fillId="0" borderId="32" xfId="1" applyNumberFormat="1" applyFont="1" applyBorder="1" applyAlignment="1">
      <alignment horizontal="center" vertical="center"/>
    </xf>
    <xf numFmtId="41" fontId="23" fillId="0" borderId="29" xfId="1" applyNumberFormat="1" applyFont="1" applyBorder="1" applyAlignment="1">
      <alignment horizontal="center" vertical="center"/>
    </xf>
    <xf numFmtId="41" fontId="23" fillId="0" borderId="33" xfId="1" applyNumberFormat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9" fillId="0" borderId="35" xfId="1" applyFont="1" applyBorder="1">
      <alignment vertical="center"/>
    </xf>
    <xf numFmtId="0" fontId="36" fillId="0" borderId="11" xfId="1" applyFont="1" applyBorder="1" applyAlignment="1">
      <alignment horizontal="center" vertical="center"/>
    </xf>
    <xf numFmtId="0" fontId="36" fillId="0" borderId="11" xfId="1" applyFont="1" applyBorder="1" applyAlignment="1">
      <alignment horizontal="center" vertical="center" shrinkToFit="1"/>
    </xf>
    <xf numFmtId="0" fontId="36" fillId="0" borderId="11" xfId="1" applyFont="1" applyBorder="1" applyAlignment="1">
      <alignment horizontal="left" vertical="center" shrinkToFit="1"/>
    </xf>
    <xf numFmtId="0" fontId="36" fillId="0" borderId="12" xfId="1" applyFont="1" applyBorder="1" applyAlignment="1">
      <alignment horizontal="center" vertical="center" shrinkToFit="1"/>
    </xf>
    <xf numFmtId="14" fontId="36" fillId="0" borderId="9" xfId="1" applyNumberFormat="1" applyFont="1" applyBorder="1" applyAlignment="1">
      <alignment horizontal="center" vertical="center"/>
    </xf>
    <xf numFmtId="14" fontId="36" fillId="0" borderId="12" xfId="1" applyNumberFormat="1" applyFont="1" applyBorder="1" applyAlignment="1">
      <alignment horizontal="center" vertical="center"/>
    </xf>
    <xf numFmtId="41" fontId="37" fillId="0" borderId="9" xfId="1" applyNumberFormat="1" applyFont="1" applyBorder="1" applyAlignment="1">
      <alignment horizontal="center" vertical="center"/>
    </xf>
    <xf numFmtId="41" fontId="37" fillId="0" borderId="10" xfId="1" applyNumberFormat="1" applyFont="1" applyBorder="1" applyAlignment="1">
      <alignment horizontal="center" vertical="center"/>
    </xf>
    <xf numFmtId="41" fontId="37" fillId="0" borderId="4" xfId="1" applyNumberFormat="1" applyFont="1" applyBorder="1" applyAlignment="1">
      <alignment horizontal="center" vertical="center"/>
    </xf>
    <xf numFmtId="0" fontId="36" fillId="0" borderId="4" xfId="1" applyFont="1" applyBorder="1" applyAlignment="1">
      <alignment horizontal="center" vertical="center"/>
    </xf>
    <xf numFmtId="0" fontId="36" fillId="0" borderId="19" xfId="1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9" fillId="0" borderId="1" xfId="1" applyFont="1" applyBorder="1" applyAlignment="1">
      <alignment horizontal="center" vertical="center"/>
    </xf>
    <xf numFmtId="0" fontId="39" fillId="0" borderId="1" xfId="1" applyFont="1" applyBorder="1" applyAlignment="1">
      <alignment horizontal="center" vertical="center" shrinkToFit="1"/>
    </xf>
    <xf numFmtId="0" fontId="39" fillId="0" borderId="1" xfId="1" applyFont="1" applyBorder="1" applyAlignment="1">
      <alignment horizontal="left" vertical="center" shrinkToFit="1"/>
    </xf>
    <xf numFmtId="14" fontId="39" fillId="0" borderId="15" xfId="1" applyNumberFormat="1" applyFont="1" applyBorder="1" applyAlignment="1">
      <alignment horizontal="center" vertical="center"/>
    </xf>
    <xf numFmtId="14" fontId="39" fillId="0" borderId="16" xfId="1" applyNumberFormat="1" applyFont="1" applyBorder="1" applyAlignment="1">
      <alignment horizontal="center" vertical="center"/>
    </xf>
    <xf numFmtId="41" fontId="40" fillId="0" borderId="15" xfId="1" applyNumberFormat="1" applyFont="1" applyBorder="1" applyAlignment="1">
      <alignment horizontal="center" vertical="center"/>
    </xf>
    <xf numFmtId="41" fontId="40" fillId="0" borderId="22" xfId="1" applyNumberFormat="1" applyFont="1" applyBorder="1" applyAlignment="1">
      <alignment horizontal="center" vertical="center"/>
    </xf>
    <xf numFmtId="41" fontId="40" fillId="0" borderId="3" xfId="1" applyNumberFormat="1" applyFont="1" applyBorder="1" applyAlignment="1">
      <alignment horizontal="center" vertical="center"/>
    </xf>
    <xf numFmtId="0" fontId="39" fillId="0" borderId="3" xfId="1" applyFont="1" applyBorder="1" applyAlignment="1">
      <alignment horizontal="center" vertical="center"/>
    </xf>
    <xf numFmtId="0" fontId="39" fillId="0" borderId="20" xfId="1" applyFont="1" applyBorder="1" applyAlignment="1">
      <alignment horizontal="center" vertical="center"/>
    </xf>
    <xf numFmtId="0" fontId="39" fillId="0" borderId="16" xfId="1" applyFont="1" applyBorder="1" applyAlignment="1">
      <alignment horizontal="center" vertical="center"/>
    </xf>
    <xf numFmtId="0" fontId="15" fillId="0" borderId="28" xfId="1" applyFont="1" applyBorder="1" applyAlignment="1">
      <alignment horizontal="left" vertical="center" shrinkToFit="1"/>
    </xf>
    <xf numFmtId="0" fontId="19" fillId="0" borderId="1" xfId="0" applyFont="1" applyBorder="1" applyAlignment="1">
      <alignment horizontal="left" vertical="center" shrinkToFit="1"/>
    </xf>
    <xf numFmtId="0" fontId="36" fillId="0" borderId="30" xfId="1" applyFont="1" applyBorder="1" applyAlignment="1">
      <alignment horizontal="center" vertical="center" shrinkToFit="1"/>
    </xf>
    <xf numFmtId="0" fontId="19" fillId="0" borderId="3" xfId="1" applyFont="1" applyBorder="1" applyAlignment="1">
      <alignment horizontal="center" vertical="center"/>
    </xf>
    <xf numFmtId="0" fontId="19" fillId="0" borderId="3" xfId="1" applyFont="1" applyBorder="1">
      <alignment vertical="center"/>
    </xf>
    <xf numFmtId="0" fontId="19" fillId="0" borderId="33" xfId="1" applyFont="1" applyBorder="1" applyAlignment="1">
      <alignment horizontal="center" vertical="center"/>
    </xf>
    <xf numFmtId="0" fontId="19" fillId="0" borderId="4" xfId="1" applyFont="1" applyBorder="1">
      <alignment vertical="center"/>
    </xf>
    <xf numFmtId="0" fontId="19" fillId="0" borderId="33" xfId="1" applyFont="1" applyBorder="1">
      <alignment vertical="center"/>
    </xf>
    <xf numFmtId="0" fontId="19" fillId="0" borderId="4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15" fillId="0" borderId="0" xfId="1" applyFont="1" applyAlignment="1">
      <alignment horizontal="left" vertical="center" shrinkToFit="1"/>
    </xf>
    <xf numFmtId="14" fontId="15" fillId="0" borderId="0" xfId="1" applyNumberFormat="1" applyFont="1" applyAlignment="1">
      <alignment horizontal="center" vertical="center"/>
    </xf>
    <xf numFmtId="41" fontId="23" fillId="0" borderId="0" xfId="1" applyNumberFormat="1" applyFont="1" applyAlignment="1">
      <alignment horizontal="center" vertical="center"/>
    </xf>
    <xf numFmtId="0" fontId="15" fillId="0" borderId="11" xfId="1" applyFont="1" applyBorder="1" applyAlignment="1">
      <alignment horizontal="left" vertical="center" shrinkToFit="1"/>
    </xf>
    <xf numFmtId="0" fontId="41" fillId="0" borderId="0" xfId="0" applyFont="1">
      <alignment vertical="center"/>
    </xf>
    <xf numFmtId="0" fontId="9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6" fillId="0" borderId="23" xfId="1" applyFont="1" applyBorder="1" applyAlignment="1">
      <alignment horizontal="center" vertical="center"/>
    </xf>
    <xf numFmtId="41" fontId="36" fillId="0" borderId="15" xfId="1" applyNumberFormat="1" applyFont="1" applyBorder="1" applyAlignment="1">
      <alignment horizontal="center" vertical="center"/>
    </xf>
    <xf numFmtId="41" fontId="36" fillId="0" borderId="22" xfId="1" applyNumberFormat="1" applyFont="1" applyBorder="1" applyAlignment="1">
      <alignment horizontal="center" vertical="center"/>
    </xf>
    <xf numFmtId="41" fontId="36" fillId="0" borderId="3" xfId="1" applyNumberFormat="1" applyFont="1" applyBorder="1" applyAlignment="1">
      <alignment horizontal="center" vertical="center"/>
    </xf>
    <xf numFmtId="0" fontId="32" fillId="0" borderId="22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 shrinkToFit="1"/>
    </xf>
    <xf numFmtId="0" fontId="32" fillId="0" borderId="1" xfId="1" applyFont="1" applyBorder="1" applyAlignment="1">
      <alignment horizontal="left" vertical="center" shrinkToFit="1"/>
    </xf>
    <xf numFmtId="41" fontId="42" fillId="0" borderId="15" xfId="1" applyNumberFormat="1" applyFont="1" applyBorder="1" applyAlignment="1">
      <alignment horizontal="center" vertical="center"/>
    </xf>
    <xf numFmtId="41" fontId="42" fillId="0" borderId="22" xfId="1" applyNumberFormat="1" applyFont="1" applyBorder="1" applyAlignment="1">
      <alignment horizontal="center" vertical="center"/>
    </xf>
    <xf numFmtId="41" fontId="42" fillId="0" borderId="3" xfId="1" applyNumberFormat="1" applyFont="1" applyBorder="1" applyAlignment="1">
      <alignment horizontal="center" vertical="center"/>
    </xf>
    <xf numFmtId="0" fontId="32" fillId="0" borderId="26" xfId="1" applyFont="1" applyBorder="1">
      <alignment vertical="center"/>
    </xf>
    <xf numFmtId="0" fontId="36" fillId="0" borderId="24" xfId="1" applyFont="1" applyBorder="1" applyAlignment="1">
      <alignment horizontal="center" vertical="center"/>
    </xf>
    <xf numFmtId="0" fontId="36" fillId="0" borderId="6" xfId="1" applyFont="1" applyBorder="1" applyAlignment="1">
      <alignment horizontal="center" vertical="center"/>
    </xf>
    <xf numFmtId="0" fontId="36" fillId="0" borderId="7" xfId="1" applyFont="1" applyBorder="1" applyAlignment="1">
      <alignment horizontal="center" vertical="center"/>
    </xf>
    <xf numFmtId="0" fontId="36" fillId="0" borderId="7" xfId="1" applyFont="1" applyBorder="1" applyAlignment="1">
      <alignment horizontal="center" vertical="center" shrinkToFit="1"/>
    </xf>
    <xf numFmtId="0" fontId="36" fillId="0" borderId="7" xfId="1" applyFont="1" applyBorder="1" applyAlignment="1">
      <alignment horizontal="left" vertical="center" shrinkToFit="1"/>
    </xf>
    <xf numFmtId="41" fontId="37" fillId="0" borderId="5" xfId="1" applyNumberFormat="1" applyFont="1" applyBorder="1" applyAlignment="1">
      <alignment horizontal="center" vertical="center"/>
    </xf>
    <xf numFmtId="41" fontId="37" fillId="0" borderId="6" xfId="1" applyNumberFormat="1" applyFont="1" applyBorder="1" applyAlignment="1">
      <alignment horizontal="center" vertical="center"/>
    </xf>
    <xf numFmtId="41" fontId="37" fillId="0" borderId="2" xfId="1" applyNumberFormat="1" applyFont="1" applyBorder="1" applyAlignment="1">
      <alignment horizontal="center" vertical="center"/>
    </xf>
    <xf numFmtId="0" fontId="19" fillId="0" borderId="13" xfId="1" applyFont="1" applyBorder="1">
      <alignment vertical="center"/>
    </xf>
    <xf numFmtId="0" fontId="36" fillId="0" borderId="10" xfId="1" applyFont="1" applyBorder="1" applyAlignment="1">
      <alignment horizontal="center" vertical="center"/>
    </xf>
    <xf numFmtId="0" fontId="19" fillId="0" borderId="26" xfId="1" applyFont="1" applyBorder="1" applyAlignment="1">
      <alignment horizontal="left" vertical="center" wrapText="1" shrinkToFit="1"/>
    </xf>
    <xf numFmtId="0" fontId="31" fillId="0" borderId="28" xfId="0" applyFont="1" applyBorder="1" applyAlignment="1">
      <alignment horizontal="left" vertical="center" shrinkToFit="1"/>
    </xf>
    <xf numFmtId="0" fontId="31" fillId="0" borderId="1" xfId="0" applyFont="1" applyBorder="1" applyAlignment="1">
      <alignment horizontal="left" vertical="center" shrinkToFit="1"/>
    </xf>
    <xf numFmtId="0" fontId="15" fillId="0" borderId="1" xfId="1" applyFont="1" applyBorder="1" applyAlignment="1">
      <alignment horizontal="left" vertical="center" wrapText="1" shrinkToFit="1"/>
    </xf>
    <xf numFmtId="0" fontId="38" fillId="5" borderId="0" xfId="0" applyFont="1" applyFill="1">
      <alignment vertical="center"/>
    </xf>
    <xf numFmtId="0" fontId="26" fillId="5" borderId="0" xfId="1" applyFont="1" applyFill="1" applyAlignment="1">
      <alignment horizontal="left" vertical="center" shrinkToFit="1"/>
    </xf>
    <xf numFmtId="0" fontId="43" fillId="5" borderId="0" xfId="0" applyFont="1" applyFill="1">
      <alignment vertical="center"/>
    </xf>
    <xf numFmtId="0" fontId="33" fillId="5" borderId="0" xfId="1" applyFont="1" applyFill="1" applyAlignment="1">
      <alignment horizontal="left" vertical="center" shrinkToFit="1"/>
    </xf>
    <xf numFmtId="0" fontId="15" fillId="6" borderId="22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left" vertical="center" shrinkToFit="1"/>
    </xf>
    <xf numFmtId="0" fontId="15" fillId="6" borderId="1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14" fontId="15" fillId="6" borderId="15" xfId="1" applyNumberFormat="1" applyFont="1" applyFill="1" applyBorder="1" applyAlignment="1">
      <alignment horizontal="center" vertical="center"/>
    </xf>
    <xf numFmtId="14" fontId="15" fillId="6" borderId="16" xfId="1" applyNumberFormat="1" applyFont="1" applyFill="1" applyBorder="1" applyAlignment="1">
      <alignment horizontal="center" vertical="center"/>
    </xf>
    <xf numFmtId="41" fontId="23" fillId="6" borderId="15" xfId="1" applyNumberFormat="1" applyFont="1" applyFill="1" applyBorder="1" applyAlignment="1">
      <alignment horizontal="center" vertical="center"/>
    </xf>
    <xf numFmtId="41" fontId="23" fillId="6" borderId="22" xfId="1" applyNumberFormat="1" applyFont="1" applyFill="1" applyBorder="1" applyAlignment="1">
      <alignment horizontal="center" vertical="center"/>
    </xf>
    <xf numFmtId="41" fontId="23" fillId="6" borderId="3" xfId="1" applyNumberFormat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 vertical="center"/>
    </xf>
    <xf numFmtId="0" fontId="15" fillId="6" borderId="20" xfId="1" applyFont="1" applyFill="1" applyBorder="1" applyAlignment="1">
      <alignment horizontal="center" vertical="center"/>
    </xf>
    <xf numFmtId="0" fontId="15" fillId="6" borderId="16" xfId="1" applyFont="1" applyFill="1" applyBorder="1" applyAlignment="1">
      <alignment horizontal="center" vertical="center"/>
    </xf>
    <xf numFmtId="0" fontId="19" fillId="6" borderId="26" xfId="1" applyFont="1" applyFill="1" applyBorder="1" applyAlignment="1">
      <alignment horizontal="center" vertical="center"/>
    </xf>
    <xf numFmtId="0" fontId="19" fillId="6" borderId="26" xfId="1" applyFont="1" applyFill="1" applyBorder="1">
      <alignment vertical="center"/>
    </xf>
    <xf numFmtId="0" fontId="15" fillId="0" borderId="1" xfId="1" applyFont="1" applyBorder="1" applyAlignment="1">
      <alignment vertical="center" shrinkToFit="1"/>
    </xf>
    <xf numFmtId="0" fontId="36" fillId="5" borderId="23" xfId="1" applyFont="1" applyFill="1" applyBorder="1" applyAlignment="1">
      <alignment horizontal="center" vertical="center"/>
    </xf>
    <xf numFmtId="0" fontId="36" fillId="5" borderId="22" xfId="1" applyFont="1" applyFill="1" applyBorder="1" applyAlignment="1">
      <alignment horizontal="center" vertical="center"/>
    </xf>
    <xf numFmtId="0" fontId="36" fillId="5" borderId="1" xfId="1" applyFont="1" applyFill="1" applyBorder="1" applyAlignment="1">
      <alignment horizontal="center" vertical="center"/>
    </xf>
    <xf numFmtId="0" fontId="36" fillId="5" borderId="1" xfId="1" applyFont="1" applyFill="1" applyBorder="1" applyAlignment="1">
      <alignment horizontal="center" vertical="center" shrinkToFit="1"/>
    </xf>
    <xf numFmtId="0" fontId="36" fillId="5" borderId="1" xfId="1" applyFont="1" applyFill="1" applyBorder="1" applyAlignment="1">
      <alignment horizontal="left" vertical="center" shrinkToFit="1"/>
    </xf>
    <xf numFmtId="41" fontId="37" fillId="5" borderId="15" xfId="1" applyNumberFormat="1" applyFont="1" applyFill="1" applyBorder="1" applyAlignment="1">
      <alignment horizontal="center" vertical="center"/>
    </xf>
    <xf numFmtId="41" fontId="37" fillId="5" borderId="22" xfId="1" applyNumberFormat="1" applyFont="1" applyFill="1" applyBorder="1" applyAlignment="1">
      <alignment horizontal="center" vertical="center"/>
    </xf>
    <xf numFmtId="41" fontId="37" fillId="5" borderId="3" xfId="1" applyNumberFormat="1" applyFont="1" applyFill="1" applyBorder="1" applyAlignment="1">
      <alignment horizontal="center" vertical="center"/>
    </xf>
    <xf numFmtId="0" fontId="19" fillId="5" borderId="26" xfId="1" applyFont="1" applyFill="1" applyBorder="1">
      <alignment vertical="center"/>
    </xf>
    <xf numFmtId="0" fontId="9" fillId="0" borderId="0" xfId="1" applyFont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3" fillId="3" borderId="18" xfId="1" applyFont="1" applyFill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 wrapText="1"/>
    </xf>
    <xf numFmtId="0" fontId="13" fillId="3" borderId="9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left" vertical="center" wrapText="1" shrinkToFit="1"/>
    </xf>
    <xf numFmtId="0" fontId="13" fillId="3" borderId="11" xfId="1" applyFont="1" applyFill="1" applyBorder="1" applyAlignment="1">
      <alignment horizontal="left" vertical="center" shrinkToFit="1"/>
    </xf>
    <xf numFmtId="0" fontId="13" fillId="3" borderId="7" xfId="1" applyFont="1" applyFill="1" applyBorder="1" applyAlignment="1">
      <alignment horizontal="center" vertical="center" shrinkToFit="1"/>
    </xf>
    <xf numFmtId="0" fontId="13" fillId="3" borderId="11" xfId="1" applyFont="1" applyFill="1" applyBorder="1" applyAlignment="1">
      <alignment horizontal="center" vertical="center" shrinkToFit="1"/>
    </xf>
    <xf numFmtId="0" fontId="13" fillId="3" borderId="7" xfId="1" applyFont="1" applyFill="1" applyBorder="1" applyAlignment="1">
      <alignment horizontal="center" vertical="center" wrapText="1" shrinkToFit="1"/>
    </xf>
    <xf numFmtId="0" fontId="13" fillId="3" borderId="8" xfId="1" applyFont="1" applyFill="1" applyBorder="1" applyAlignment="1">
      <alignment horizontal="center" vertical="center" wrapText="1" shrinkToFit="1"/>
    </xf>
    <xf numFmtId="0" fontId="13" fillId="3" borderId="12" xfId="1" applyFont="1" applyFill="1" applyBorder="1" applyAlignment="1">
      <alignment horizontal="center" vertical="center" shrinkToFit="1"/>
    </xf>
    <xf numFmtId="0" fontId="13" fillId="3" borderId="5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20" fillId="4" borderId="13" xfId="1" applyFont="1" applyFill="1" applyBorder="1" applyAlignment="1">
      <alignment horizontal="center" vertical="center" wrapText="1"/>
    </xf>
    <xf numFmtId="0" fontId="20" fillId="4" borderId="14" xfId="1" applyFont="1" applyFill="1" applyBorder="1" applyAlignment="1">
      <alignment horizontal="center" vertical="center"/>
    </xf>
    <xf numFmtId="0" fontId="20" fillId="2" borderId="13" xfId="1" applyFont="1" applyFill="1" applyBorder="1" applyAlignment="1">
      <alignment horizontal="center" vertical="center" wrapText="1"/>
    </xf>
    <xf numFmtId="0" fontId="20" fillId="2" borderId="14" xfId="1" applyFont="1" applyFill="1" applyBorder="1" applyAlignment="1">
      <alignment horizontal="center" vertical="center"/>
    </xf>
  </cellXfs>
  <cellStyles count="60">
    <cellStyle name="백분율 2" xfId="3" xr:uid="{00000000-0005-0000-0000-000000000000}"/>
    <cellStyle name="백분율 3" xfId="13" xr:uid="{00000000-0005-0000-0000-000001000000}"/>
    <cellStyle name="백분율 3 2" xfId="15" xr:uid="{00000000-0005-0000-0000-000002000000}"/>
    <cellStyle name="백분율 3 2 2" xfId="26" xr:uid="{00000000-0005-0000-0000-000003000000}"/>
    <cellStyle name="백분율 3 2 3" xfId="37" xr:uid="{00000000-0005-0000-0000-000004000000}"/>
    <cellStyle name="백분율 3 2 4" xfId="48" xr:uid="{D23E7C14-BF42-44C3-8A9E-69FE155B0A97}"/>
    <cellStyle name="백분율 3 2 5" xfId="59" xr:uid="{03B3E08E-E052-4DD4-A4AD-7B9D5B9434F3}"/>
    <cellStyle name="백분율 3 3" xfId="24" xr:uid="{00000000-0005-0000-0000-000005000000}"/>
    <cellStyle name="백분율 3 4" xfId="35" xr:uid="{00000000-0005-0000-0000-000006000000}"/>
    <cellStyle name="백분율 3 5" xfId="46" xr:uid="{DAAB6E55-1759-45D5-8AB2-D89E95FB9EFC}"/>
    <cellStyle name="백분율 3 6" xfId="57" xr:uid="{1758D521-EDD6-42B1-9298-35785D3F2C2D}"/>
    <cellStyle name="쉼표 [0] 2" xfId="2" xr:uid="{00000000-0005-0000-0000-000007000000}"/>
    <cellStyle name="쉼표 [0] 2 2" xfId="9" xr:uid="{00000000-0005-0000-0000-000008000000}"/>
    <cellStyle name="쉼표 [0] 2 2 2" xfId="21" xr:uid="{00000000-0005-0000-0000-000009000000}"/>
    <cellStyle name="쉼표 [0] 2 2 3" xfId="32" xr:uid="{00000000-0005-0000-0000-00000A000000}"/>
    <cellStyle name="쉼표 [0] 2 2 4" xfId="43" xr:uid="{7F6D7C54-E79B-4E08-BEA2-A3D04EA2AB6B}"/>
    <cellStyle name="쉼표 [0] 2 2 5" xfId="54" xr:uid="{B0BAFAC5-2D01-4F92-AE78-7018E8B2A7E4}"/>
    <cellStyle name="쉼표 [0] 2 3" xfId="16" xr:uid="{00000000-0005-0000-0000-00000B000000}"/>
    <cellStyle name="쉼표 [0] 2 4" xfId="27" xr:uid="{00000000-0005-0000-0000-00000C000000}"/>
    <cellStyle name="쉼표 [0] 2 5" xfId="38" xr:uid="{91B0A429-8639-4960-8229-861FA2FB5986}"/>
    <cellStyle name="쉼표 [0] 2 6" xfId="49" xr:uid="{4ECBEF97-D8E0-4120-AAE5-1B9559D9AFEE}"/>
    <cellStyle name="쉼표 [0] 3" xfId="8" xr:uid="{00000000-0005-0000-0000-00000D000000}"/>
    <cellStyle name="쉼표 [0] 3 2" xfId="20" xr:uid="{00000000-0005-0000-0000-00000E000000}"/>
    <cellStyle name="쉼표 [0] 3 3" xfId="31" xr:uid="{00000000-0005-0000-0000-00000F000000}"/>
    <cellStyle name="쉼표 [0] 3 4" xfId="42" xr:uid="{CAD64022-86BF-4CE6-A891-18BB3BEB0F8F}"/>
    <cellStyle name="쉼표 [0] 3 5" xfId="53" xr:uid="{B6CD4BBD-7324-45C5-8A61-F79790123868}"/>
    <cellStyle name="통화 [0] 2" xfId="11" xr:uid="{00000000-0005-0000-0000-000010000000}"/>
    <cellStyle name="통화 [0] 2 2" xfId="22" xr:uid="{00000000-0005-0000-0000-000011000000}"/>
    <cellStyle name="통화 [0] 2 3" xfId="33" xr:uid="{00000000-0005-0000-0000-000012000000}"/>
    <cellStyle name="통화 [0] 2 4" xfId="44" xr:uid="{71196CCD-E38F-4C90-9CB6-9BCA2618F229}"/>
    <cellStyle name="통화 [0] 2 5" xfId="55" xr:uid="{7B6DD893-6FBB-4444-A92F-748EFC1869CB}"/>
    <cellStyle name="표준" xfId="0" builtinId="0"/>
    <cellStyle name="표준 2" xfId="1" xr:uid="{00000000-0005-0000-0000-000014000000}"/>
    <cellStyle name="표준 2 2" xfId="10" xr:uid="{00000000-0005-0000-0000-000015000000}"/>
    <cellStyle name="표준 3" xfId="5" xr:uid="{00000000-0005-0000-0000-000016000000}"/>
    <cellStyle name="표준 3 2" xfId="18" xr:uid="{00000000-0005-0000-0000-000017000000}"/>
    <cellStyle name="표준 3 3" xfId="29" xr:uid="{00000000-0005-0000-0000-000018000000}"/>
    <cellStyle name="표준 3 4" xfId="40" xr:uid="{99CBBD37-5695-41F4-9A7A-9092F632DB8E}"/>
    <cellStyle name="표준 3 5" xfId="51" xr:uid="{2485E707-E252-411E-BDD4-E3E817AF30DE}"/>
    <cellStyle name="표준 4" xfId="4" xr:uid="{00000000-0005-0000-0000-000019000000}"/>
    <cellStyle name="표준 4 2" xfId="17" xr:uid="{00000000-0005-0000-0000-00001A000000}"/>
    <cellStyle name="표준 4 3" xfId="28" xr:uid="{00000000-0005-0000-0000-00001B000000}"/>
    <cellStyle name="표준 4 4" xfId="39" xr:uid="{BA9AA06F-DD64-4277-ACE5-F9B681D2BA17}"/>
    <cellStyle name="표준 4 5" xfId="50" xr:uid="{E68F01E3-D9FE-409E-BDD8-171A016212EA}"/>
    <cellStyle name="표준 5" xfId="7" xr:uid="{00000000-0005-0000-0000-00001C000000}"/>
    <cellStyle name="표준 5 2" xfId="19" xr:uid="{00000000-0005-0000-0000-00001D000000}"/>
    <cellStyle name="표준 5 3" xfId="30" xr:uid="{00000000-0005-0000-0000-00001E000000}"/>
    <cellStyle name="표준 5 4" xfId="41" xr:uid="{C5C55FB0-EE11-4D70-9243-96E026FCC82A}"/>
    <cellStyle name="표준 5 5" xfId="52" xr:uid="{08688636-20DA-42C0-B89A-02FD8397597D}"/>
    <cellStyle name="표준 6" xfId="12" xr:uid="{00000000-0005-0000-0000-00001F000000}"/>
    <cellStyle name="표준 6 2" xfId="14" xr:uid="{00000000-0005-0000-0000-000020000000}"/>
    <cellStyle name="표준 6 2 2" xfId="25" xr:uid="{00000000-0005-0000-0000-000021000000}"/>
    <cellStyle name="표준 6 2 3" xfId="36" xr:uid="{00000000-0005-0000-0000-000022000000}"/>
    <cellStyle name="표준 6 2 4" xfId="47" xr:uid="{20900EA3-1D7D-40F5-8899-5697C0AE5798}"/>
    <cellStyle name="표준 6 2 5" xfId="58" xr:uid="{D7023DA8-510B-461D-8B3A-CC976247DEAF}"/>
    <cellStyle name="표준 6 3" xfId="23" xr:uid="{00000000-0005-0000-0000-000023000000}"/>
    <cellStyle name="표준 6 4" xfId="34" xr:uid="{00000000-0005-0000-0000-000024000000}"/>
    <cellStyle name="표준 6 5" xfId="45" xr:uid="{609C0BAA-8B19-45A1-B87F-40E14AFBA12D}"/>
    <cellStyle name="표준 6 6" xfId="56" xr:uid="{8E12DE9C-8145-4C1C-A983-EFF58D261AE3}"/>
    <cellStyle name="하이퍼링크 2" xfId="6" xr:uid="{00000000-0005-0000-0000-000025000000}"/>
  </cellStyles>
  <dxfs count="0"/>
  <tableStyles count="0" defaultTableStyle="TableStyleMedium2" defaultPivotStyle="PivotStyleLight16"/>
  <colors>
    <mruColors>
      <color rgb="FFF8F8BA"/>
      <color rgb="FFF7F8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"/>
  <sheetViews>
    <sheetView tabSelected="1" zoomScaleNormal="100" workbookViewId="0">
      <pane ySplit="5" topLeftCell="A62" activePane="bottomLeft" state="frozen"/>
      <selection pane="bottomLeft" activeCell="M77" sqref="M77"/>
    </sheetView>
  </sheetViews>
  <sheetFormatPr defaultRowHeight="16.5" x14ac:dyDescent="0.3"/>
  <cols>
    <col min="1" max="1" width="2.875" customWidth="1"/>
    <col min="2" max="2" width="4.125" style="21" customWidth="1"/>
    <col min="3" max="4" width="5.625" bestFit="1" customWidth="1"/>
    <col min="5" max="5" width="8" customWidth="1"/>
    <col min="6" max="6" width="17.25" style="125" customWidth="1"/>
    <col min="7" max="7" width="42.875" customWidth="1"/>
    <col min="8" max="9" width="4.75" customWidth="1"/>
    <col min="10" max="11" width="9.75" customWidth="1"/>
    <col min="12" max="14" width="6.25" customWidth="1"/>
    <col min="15" max="15" width="9.625" bestFit="1" customWidth="1"/>
    <col min="16" max="16" width="6" customWidth="1"/>
    <col min="17" max="17" width="11.125" customWidth="1"/>
    <col min="18" max="18" width="16" customWidth="1"/>
    <col min="19" max="19" width="25.125" style="25" customWidth="1"/>
    <col min="20" max="20" width="2.875" style="15" customWidth="1"/>
    <col min="21" max="21" width="69" style="15" customWidth="1"/>
    <col min="22" max="22" width="5.625" style="15" bestFit="1" customWidth="1"/>
    <col min="23" max="24" width="6.375" style="15" bestFit="1" customWidth="1"/>
    <col min="25" max="25" width="5.625" style="15" bestFit="1" customWidth="1"/>
    <col min="26" max="26" width="4" style="15" bestFit="1" customWidth="1"/>
  </cols>
  <sheetData>
    <row r="1" spans="1:27" ht="26.25" x14ac:dyDescent="0.3">
      <c r="A1" s="1"/>
      <c r="B1" s="181" t="s">
        <v>17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</row>
    <row r="2" spans="1:27" ht="153" hidden="1" customHeight="1" x14ac:dyDescent="0.3">
      <c r="A2" s="1"/>
      <c r="B2" s="209" t="s">
        <v>35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W2" s="16"/>
    </row>
    <row r="3" spans="1:27" ht="12.75" customHeight="1" thickBot="1" x14ac:dyDescent="0.35">
      <c r="A3" s="1"/>
      <c r="B3" s="22"/>
      <c r="C3" s="14"/>
      <c r="D3" s="14"/>
      <c r="E3" s="14"/>
      <c r="F3" s="12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24"/>
    </row>
    <row r="4" spans="1:27" x14ac:dyDescent="0.3">
      <c r="A4" s="1"/>
      <c r="B4" s="195" t="s">
        <v>15</v>
      </c>
      <c r="C4" s="197" t="s">
        <v>0</v>
      </c>
      <c r="D4" s="197" t="s">
        <v>1</v>
      </c>
      <c r="E4" s="198" t="s">
        <v>28</v>
      </c>
      <c r="F4" s="200" t="s">
        <v>31</v>
      </c>
      <c r="G4" s="202" t="s">
        <v>2</v>
      </c>
      <c r="H4" s="204" t="s">
        <v>10</v>
      </c>
      <c r="I4" s="205" t="s">
        <v>9</v>
      </c>
      <c r="J4" s="207" t="s">
        <v>3</v>
      </c>
      <c r="K4" s="208"/>
      <c r="L4" s="188" t="s">
        <v>11</v>
      </c>
      <c r="M4" s="190" t="s">
        <v>13</v>
      </c>
      <c r="N4" s="190" t="s">
        <v>4</v>
      </c>
      <c r="O4" s="193" t="s">
        <v>12</v>
      </c>
      <c r="P4" s="182" t="s">
        <v>5</v>
      </c>
      <c r="Q4" s="184" t="s">
        <v>8</v>
      </c>
      <c r="R4" s="186" t="s">
        <v>14</v>
      </c>
      <c r="S4" s="210" t="s">
        <v>16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5" t="s">
        <v>220</v>
      </c>
    </row>
    <row r="5" spans="1:27" ht="17.25" thickBot="1" x14ac:dyDescent="0.35">
      <c r="A5" s="1"/>
      <c r="B5" s="196"/>
      <c r="C5" s="191"/>
      <c r="D5" s="191"/>
      <c r="E5" s="199"/>
      <c r="F5" s="201"/>
      <c r="G5" s="203"/>
      <c r="H5" s="203"/>
      <c r="I5" s="206"/>
      <c r="J5" s="26" t="s">
        <v>6</v>
      </c>
      <c r="K5" s="33" t="s">
        <v>7</v>
      </c>
      <c r="L5" s="189"/>
      <c r="M5" s="191"/>
      <c r="N5" s="192"/>
      <c r="O5" s="194"/>
      <c r="P5" s="183"/>
      <c r="Q5" s="185"/>
      <c r="R5" s="187"/>
      <c r="S5" s="211"/>
      <c r="T5" s="15" t="s">
        <v>27</v>
      </c>
      <c r="U5" s="15" t="s">
        <v>26</v>
      </c>
    </row>
    <row r="6" spans="1:27" x14ac:dyDescent="0.3">
      <c r="A6" s="1"/>
      <c r="B6" s="13">
        <v>1</v>
      </c>
      <c r="C6" s="12" t="s">
        <v>36</v>
      </c>
      <c r="D6" s="2" t="s">
        <v>37</v>
      </c>
      <c r="E6" s="2" t="s">
        <v>18</v>
      </c>
      <c r="F6" s="23" t="s">
        <v>30</v>
      </c>
      <c r="G6" s="23" t="s">
        <v>40</v>
      </c>
      <c r="H6" s="3">
        <v>1</v>
      </c>
      <c r="I6" s="32">
        <v>0</v>
      </c>
      <c r="J6" s="28">
        <v>46098</v>
      </c>
      <c r="K6" s="29">
        <v>46314</v>
      </c>
      <c r="L6" s="6">
        <v>150</v>
      </c>
      <c r="M6" s="7">
        <v>750</v>
      </c>
      <c r="N6" s="7">
        <v>6240</v>
      </c>
      <c r="O6" s="8">
        <f t="shared" ref="O6" si="0">M6*N6</f>
        <v>4680000</v>
      </c>
      <c r="P6" s="30">
        <v>20</v>
      </c>
      <c r="Q6" s="31" t="s">
        <v>38</v>
      </c>
      <c r="R6" s="27" t="s">
        <v>41</v>
      </c>
      <c r="S6" s="148" t="s">
        <v>227</v>
      </c>
    </row>
    <row r="7" spans="1:27" x14ac:dyDescent="0.3">
      <c r="A7" s="1"/>
      <c r="B7" s="13">
        <v>2</v>
      </c>
      <c r="C7" s="12" t="s">
        <v>36</v>
      </c>
      <c r="D7" s="2" t="s">
        <v>37</v>
      </c>
      <c r="E7" s="2" t="s">
        <v>18</v>
      </c>
      <c r="F7" s="23" t="s">
        <v>30</v>
      </c>
      <c r="G7" s="23" t="s">
        <v>42</v>
      </c>
      <c r="H7" s="3">
        <v>1</v>
      </c>
      <c r="I7" s="32">
        <v>0</v>
      </c>
      <c r="J7" s="28">
        <v>46149</v>
      </c>
      <c r="K7" s="29">
        <v>46364</v>
      </c>
      <c r="L7" s="6">
        <v>150</v>
      </c>
      <c r="M7" s="7">
        <v>750</v>
      </c>
      <c r="N7" s="7">
        <v>6240</v>
      </c>
      <c r="O7" s="8">
        <f>M7*N7</f>
        <v>4680000</v>
      </c>
      <c r="P7" s="30">
        <v>20</v>
      </c>
      <c r="Q7" s="31" t="s">
        <v>38</v>
      </c>
      <c r="R7" s="27" t="s">
        <v>41</v>
      </c>
      <c r="S7" s="17" t="s">
        <v>44</v>
      </c>
    </row>
    <row r="8" spans="1:27" ht="33.75" x14ac:dyDescent="0.3">
      <c r="A8" s="1"/>
      <c r="B8" s="13">
        <v>3</v>
      </c>
      <c r="C8" s="12" t="s">
        <v>36</v>
      </c>
      <c r="D8" s="2" t="s">
        <v>37</v>
      </c>
      <c r="E8" s="2" t="s">
        <v>52</v>
      </c>
      <c r="F8" s="23" t="s">
        <v>43</v>
      </c>
      <c r="G8" s="23" t="s">
        <v>228</v>
      </c>
      <c r="H8" s="3">
        <v>1</v>
      </c>
      <c r="I8" s="32">
        <v>4</v>
      </c>
      <c r="J8" s="28">
        <v>46269</v>
      </c>
      <c r="K8" s="29">
        <v>46386</v>
      </c>
      <c r="L8" s="6">
        <v>80</v>
      </c>
      <c r="M8" s="7">
        <v>320</v>
      </c>
      <c r="N8" s="7">
        <v>6920</v>
      </c>
      <c r="O8" s="8">
        <f>M8*N8</f>
        <v>2214400</v>
      </c>
      <c r="P8" s="30">
        <v>20</v>
      </c>
      <c r="Q8" s="31" t="s">
        <v>27</v>
      </c>
      <c r="R8" s="27" t="s">
        <v>229</v>
      </c>
      <c r="S8" s="67" t="s">
        <v>533</v>
      </c>
    </row>
    <row r="9" spans="1:27" x14ac:dyDescent="0.3">
      <c r="A9" s="1"/>
      <c r="B9" s="13">
        <v>4</v>
      </c>
      <c r="C9" s="12" t="s">
        <v>36</v>
      </c>
      <c r="D9" s="2" t="s">
        <v>221</v>
      </c>
      <c r="E9" s="2" t="s">
        <v>18</v>
      </c>
      <c r="F9" s="23" t="s">
        <v>29</v>
      </c>
      <c r="G9" s="23" t="s">
        <v>230</v>
      </c>
      <c r="H9" s="3">
        <v>1</v>
      </c>
      <c r="I9" s="32">
        <v>0</v>
      </c>
      <c r="J9" s="28">
        <v>46203</v>
      </c>
      <c r="K9" s="29">
        <v>46413</v>
      </c>
      <c r="L9" s="6">
        <v>144</v>
      </c>
      <c r="M9" s="7">
        <v>720</v>
      </c>
      <c r="N9" s="7">
        <v>5620</v>
      </c>
      <c r="O9" s="8">
        <f t="shared" ref="O9:O15" si="1">M9*N9</f>
        <v>4046400</v>
      </c>
      <c r="P9" s="30">
        <v>20</v>
      </c>
      <c r="Q9" s="31" t="s">
        <v>231</v>
      </c>
      <c r="R9" s="27" t="s">
        <v>232</v>
      </c>
      <c r="S9" s="17"/>
    </row>
    <row r="10" spans="1:27" x14ac:dyDescent="0.3">
      <c r="A10" s="1"/>
      <c r="B10" s="13">
        <v>5</v>
      </c>
      <c r="C10" s="12" t="s">
        <v>36</v>
      </c>
      <c r="D10" s="2" t="s">
        <v>221</v>
      </c>
      <c r="E10" s="2" t="s">
        <v>18</v>
      </c>
      <c r="F10" s="23" t="s">
        <v>29</v>
      </c>
      <c r="G10" s="23" t="s">
        <v>233</v>
      </c>
      <c r="H10" s="3">
        <v>1</v>
      </c>
      <c r="I10" s="32">
        <v>0</v>
      </c>
      <c r="J10" s="28">
        <v>46350</v>
      </c>
      <c r="K10" s="29">
        <v>46560</v>
      </c>
      <c r="L10" s="6">
        <v>144</v>
      </c>
      <c r="M10" s="7">
        <v>720</v>
      </c>
      <c r="N10" s="7">
        <v>5620</v>
      </c>
      <c r="O10" s="8">
        <f t="shared" si="1"/>
        <v>4046400</v>
      </c>
      <c r="P10" s="30">
        <v>20</v>
      </c>
      <c r="Q10" s="31" t="s">
        <v>128</v>
      </c>
      <c r="R10" s="27" t="s">
        <v>234</v>
      </c>
      <c r="S10" s="17" t="s">
        <v>235</v>
      </c>
    </row>
    <row r="11" spans="1:27" x14ac:dyDescent="0.3">
      <c r="A11" s="1"/>
      <c r="B11" s="13">
        <v>6</v>
      </c>
      <c r="C11" s="12" t="s">
        <v>36</v>
      </c>
      <c r="D11" s="2" t="s">
        <v>221</v>
      </c>
      <c r="E11" s="2" t="s">
        <v>18</v>
      </c>
      <c r="F11" s="23" t="s">
        <v>70</v>
      </c>
      <c r="G11" s="23" t="s">
        <v>236</v>
      </c>
      <c r="H11" s="3">
        <v>1</v>
      </c>
      <c r="I11" s="32">
        <v>0</v>
      </c>
      <c r="J11" s="28">
        <v>46245</v>
      </c>
      <c r="K11" s="29">
        <v>46458</v>
      </c>
      <c r="L11" s="6">
        <v>144</v>
      </c>
      <c r="M11" s="7">
        <v>720</v>
      </c>
      <c r="N11" s="7">
        <v>6920</v>
      </c>
      <c r="O11" s="8">
        <f t="shared" si="1"/>
        <v>4982400</v>
      </c>
      <c r="P11" s="30">
        <v>20</v>
      </c>
      <c r="Q11" s="31" t="s">
        <v>231</v>
      </c>
      <c r="R11" s="27" t="s">
        <v>237</v>
      </c>
      <c r="S11" s="17"/>
    </row>
    <row r="12" spans="1:27" x14ac:dyDescent="0.3">
      <c r="A12" s="1"/>
      <c r="B12" s="13">
        <v>7</v>
      </c>
      <c r="C12" s="12" t="s">
        <v>36</v>
      </c>
      <c r="D12" s="2" t="s">
        <v>182</v>
      </c>
      <c r="E12" s="2" t="s">
        <v>18</v>
      </c>
      <c r="F12" s="23" t="s">
        <v>209</v>
      </c>
      <c r="G12" s="23" t="s">
        <v>238</v>
      </c>
      <c r="H12" s="3">
        <v>1</v>
      </c>
      <c r="I12" s="32">
        <v>0</v>
      </c>
      <c r="J12" s="28">
        <v>46035</v>
      </c>
      <c r="K12" s="29">
        <v>46293</v>
      </c>
      <c r="L12" s="6">
        <v>150</v>
      </c>
      <c r="M12" s="7">
        <v>600</v>
      </c>
      <c r="N12" s="7">
        <v>7290</v>
      </c>
      <c r="O12" s="8">
        <f t="shared" si="1"/>
        <v>4374000</v>
      </c>
      <c r="P12" s="30">
        <v>20</v>
      </c>
      <c r="Q12" s="31" t="s">
        <v>202</v>
      </c>
      <c r="R12" s="27" t="s">
        <v>239</v>
      </c>
      <c r="S12" s="17"/>
    </row>
    <row r="13" spans="1:27" x14ac:dyDescent="0.3">
      <c r="A13" s="1"/>
      <c r="B13" s="13">
        <v>8</v>
      </c>
      <c r="C13" s="12" t="s">
        <v>36</v>
      </c>
      <c r="D13" s="2" t="s">
        <v>182</v>
      </c>
      <c r="E13" s="2" t="s">
        <v>18</v>
      </c>
      <c r="F13" s="23" t="s">
        <v>60</v>
      </c>
      <c r="G13" s="23" t="s">
        <v>240</v>
      </c>
      <c r="H13" s="3">
        <v>1</v>
      </c>
      <c r="I13" s="32">
        <v>0</v>
      </c>
      <c r="J13" s="28">
        <v>46210</v>
      </c>
      <c r="K13" s="29">
        <v>46436</v>
      </c>
      <c r="L13" s="6">
        <v>149</v>
      </c>
      <c r="M13" s="7">
        <v>594</v>
      </c>
      <c r="N13" s="7">
        <v>7170</v>
      </c>
      <c r="O13" s="8">
        <f t="shared" si="1"/>
        <v>4258980</v>
      </c>
      <c r="P13" s="30">
        <v>20</v>
      </c>
      <c r="Q13" s="31" t="s">
        <v>62</v>
      </c>
      <c r="R13" s="27" t="s">
        <v>241</v>
      </c>
      <c r="S13" s="17"/>
    </row>
    <row r="14" spans="1:27" x14ac:dyDescent="0.3">
      <c r="A14" s="1"/>
      <c r="B14" s="13">
        <v>9</v>
      </c>
      <c r="C14" s="12" t="s">
        <v>36</v>
      </c>
      <c r="D14" s="2" t="s">
        <v>182</v>
      </c>
      <c r="E14" s="2" t="s">
        <v>52</v>
      </c>
      <c r="F14" s="23" t="s">
        <v>63</v>
      </c>
      <c r="G14" s="23" t="s">
        <v>242</v>
      </c>
      <c r="H14" s="3">
        <v>1</v>
      </c>
      <c r="I14" s="32">
        <v>4</v>
      </c>
      <c r="J14" s="28">
        <v>46273</v>
      </c>
      <c r="K14" s="29">
        <v>46365</v>
      </c>
      <c r="L14" s="6">
        <v>70</v>
      </c>
      <c r="M14" s="7">
        <v>280</v>
      </c>
      <c r="N14" s="7">
        <v>6820</v>
      </c>
      <c r="O14" s="8">
        <f t="shared" si="1"/>
        <v>1909600</v>
      </c>
      <c r="P14" s="30">
        <v>20</v>
      </c>
      <c r="Q14" s="31" t="s">
        <v>62</v>
      </c>
      <c r="R14" s="27" t="s">
        <v>243</v>
      </c>
      <c r="S14" s="17"/>
    </row>
    <row r="15" spans="1:27" x14ac:dyDescent="0.3">
      <c r="A15" s="1"/>
      <c r="B15" s="13">
        <v>10</v>
      </c>
      <c r="C15" s="12" t="s">
        <v>36</v>
      </c>
      <c r="D15" s="2" t="s">
        <v>182</v>
      </c>
      <c r="E15" s="2" t="s">
        <v>54</v>
      </c>
      <c r="F15" s="23" t="s">
        <v>83</v>
      </c>
      <c r="G15" s="23" t="s">
        <v>244</v>
      </c>
      <c r="H15" s="3">
        <v>2</v>
      </c>
      <c r="I15" s="32">
        <v>0</v>
      </c>
      <c r="J15" s="28">
        <v>46185</v>
      </c>
      <c r="K15" s="29">
        <v>46451</v>
      </c>
      <c r="L15" s="6">
        <v>150</v>
      </c>
      <c r="M15" s="7">
        <v>600</v>
      </c>
      <c r="N15" s="7">
        <v>6240</v>
      </c>
      <c r="O15" s="8">
        <f t="shared" si="1"/>
        <v>3744000</v>
      </c>
      <c r="P15" s="30">
        <v>20</v>
      </c>
      <c r="Q15" s="31" t="s">
        <v>202</v>
      </c>
      <c r="R15" s="27" t="s">
        <v>245</v>
      </c>
      <c r="S15" s="17" t="s">
        <v>57</v>
      </c>
    </row>
    <row r="16" spans="1:27" x14ac:dyDescent="0.3">
      <c r="A16" s="1"/>
      <c r="B16" s="13">
        <v>11</v>
      </c>
      <c r="C16" s="12" t="s">
        <v>36</v>
      </c>
      <c r="D16" s="2" t="s">
        <v>58</v>
      </c>
      <c r="E16" s="2" t="s">
        <v>20</v>
      </c>
      <c r="F16" s="23" t="s">
        <v>43</v>
      </c>
      <c r="G16" s="23" t="s">
        <v>59</v>
      </c>
      <c r="H16" s="3">
        <v>1</v>
      </c>
      <c r="I16" s="32">
        <v>0</v>
      </c>
      <c r="J16" s="28">
        <v>46321</v>
      </c>
      <c r="K16" s="29">
        <v>46414</v>
      </c>
      <c r="L16" s="18">
        <v>64</v>
      </c>
      <c r="M16" s="19">
        <v>320</v>
      </c>
      <c r="N16" s="19">
        <v>6920</v>
      </c>
      <c r="O16" s="20">
        <v>2214400</v>
      </c>
      <c r="P16" s="30">
        <v>20</v>
      </c>
      <c r="Q16" s="31" t="s">
        <v>112</v>
      </c>
      <c r="R16" s="27" t="s">
        <v>246</v>
      </c>
      <c r="S16" s="17"/>
    </row>
    <row r="17" spans="1:19" x14ac:dyDescent="0.3">
      <c r="A17" s="1"/>
      <c r="B17" s="13">
        <v>12</v>
      </c>
      <c r="C17" s="12" t="s">
        <v>36</v>
      </c>
      <c r="D17" s="2" t="s">
        <v>58</v>
      </c>
      <c r="E17" s="2" t="s">
        <v>19</v>
      </c>
      <c r="F17" s="23" t="s">
        <v>60</v>
      </c>
      <c r="G17" s="23" t="s">
        <v>61</v>
      </c>
      <c r="H17" s="3">
        <v>1</v>
      </c>
      <c r="I17" s="32">
        <v>0</v>
      </c>
      <c r="J17" s="28">
        <v>46244</v>
      </c>
      <c r="K17" s="29">
        <v>46399</v>
      </c>
      <c r="L17" s="18">
        <v>110</v>
      </c>
      <c r="M17" s="19">
        <v>660</v>
      </c>
      <c r="N17" s="19">
        <v>7170</v>
      </c>
      <c r="O17" s="20">
        <v>4732200</v>
      </c>
      <c r="P17" s="30">
        <v>20</v>
      </c>
      <c r="Q17" s="31" t="s">
        <v>51</v>
      </c>
      <c r="R17" s="27" t="s">
        <v>247</v>
      </c>
      <c r="S17" s="17" t="s">
        <v>248</v>
      </c>
    </row>
    <row r="18" spans="1:19" x14ac:dyDescent="0.3">
      <c r="A18" s="1"/>
      <c r="B18" s="13">
        <v>13</v>
      </c>
      <c r="C18" s="12" t="s">
        <v>36</v>
      </c>
      <c r="D18" s="2" t="s">
        <v>58</v>
      </c>
      <c r="E18" s="2" t="s">
        <v>20</v>
      </c>
      <c r="F18" s="23" t="s">
        <v>63</v>
      </c>
      <c r="G18" s="23" t="s">
        <v>64</v>
      </c>
      <c r="H18" s="3">
        <v>1</v>
      </c>
      <c r="I18" s="32">
        <v>4</v>
      </c>
      <c r="J18" s="28">
        <v>46125</v>
      </c>
      <c r="K18" s="29">
        <v>46206</v>
      </c>
      <c r="L18" s="18">
        <v>56</v>
      </c>
      <c r="M18" s="19">
        <v>280</v>
      </c>
      <c r="N18" s="19">
        <v>6820</v>
      </c>
      <c r="O18" s="20">
        <v>1909600</v>
      </c>
      <c r="P18" s="30">
        <v>20</v>
      </c>
      <c r="Q18" s="31" t="s">
        <v>51</v>
      </c>
      <c r="R18" s="27" t="s">
        <v>247</v>
      </c>
      <c r="S18" s="17" t="s">
        <v>248</v>
      </c>
    </row>
    <row r="19" spans="1:19" x14ac:dyDescent="0.3">
      <c r="A19" s="1"/>
      <c r="B19" s="13">
        <v>14</v>
      </c>
      <c r="C19" s="12" t="s">
        <v>36</v>
      </c>
      <c r="D19" s="2" t="s">
        <v>58</v>
      </c>
      <c r="E19" s="2" t="s">
        <v>20</v>
      </c>
      <c r="F19" s="23" t="s">
        <v>65</v>
      </c>
      <c r="G19" s="23" t="s">
        <v>66</v>
      </c>
      <c r="H19" s="3">
        <v>1</v>
      </c>
      <c r="I19" s="32" t="s">
        <v>100</v>
      </c>
      <c r="J19" s="28">
        <v>46125</v>
      </c>
      <c r="K19" s="29">
        <v>46211</v>
      </c>
      <c r="L19" s="18">
        <v>60</v>
      </c>
      <c r="M19" s="19">
        <v>300</v>
      </c>
      <c r="N19" s="19">
        <v>6240</v>
      </c>
      <c r="O19" s="20">
        <v>1872000</v>
      </c>
      <c r="P19" s="30">
        <v>20</v>
      </c>
      <c r="Q19" s="31" t="s">
        <v>51</v>
      </c>
      <c r="R19" s="27" t="s">
        <v>249</v>
      </c>
      <c r="S19" s="17"/>
    </row>
    <row r="20" spans="1:19" x14ac:dyDescent="0.3">
      <c r="A20" s="1"/>
      <c r="B20" s="13">
        <v>15</v>
      </c>
      <c r="C20" s="12" t="s">
        <v>36</v>
      </c>
      <c r="D20" s="2" t="s">
        <v>58</v>
      </c>
      <c r="E20" s="2" t="s">
        <v>20</v>
      </c>
      <c r="F20" s="23" t="s">
        <v>67</v>
      </c>
      <c r="G20" s="23" t="s">
        <v>68</v>
      </c>
      <c r="H20" s="3">
        <v>1</v>
      </c>
      <c r="I20" s="32">
        <v>4</v>
      </c>
      <c r="J20" s="28">
        <v>46125</v>
      </c>
      <c r="K20" s="29">
        <v>46170</v>
      </c>
      <c r="L20" s="18">
        <v>32</v>
      </c>
      <c r="M20" s="19">
        <v>160</v>
      </c>
      <c r="N20" s="19">
        <v>6560</v>
      </c>
      <c r="O20" s="20">
        <v>1049600</v>
      </c>
      <c r="P20" s="30">
        <v>17</v>
      </c>
      <c r="Q20" s="31" t="s">
        <v>153</v>
      </c>
      <c r="R20" s="27" t="s">
        <v>250</v>
      </c>
      <c r="S20" s="17"/>
    </row>
    <row r="21" spans="1:19" x14ac:dyDescent="0.3">
      <c r="A21" s="1"/>
      <c r="B21" s="13">
        <v>16</v>
      </c>
      <c r="C21" s="12" t="s">
        <v>36</v>
      </c>
      <c r="D21" s="2" t="s">
        <v>58</v>
      </c>
      <c r="E21" s="2" t="s">
        <v>19</v>
      </c>
      <c r="F21" s="23" t="s">
        <v>70</v>
      </c>
      <c r="G21" s="23" t="s">
        <v>71</v>
      </c>
      <c r="H21" s="3">
        <v>1</v>
      </c>
      <c r="I21" s="32">
        <v>0</v>
      </c>
      <c r="J21" s="28">
        <v>46097</v>
      </c>
      <c r="K21" s="29">
        <v>46314</v>
      </c>
      <c r="L21" s="18">
        <v>140</v>
      </c>
      <c r="M21" s="19">
        <v>700</v>
      </c>
      <c r="N21" s="19">
        <v>6920</v>
      </c>
      <c r="O21" s="20">
        <v>4844000</v>
      </c>
      <c r="P21" s="30">
        <v>20</v>
      </c>
      <c r="Q21" s="31" t="s">
        <v>112</v>
      </c>
      <c r="R21" s="27" t="s">
        <v>246</v>
      </c>
      <c r="S21" s="17"/>
    </row>
    <row r="22" spans="1:19" x14ac:dyDescent="0.3">
      <c r="A22" s="1"/>
      <c r="B22" s="13">
        <v>17</v>
      </c>
      <c r="C22" s="12" t="s">
        <v>36</v>
      </c>
      <c r="D22" s="2" t="s">
        <v>72</v>
      </c>
      <c r="E22" s="2" t="s">
        <v>19</v>
      </c>
      <c r="F22" s="23" t="s">
        <v>29</v>
      </c>
      <c r="G22" s="23" t="s">
        <v>73</v>
      </c>
      <c r="H22" s="3">
        <v>1</v>
      </c>
      <c r="I22" s="32">
        <v>0</v>
      </c>
      <c r="J22" s="28">
        <v>46056</v>
      </c>
      <c r="K22" s="29">
        <v>46268</v>
      </c>
      <c r="L22" s="6">
        <v>141</v>
      </c>
      <c r="M22" s="7">
        <v>705</v>
      </c>
      <c r="N22" s="7">
        <v>5620</v>
      </c>
      <c r="O22" s="8">
        <f>M22*N22</f>
        <v>3962100</v>
      </c>
      <c r="P22" s="30">
        <v>20</v>
      </c>
      <c r="Q22" s="31" t="s">
        <v>74</v>
      </c>
      <c r="R22" s="27" t="s">
        <v>75</v>
      </c>
      <c r="S22" s="17"/>
    </row>
    <row r="23" spans="1:19" x14ac:dyDescent="0.3">
      <c r="A23" s="1"/>
      <c r="B23" s="13">
        <v>18</v>
      </c>
      <c r="C23" s="12" t="s">
        <v>36</v>
      </c>
      <c r="D23" s="2" t="s">
        <v>72</v>
      </c>
      <c r="E23" s="2" t="s">
        <v>19</v>
      </c>
      <c r="F23" s="23" t="s">
        <v>29</v>
      </c>
      <c r="G23" s="23" t="s">
        <v>76</v>
      </c>
      <c r="H23" s="3">
        <v>1</v>
      </c>
      <c r="I23" s="32">
        <v>0</v>
      </c>
      <c r="J23" s="28">
        <v>46119</v>
      </c>
      <c r="K23" s="29">
        <v>46252</v>
      </c>
      <c r="L23" s="6">
        <v>89</v>
      </c>
      <c r="M23" s="7">
        <v>705</v>
      </c>
      <c r="N23" s="7">
        <v>5620</v>
      </c>
      <c r="O23" s="8">
        <f t="shared" ref="O23:O39" si="2">M23*N23</f>
        <v>3962100</v>
      </c>
      <c r="P23" s="30">
        <v>20</v>
      </c>
      <c r="Q23" s="31" t="s">
        <v>77</v>
      </c>
      <c r="R23" s="27" t="s">
        <v>78</v>
      </c>
      <c r="S23" s="17"/>
    </row>
    <row r="24" spans="1:19" x14ac:dyDescent="0.3">
      <c r="A24" s="1"/>
      <c r="B24" s="13">
        <v>19</v>
      </c>
      <c r="C24" s="12" t="s">
        <v>36</v>
      </c>
      <c r="D24" s="2" t="s">
        <v>72</v>
      </c>
      <c r="E24" s="2" t="s">
        <v>19</v>
      </c>
      <c r="F24" s="23" t="s">
        <v>29</v>
      </c>
      <c r="G24" s="23" t="s">
        <v>79</v>
      </c>
      <c r="H24" s="3">
        <v>1</v>
      </c>
      <c r="I24" s="32">
        <v>0</v>
      </c>
      <c r="J24" s="28">
        <v>46266</v>
      </c>
      <c r="K24" s="29">
        <v>46395</v>
      </c>
      <c r="L24" s="6">
        <v>89</v>
      </c>
      <c r="M24" s="7">
        <v>705</v>
      </c>
      <c r="N24" s="7">
        <v>5620</v>
      </c>
      <c r="O24" s="8">
        <f t="shared" si="2"/>
        <v>3962100</v>
      </c>
      <c r="P24" s="30">
        <v>20</v>
      </c>
      <c r="Q24" s="31" t="s">
        <v>77</v>
      </c>
      <c r="R24" s="27" t="s">
        <v>78</v>
      </c>
      <c r="S24" s="17"/>
    </row>
    <row r="25" spans="1:19" x14ac:dyDescent="0.3">
      <c r="A25" s="1"/>
      <c r="B25" s="13">
        <v>20</v>
      </c>
      <c r="C25" s="12" t="s">
        <v>36</v>
      </c>
      <c r="D25" s="2" t="s">
        <v>72</v>
      </c>
      <c r="E25" s="2" t="s">
        <v>19</v>
      </c>
      <c r="F25" s="23" t="s">
        <v>60</v>
      </c>
      <c r="G25" s="23" t="s">
        <v>80</v>
      </c>
      <c r="H25" s="3">
        <v>1</v>
      </c>
      <c r="I25" s="32">
        <v>0</v>
      </c>
      <c r="J25" s="28">
        <v>46084</v>
      </c>
      <c r="K25" s="29">
        <v>46217</v>
      </c>
      <c r="L25" s="6">
        <v>90</v>
      </c>
      <c r="M25" s="7">
        <v>715</v>
      </c>
      <c r="N25" s="7">
        <v>7170</v>
      </c>
      <c r="O25" s="8">
        <f t="shared" si="2"/>
        <v>5126550</v>
      </c>
      <c r="P25" s="30">
        <v>20</v>
      </c>
      <c r="Q25" s="31" t="s">
        <v>62</v>
      </c>
      <c r="R25" s="27" t="s">
        <v>81</v>
      </c>
      <c r="S25" s="17"/>
    </row>
    <row r="26" spans="1:19" x14ac:dyDescent="0.3">
      <c r="A26" s="1"/>
      <c r="B26" s="13">
        <v>21</v>
      </c>
      <c r="C26" s="12" t="s">
        <v>36</v>
      </c>
      <c r="D26" s="2" t="s">
        <v>72</v>
      </c>
      <c r="E26" s="2" t="s">
        <v>20</v>
      </c>
      <c r="F26" s="23" t="s">
        <v>83</v>
      </c>
      <c r="G26" s="23" t="s">
        <v>84</v>
      </c>
      <c r="H26" s="3">
        <v>1</v>
      </c>
      <c r="I26" s="32">
        <v>4</v>
      </c>
      <c r="J26" s="28">
        <v>46049</v>
      </c>
      <c r="K26" s="29">
        <v>46134</v>
      </c>
      <c r="L26" s="6">
        <v>58</v>
      </c>
      <c r="M26" s="7">
        <v>230</v>
      </c>
      <c r="N26" s="7">
        <v>6240</v>
      </c>
      <c r="O26" s="8">
        <f t="shared" si="2"/>
        <v>1435200</v>
      </c>
      <c r="P26" s="30">
        <v>20</v>
      </c>
      <c r="Q26" s="31" t="s">
        <v>74</v>
      </c>
      <c r="R26" s="27" t="s">
        <v>85</v>
      </c>
      <c r="S26" s="17"/>
    </row>
    <row r="27" spans="1:19" x14ac:dyDescent="0.3">
      <c r="A27" s="1"/>
      <c r="B27" s="13">
        <v>22</v>
      </c>
      <c r="C27" s="12" t="s">
        <v>36</v>
      </c>
      <c r="D27" s="2" t="s">
        <v>72</v>
      </c>
      <c r="E27" s="2" t="s">
        <v>39</v>
      </c>
      <c r="F27" s="23" t="s">
        <v>82</v>
      </c>
      <c r="G27" s="23" t="s">
        <v>86</v>
      </c>
      <c r="H27" s="3">
        <v>1</v>
      </c>
      <c r="I27" s="32">
        <v>0</v>
      </c>
      <c r="J27" s="28">
        <v>46230</v>
      </c>
      <c r="K27" s="29">
        <v>46339</v>
      </c>
      <c r="L27" s="6">
        <v>75</v>
      </c>
      <c r="M27" s="7">
        <v>600</v>
      </c>
      <c r="N27" s="7">
        <v>5620</v>
      </c>
      <c r="O27" s="8">
        <f t="shared" si="2"/>
        <v>3372000</v>
      </c>
      <c r="P27" s="30">
        <v>20</v>
      </c>
      <c r="Q27" s="31" t="s">
        <v>62</v>
      </c>
      <c r="R27" s="27" t="s">
        <v>81</v>
      </c>
      <c r="S27" s="17" t="s">
        <v>251</v>
      </c>
    </row>
    <row r="28" spans="1:19" x14ac:dyDescent="0.3">
      <c r="A28" s="1"/>
      <c r="B28" s="13">
        <v>23</v>
      </c>
      <c r="C28" s="12" t="s">
        <v>36</v>
      </c>
      <c r="D28" s="2" t="s">
        <v>72</v>
      </c>
      <c r="E28" s="2" t="s">
        <v>39</v>
      </c>
      <c r="F28" s="23" t="s">
        <v>82</v>
      </c>
      <c r="G28" s="23" t="s">
        <v>88</v>
      </c>
      <c r="H28" s="3">
        <v>1</v>
      </c>
      <c r="I28" s="32">
        <v>0</v>
      </c>
      <c r="J28" s="28">
        <v>46294</v>
      </c>
      <c r="K28" s="29">
        <v>46430</v>
      </c>
      <c r="L28" s="6">
        <v>75</v>
      </c>
      <c r="M28" s="7">
        <v>600</v>
      </c>
      <c r="N28" s="7">
        <v>5620</v>
      </c>
      <c r="O28" s="8">
        <f t="shared" si="2"/>
        <v>3372000</v>
      </c>
      <c r="P28" s="30">
        <v>20</v>
      </c>
      <c r="Q28" s="31" t="s">
        <v>62</v>
      </c>
      <c r="R28" s="27" t="s">
        <v>81</v>
      </c>
      <c r="S28" s="17" t="s">
        <v>251</v>
      </c>
    </row>
    <row r="29" spans="1:19" x14ac:dyDescent="0.3">
      <c r="A29" s="1"/>
      <c r="B29" s="13">
        <v>24</v>
      </c>
      <c r="C29" s="12" t="s">
        <v>36</v>
      </c>
      <c r="D29" s="2" t="s">
        <v>72</v>
      </c>
      <c r="E29" s="2" t="s">
        <v>39</v>
      </c>
      <c r="F29" s="23" t="s">
        <v>30</v>
      </c>
      <c r="G29" s="23" t="s">
        <v>89</v>
      </c>
      <c r="H29" s="3">
        <v>1</v>
      </c>
      <c r="I29" s="32">
        <v>0</v>
      </c>
      <c r="J29" s="28">
        <v>46378</v>
      </c>
      <c r="K29" s="29">
        <v>46549</v>
      </c>
      <c r="L29" s="6">
        <v>104</v>
      </c>
      <c r="M29" s="7">
        <v>520</v>
      </c>
      <c r="N29" s="7">
        <v>6240</v>
      </c>
      <c r="O29" s="8">
        <f t="shared" si="2"/>
        <v>3244800</v>
      </c>
      <c r="P29" s="30">
        <v>20</v>
      </c>
      <c r="Q29" s="31" t="s">
        <v>74</v>
      </c>
      <c r="R29" s="27" t="s">
        <v>85</v>
      </c>
      <c r="S29" s="68" t="s">
        <v>251</v>
      </c>
    </row>
    <row r="30" spans="1:19" x14ac:dyDescent="0.3">
      <c r="A30" s="1"/>
      <c r="B30" s="13">
        <v>25</v>
      </c>
      <c r="C30" s="12" t="s">
        <v>36</v>
      </c>
      <c r="D30" s="2" t="s">
        <v>180</v>
      </c>
      <c r="E30" s="2" t="s">
        <v>19</v>
      </c>
      <c r="F30" s="23" t="s">
        <v>60</v>
      </c>
      <c r="G30" s="23" t="s">
        <v>91</v>
      </c>
      <c r="H30" s="3">
        <v>1</v>
      </c>
      <c r="I30" s="32">
        <v>0</v>
      </c>
      <c r="J30" s="34">
        <v>46125</v>
      </c>
      <c r="K30" s="29">
        <v>46318</v>
      </c>
      <c r="L30" s="6">
        <v>133</v>
      </c>
      <c r="M30" s="7">
        <v>660</v>
      </c>
      <c r="N30" s="7">
        <v>7170</v>
      </c>
      <c r="O30" s="8">
        <f t="shared" si="2"/>
        <v>4732200</v>
      </c>
      <c r="P30" s="30">
        <v>20</v>
      </c>
      <c r="Q30" s="31" t="s">
        <v>74</v>
      </c>
      <c r="R30" s="27" t="s">
        <v>252</v>
      </c>
      <c r="S30" s="17"/>
    </row>
    <row r="31" spans="1:19" x14ac:dyDescent="0.3">
      <c r="A31" s="1"/>
      <c r="B31" s="13">
        <v>26</v>
      </c>
      <c r="C31" s="12" t="s">
        <v>36</v>
      </c>
      <c r="D31" s="2" t="s">
        <v>180</v>
      </c>
      <c r="E31" s="2" t="s">
        <v>19</v>
      </c>
      <c r="F31" s="23" t="s">
        <v>29</v>
      </c>
      <c r="G31" s="23" t="s">
        <v>93</v>
      </c>
      <c r="H31" s="3">
        <v>1</v>
      </c>
      <c r="I31" s="32">
        <v>0</v>
      </c>
      <c r="J31" s="34">
        <v>46119</v>
      </c>
      <c r="K31" s="29">
        <v>46314</v>
      </c>
      <c r="L31" s="6">
        <v>133</v>
      </c>
      <c r="M31" s="7">
        <v>660</v>
      </c>
      <c r="N31" s="7">
        <v>5620</v>
      </c>
      <c r="O31" s="8">
        <f t="shared" si="2"/>
        <v>3709200</v>
      </c>
      <c r="P31" s="30">
        <v>20</v>
      </c>
      <c r="Q31" s="31" t="s">
        <v>172</v>
      </c>
      <c r="R31" s="27" t="s">
        <v>253</v>
      </c>
      <c r="S31" s="17"/>
    </row>
    <row r="32" spans="1:19" x14ac:dyDescent="0.3">
      <c r="A32" s="1"/>
      <c r="B32" s="13">
        <v>27</v>
      </c>
      <c r="C32" s="12" t="s">
        <v>36</v>
      </c>
      <c r="D32" s="2" t="s">
        <v>180</v>
      </c>
      <c r="E32" s="2" t="s">
        <v>19</v>
      </c>
      <c r="F32" s="23" t="s">
        <v>29</v>
      </c>
      <c r="G32" s="23" t="s">
        <v>94</v>
      </c>
      <c r="H32" s="3">
        <v>1</v>
      </c>
      <c r="I32" s="32">
        <v>0</v>
      </c>
      <c r="J32" s="28">
        <v>46198</v>
      </c>
      <c r="K32" s="29">
        <v>46391</v>
      </c>
      <c r="L32" s="6">
        <v>133</v>
      </c>
      <c r="M32" s="7">
        <v>660</v>
      </c>
      <c r="N32" s="7">
        <v>5620</v>
      </c>
      <c r="O32" s="8">
        <f t="shared" si="2"/>
        <v>3709200</v>
      </c>
      <c r="P32" s="30">
        <v>20</v>
      </c>
      <c r="Q32" s="31" t="s">
        <v>202</v>
      </c>
      <c r="R32" s="27" t="s">
        <v>253</v>
      </c>
      <c r="S32" s="17"/>
    </row>
    <row r="33" spans="1:19" x14ac:dyDescent="0.3">
      <c r="A33" s="1"/>
      <c r="B33" s="13">
        <v>28</v>
      </c>
      <c r="C33" s="12" t="s">
        <v>36</v>
      </c>
      <c r="D33" s="2" t="s">
        <v>180</v>
      </c>
      <c r="E33" s="2" t="s">
        <v>19</v>
      </c>
      <c r="F33" s="23" t="s">
        <v>201</v>
      </c>
      <c r="G33" s="23" t="s">
        <v>96</v>
      </c>
      <c r="H33" s="3">
        <v>1</v>
      </c>
      <c r="I33" s="32">
        <v>0</v>
      </c>
      <c r="J33" s="34">
        <v>46084</v>
      </c>
      <c r="K33" s="29">
        <v>46272</v>
      </c>
      <c r="L33" s="6">
        <v>131</v>
      </c>
      <c r="M33" s="7">
        <v>650</v>
      </c>
      <c r="N33" s="7">
        <v>7290</v>
      </c>
      <c r="O33" s="8">
        <f t="shared" si="2"/>
        <v>4738500</v>
      </c>
      <c r="P33" s="30">
        <v>20</v>
      </c>
      <c r="Q33" s="31" t="s">
        <v>202</v>
      </c>
      <c r="R33" s="27" t="s">
        <v>254</v>
      </c>
      <c r="S33" s="17"/>
    </row>
    <row r="34" spans="1:19" x14ac:dyDescent="0.3">
      <c r="A34" s="1"/>
      <c r="B34" s="13">
        <v>29</v>
      </c>
      <c r="C34" s="12" t="s">
        <v>36</v>
      </c>
      <c r="D34" s="2" t="s">
        <v>180</v>
      </c>
      <c r="E34" s="2" t="s">
        <v>19</v>
      </c>
      <c r="F34" s="23" t="s">
        <v>201</v>
      </c>
      <c r="G34" s="23" t="s">
        <v>97</v>
      </c>
      <c r="H34" s="3">
        <v>1</v>
      </c>
      <c r="I34" s="32">
        <v>0</v>
      </c>
      <c r="J34" s="34">
        <v>46148</v>
      </c>
      <c r="K34" s="29">
        <v>46337</v>
      </c>
      <c r="L34" s="6">
        <v>131</v>
      </c>
      <c r="M34" s="7">
        <v>650</v>
      </c>
      <c r="N34" s="7">
        <v>7290</v>
      </c>
      <c r="O34" s="8">
        <f t="shared" si="2"/>
        <v>4738500</v>
      </c>
      <c r="P34" s="30">
        <v>20</v>
      </c>
      <c r="Q34" s="31" t="s">
        <v>172</v>
      </c>
      <c r="R34" s="27" t="s">
        <v>254</v>
      </c>
      <c r="S34" s="17"/>
    </row>
    <row r="35" spans="1:19" x14ac:dyDescent="0.3">
      <c r="A35" s="1"/>
      <c r="B35" s="13">
        <v>30</v>
      </c>
      <c r="C35" s="12" t="s">
        <v>36</v>
      </c>
      <c r="D35" s="2" t="s">
        <v>180</v>
      </c>
      <c r="E35" s="2" t="s">
        <v>19</v>
      </c>
      <c r="F35" s="23" t="s">
        <v>201</v>
      </c>
      <c r="G35" s="23" t="s">
        <v>98</v>
      </c>
      <c r="H35" s="3">
        <v>1</v>
      </c>
      <c r="I35" s="32">
        <v>0</v>
      </c>
      <c r="J35" s="34">
        <v>46268</v>
      </c>
      <c r="K35" s="29">
        <v>46462</v>
      </c>
      <c r="L35" s="6">
        <v>131</v>
      </c>
      <c r="M35" s="7">
        <v>650</v>
      </c>
      <c r="N35" s="7">
        <v>7290</v>
      </c>
      <c r="O35" s="8">
        <f t="shared" si="2"/>
        <v>4738500</v>
      </c>
      <c r="P35" s="30">
        <v>20</v>
      </c>
      <c r="Q35" s="31" t="s">
        <v>202</v>
      </c>
      <c r="R35" s="27" t="s">
        <v>254</v>
      </c>
      <c r="S35" s="17"/>
    </row>
    <row r="36" spans="1:19" x14ac:dyDescent="0.3">
      <c r="A36" s="1"/>
      <c r="B36" s="13">
        <v>31</v>
      </c>
      <c r="C36" s="12" t="s">
        <v>36</v>
      </c>
      <c r="D36" s="2" t="s">
        <v>180</v>
      </c>
      <c r="E36" s="2" t="s">
        <v>20</v>
      </c>
      <c r="F36" s="23" t="s">
        <v>83</v>
      </c>
      <c r="G36" s="23" t="s">
        <v>99</v>
      </c>
      <c r="H36" s="3">
        <v>6</v>
      </c>
      <c r="I36" s="32" t="s">
        <v>255</v>
      </c>
      <c r="J36" s="34">
        <v>46091</v>
      </c>
      <c r="K36" s="29">
        <v>46199</v>
      </c>
      <c r="L36" s="6">
        <v>75</v>
      </c>
      <c r="M36" s="7">
        <v>300</v>
      </c>
      <c r="N36" s="7">
        <v>6240</v>
      </c>
      <c r="O36" s="8">
        <f t="shared" si="2"/>
        <v>1872000</v>
      </c>
      <c r="P36" s="30">
        <v>20</v>
      </c>
      <c r="Q36" s="31" t="s">
        <v>195</v>
      </c>
      <c r="R36" s="27" t="s">
        <v>256</v>
      </c>
      <c r="S36" s="17"/>
    </row>
    <row r="37" spans="1:19" x14ac:dyDescent="0.3">
      <c r="A37" s="1"/>
      <c r="B37" s="13">
        <v>32</v>
      </c>
      <c r="C37" s="12" t="s">
        <v>36</v>
      </c>
      <c r="D37" s="2" t="s">
        <v>180</v>
      </c>
      <c r="E37" s="2" t="s">
        <v>20</v>
      </c>
      <c r="F37" s="23" t="s">
        <v>63</v>
      </c>
      <c r="G37" s="23" t="s">
        <v>101</v>
      </c>
      <c r="H37" s="3">
        <v>0</v>
      </c>
      <c r="I37" s="32">
        <v>5</v>
      </c>
      <c r="J37" s="34">
        <v>46036</v>
      </c>
      <c r="K37" s="29">
        <v>46139</v>
      </c>
      <c r="L37" s="6">
        <v>70</v>
      </c>
      <c r="M37" s="7">
        <v>280</v>
      </c>
      <c r="N37" s="7">
        <v>6820</v>
      </c>
      <c r="O37" s="8">
        <f t="shared" si="2"/>
        <v>1909600</v>
      </c>
      <c r="P37" s="30">
        <v>20</v>
      </c>
      <c r="Q37" s="31" t="s">
        <v>172</v>
      </c>
      <c r="R37" s="27" t="s">
        <v>252</v>
      </c>
      <c r="S37" s="17"/>
    </row>
    <row r="38" spans="1:19" x14ac:dyDescent="0.3">
      <c r="A38" s="1"/>
      <c r="B38" s="13">
        <v>33</v>
      </c>
      <c r="C38" s="12" t="s">
        <v>36</v>
      </c>
      <c r="D38" s="2" t="s">
        <v>180</v>
      </c>
      <c r="E38" s="2" t="s">
        <v>20</v>
      </c>
      <c r="F38" s="23" t="s">
        <v>43</v>
      </c>
      <c r="G38" s="23" t="s">
        <v>103</v>
      </c>
      <c r="H38" s="3">
        <v>2</v>
      </c>
      <c r="I38" s="32">
        <v>3</v>
      </c>
      <c r="J38" s="34">
        <v>46106</v>
      </c>
      <c r="K38" s="29">
        <v>46223</v>
      </c>
      <c r="L38" s="6">
        <v>80</v>
      </c>
      <c r="M38" s="7">
        <v>320</v>
      </c>
      <c r="N38" s="7">
        <v>6920</v>
      </c>
      <c r="O38" s="8">
        <f t="shared" si="2"/>
        <v>2214400</v>
      </c>
      <c r="P38" s="30">
        <v>20</v>
      </c>
      <c r="Q38" s="31" t="s">
        <v>74</v>
      </c>
      <c r="R38" s="27" t="s">
        <v>257</v>
      </c>
      <c r="S38" s="17"/>
    </row>
    <row r="39" spans="1:19" x14ac:dyDescent="0.3">
      <c r="A39" s="1"/>
      <c r="B39" s="13">
        <v>34</v>
      </c>
      <c r="C39" s="12" t="s">
        <v>36</v>
      </c>
      <c r="D39" s="2" t="s">
        <v>180</v>
      </c>
      <c r="E39" s="2" t="s">
        <v>39</v>
      </c>
      <c r="F39" s="23" t="s">
        <v>82</v>
      </c>
      <c r="G39" s="23" t="s">
        <v>258</v>
      </c>
      <c r="H39" s="3">
        <v>1</v>
      </c>
      <c r="I39" s="32">
        <v>0</v>
      </c>
      <c r="J39" s="34">
        <v>46185</v>
      </c>
      <c r="K39" s="29">
        <v>46311</v>
      </c>
      <c r="L39" s="6">
        <v>88</v>
      </c>
      <c r="M39" s="7">
        <v>440</v>
      </c>
      <c r="N39" s="7">
        <v>5620</v>
      </c>
      <c r="O39" s="8">
        <f t="shared" si="2"/>
        <v>2472800</v>
      </c>
      <c r="P39" s="30">
        <v>20</v>
      </c>
      <c r="Q39" s="31" t="s">
        <v>74</v>
      </c>
      <c r="R39" s="27" t="s">
        <v>252</v>
      </c>
      <c r="S39" s="17"/>
    </row>
    <row r="40" spans="1:19" x14ac:dyDescent="0.3">
      <c r="A40" s="1"/>
      <c r="B40" s="13">
        <v>35</v>
      </c>
      <c r="C40" s="12" t="s">
        <v>45</v>
      </c>
      <c r="D40" s="2" t="s">
        <v>110</v>
      </c>
      <c r="E40" s="2" t="s">
        <v>18</v>
      </c>
      <c r="F40" s="23" t="s">
        <v>46</v>
      </c>
      <c r="G40" s="23" t="s">
        <v>111</v>
      </c>
      <c r="H40" s="3">
        <v>1</v>
      </c>
      <c r="I40" s="32">
        <v>0</v>
      </c>
      <c r="J40" s="35">
        <v>46055</v>
      </c>
      <c r="K40" s="36">
        <v>46275</v>
      </c>
      <c r="L40" s="7">
        <v>150</v>
      </c>
      <c r="M40" s="7">
        <v>600</v>
      </c>
      <c r="N40" s="7">
        <v>5620</v>
      </c>
      <c r="O40" s="8">
        <v>3372000</v>
      </c>
      <c r="P40" s="30">
        <v>20</v>
      </c>
      <c r="Q40" s="31" t="s">
        <v>112</v>
      </c>
      <c r="R40" s="27" t="s">
        <v>113</v>
      </c>
      <c r="S40" s="69"/>
    </row>
    <row r="41" spans="1:19" x14ac:dyDescent="0.3">
      <c r="A41" s="1"/>
      <c r="B41" s="13">
        <v>36</v>
      </c>
      <c r="C41" s="12" t="s">
        <v>45</v>
      </c>
      <c r="D41" s="2" t="s">
        <v>110</v>
      </c>
      <c r="E41" s="2" t="s">
        <v>18</v>
      </c>
      <c r="F41" s="23" t="s">
        <v>46</v>
      </c>
      <c r="G41" s="23" t="s">
        <v>114</v>
      </c>
      <c r="H41" s="3">
        <v>1</v>
      </c>
      <c r="I41" s="32">
        <v>0</v>
      </c>
      <c r="J41" s="35">
        <v>46160</v>
      </c>
      <c r="K41" s="36">
        <v>46336</v>
      </c>
      <c r="L41" s="7">
        <v>120</v>
      </c>
      <c r="M41" s="7">
        <v>600</v>
      </c>
      <c r="N41" s="7">
        <v>5620</v>
      </c>
      <c r="O41" s="8">
        <v>3372000</v>
      </c>
      <c r="P41" s="30">
        <v>20</v>
      </c>
      <c r="Q41" s="31" t="s">
        <v>112</v>
      </c>
      <c r="R41" s="27" t="s">
        <v>113</v>
      </c>
      <c r="S41" s="17"/>
    </row>
    <row r="42" spans="1:19" x14ac:dyDescent="0.3">
      <c r="A42" s="1"/>
      <c r="B42" s="13">
        <v>37</v>
      </c>
      <c r="C42" s="12" t="s">
        <v>45</v>
      </c>
      <c r="D42" s="2" t="s">
        <v>110</v>
      </c>
      <c r="E42" s="2" t="s">
        <v>52</v>
      </c>
      <c r="F42" s="23" t="s">
        <v>46</v>
      </c>
      <c r="G42" s="23" t="s">
        <v>115</v>
      </c>
      <c r="H42" s="3">
        <v>1</v>
      </c>
      <c r="I42" s="32">
        <v>4</v>
      </c>
      <c r="J42" s="35">
        <v>46293</v>
      </c>
      <c r="K42" s="36">
        <v>46395</v>
      </c>
      <c r="L42" s="7">
        <v>73</v>
      </c>
      <c r="M42" s="7">
        <v>290</v>
      </c>
      <c r="N42" s="7">
        <v>5620</v>
      </c>
      <c r="O42" s="8">
        <v>1629800</v>
      </c>
      <c r="P42" s="30">
        <v>10</v>
      </c>
      <c r="Q42" s="31" t="s">
        <v>116</v>
      </c>
      <c r="R42" s="27" t="s">
        <v>113</v>
      </c>
      <c r="S42" s="17"/>
    </row>
    <row r="43" spans="1:19" x14ac:dyDescent="0.3">
      <c r="A43" s="1"/>
      <c r="B43" s="13">
        <v>38</v>
      </c>
      <c r="C43" s="12" t="s">
        <v>45</v>
      </c>
      <c r="D43" s="2" t="s">
        <v>110</v>
      </c>
      <c r="E43" s="2" t="s">
        <v>52</v>
      </c>
      <c r="F43" s="23" t="s">
        <v>102</v>
      </c>
      <c r="G43" s="23" t="s">
        <v>117</v>
      </c>
      <c r="H43" s="3">
        <v>1</v>
      </c>
      <c r="I43" s="32">
        <v>4</v>
      </c>
      <c r="J43" s="37">
        <v>46342</v>
      </c>
      <c r="K43" s="38">
        <v>46448</v>
      </c>
      <c r="L43" s="7">
        <v>73</v>
      </c>
      <c r="M43" s="7">
        <v>320</v>
      </c>
      <c r="N43" s="7">
        <v>6920</v>
      </c>
      <c r="O43" s="8">
        <v>2214400</v>
      </c>
      <c r="P43" s="30">
        <v>10</v>
      </c>
      <c r="Q43" s="31" t="s">
        <v>116</v>
      </c>
      <c r="R43" s="27" t="s">
        <v>118</v>
      </c>
      <c r="S43" s="17" t="s">
        <v>119</v>
      </c>
    </row>
    <row r="44" spans="1:19" x14ac:dyDescent="0.3">
      <c r="A44" s="1"/>
      <c r="B44" s="13">
        <v>39</v>
      </c>
      <c r="C44" s="12" t="s">
        <v>45</v>
      </c>
      <c r="D44" s="2" t="s">
        <v>121</v>
      </c>
      <c r="E44" s="2" t="s">
        <v>52</v>
      </c>
      <c r="F44" s="23" t="s">
        <v>122</v>
      </c>
      <c r="G44" s="23" t="s">
        <v>123</v>
      </c>
      <c r="H44" s="3">
        <v>1</v>
      </c>
      <c r="I44" s="32">
        <v>5</v>
      </c>
      <c r="J44" s="28">
        <v>46273</v>
      </c>
      <c r="K44" s="29">
        <v>46374</v>
      </c>
      <c r="L44" s="6">
        <v>70</v>
      </c>
      <c r="M44" s="7">
        <v>350</v>
      </c>
      <c r="N44" s="7">
        <v>6620</v>
      </c>
      <c r="O44" s="8">
        <v>2317000</v>
      </c>
      <c r="P44" s="30">
        <v>18</v>
      </c>
      <c r="Q44" s="31" t="s">
        <v>116</v>
      </c>
      <c r="R44" s="27" t="s">
        <v>124</v>
      </c>
      <c r="S44" s="17"/>
    </row>
    <row r="45" spans="1:19" x14ac:dyDescent="0.3">
      <c r="A45" s="1"/>
      <c r="B45" s="13">
        <v>40</v>
      </c>
      <c r="C45" s="12" t="s">
        <v>45</v>
      </c>
      <c r="D45" s="2" t="s">
        <v>121</v>
      </c>
      <c r="E45" s="2" t="s">
        <v>18</v>
      </c>
      <c r="F45" s="23" t="s">
        <v>122</v>
      </c>
      <c r="G45" s="23" t="s">
        <v>125</v>
      </c>
      <c r="H45" s="3">
        <v>1</v>
      </c>
      <c r="I45" s="32">
        <v>0</v>
      </c>
      <c r="J45" s="28">
        <v>46378</v>
      </c>
      <c r="K45" s="29">
        <v>46643</v>
      </c>
      <c r="L45" s="6">
        <v>182</v>
      </c>
      <c r="M45" s="7">
        <v>910</v>
      </c>
      <c r="N45" s="7">
        <v>7290</v>
      </c>
      <c r="O45" s="8">
        <v>6633900</v>
      </c>
      <c r="P45" s="30">
        <v>18</v>
      </c>
      <c r="Q45" s="31" t="s">
        <v>116</v>
      </c>
      <c r="R45" s="27" t="s">
        <v>124</v>
      </c>
      <c r="S45" s="17"/>
    </row>
    <row r="46" spans="1:19" x14ac:dyDescent="0.3">
      <c r="A46" s="1"/>
      <c r="B46" s="13">
        <v>41</v>
      </c>
      <c r="C46" s="12" t="s">
        <v>45</v>
      </c>
      <c r="D46" s="2" t="s">
        <v>183</v>
      </c>
      <c r="E46" s="2" t="s">
        <v>18</v>
      </c>
      <c r="F46" s="23" t="s">
        <v>151</v>
      </c>
      <c r="G46" s="23" t="s">
        <v>259</v>
      </c>
      <c r="H46" s="3">
        <v>1</v>
      </c>
      <c r="I46" s="32">
        <v>0</v>
      </c>
      <c r="J46" s="28">
        <v>46092</v>
      </c>
      <c r="K46" s="29">
        <v>46255</v>
      </c>
      <c r="L46" s="6">
        <v>114</v>
      </c>
      <c r="M46" s="7">
        <v>910</v>
      </c>
      <c r="N46" s="7">
        <v>7290</v>
      </c>
      <c r="O46" s="8">
        <v>6633900</v>
      </c>
      <c r="P46" s="30">
        <v>20</v>
      </c>
      <c r="Q46" s="31" t="s">
        <v>153</v>
      </c>
      <c r="R46" s="27" t="s">
        <v>210</v>
      </c>
      <c r="S46" s="17"/>
    </row>
    <row r="47" spans="1:19" x14ac:dyDescent="0.3">
      <c r="A47" s="1"/>
      <c r="B47" s="13">
        <v>42</v>
      </c>
      <c r="C47" s="12" t="s">
        <v>45</v>
      </c>
      <c r="D47" s="2" t="s">
        <v>183</v>
      </c>
      <c r="E47" s="2" t="s">
        <v>52</v>
      </c>
      <c r="F47" s="23" t="s">
        <v>260</v>
      </c>
      <c r="G47" s="23" t="s">
        <v>261</v>
      </c>
      <c r="H47" s="3">
        <v>1</v>
      </c>
      <c r="I47" s="32">
        <v>0</v>
      </c>
      <c r="J47" s="28">
        <v>46125</v>
      </c>
      <c r="K47" s="29">
        <v>46217</v>
      </c>
      <c r="L47" s="6">
        <v>60</v>
      </c>
      <c r="M47" s="7">
        <v>300</v>
      </c>
      <c r="N47" s="7">
        <v>6240</v>
      </c>
      <c r="O47" s="8">
        <v>1872000</v>
      </c>
      <c r="P47" s="30">
        <v>14</v>
      </c>
      <c r="Q47" s="31" t="s">
        <v>112</v>
      </c>
      <c r="R47" s="27" t="s">
        <v>262</v>
      </c>
      <c r="S47" s="17"/>
    </row>
    <row r="48" spans="1:19" x14ac:dyDescent="0.3">
      <c r="A48" s="1"/>
      <c r="B48" s="13">
        <v>43</v>
      </c>
      <c r="C48" s="12" t="s">
        <v>45</v>
      </c>
      <c r="D48" s="2" t="s">
        <v>183</v>
      </c>
      <c r="E48" s="2" t="s">
        <v>39</v>
      </c>
      <c r="F48" s="23" t="s">
        <v>120</v>
      </c>
      <c r="G48" s="23" t="s">
        <v>263</v>
      </c>
      <c r="H48" s="3">
        <v>1</v>
      </c>
      <c r="I48" s="32">
        <v>0</v>
      </c>
      <c r="J48" s="28">
        <v>46153</v>
      </c>
      <c r="K48" s="29">
        <v>46339</v>
      </c>
      <c r="L48" s="6">
        <v>125</v>
      </c>
      <c r="M48" s="7">
        <v>625</v>
      </c>
      <c r="N48" s="7">
        <v>5620</v>
      </c>
      <c r="O48" s="8">
        <v>3512500</v>
      </c>
      <c r="P48" s="30">
        <v>20</v>
      </c>
      <c r="Q48" s="31" t="s">
        <v>47</v>
      </c>
      <c r="R48" s="27" t="s">
        <v>264</v>
      </c>
      <c r="S48" s="17"/>
    </row>
    <row r="49" spans="1:19" x14ac:dyDescent="0.3">
      <c r="A49" s="1"/>
      <c r="B49" s="13">
        <v>44</v>
      </c>
      <c r="C49" s="12" t="s">
        <v>45</v>
      </c>
      <c r="D49" s="2" t="s">
        <v>183</v>
      </c>
      <c r="E49" s="2" t="s">
        <v>39</v>
      </c>
      <c r="F49" s="23" t="s">
        <v>104</v>
      </c>
      <c r="G49" s="23" t="s">
        <v>265</v>
      </c>
      <c r="H49" s="3">
        <v>1</v>
      </c>
      <c r="I49" s="32">
        <v>0</v>
      </c>
      <c r="J49" s="28">
        <v>46177</v>
      </c>
      <c r="K49" s="29">
        <v>46339</v>
      </c>
      <c r="L49" s="6">
        <v>112</v>
      </c>
      <c r="M49" s="7">
        <v>560</v>
      </c>
      <c r="N49" s="7">
        <v>5620</v>
      </c>
      <c r="O49" s="8">
        <v>3147200</v>
      </c>
      <c r="P49" s="30">
        <v>20</v>
      </c>
      <c r="Q49" s="31" t="s">
        <v>47</v>
      </c>
      <c r="R49" s="27" t="s">
        <v>210</v>
      </c>
      <c r="S49" s="17"/>
    </row>
    <row r="50" spans="1:19" x14ac:dyDescent="0.3">
      <c r="A50" s="1"/>
      <c r="B50" s="13">
        <v>45</v>
      </c>
      <c r="C50" s="12" t="s">
        <v>45</v>
      </c>
      <c r="D50" s="2" t="s">
        <v>183</v>
      </c>
      <c r="E50" s="2" t="s">
        <v>52</v>
      </c>
      <c r="F50" s="23" t="s">
        <v>266</v>
      </c>
      <c r="G50" s="23" t="s">
        <v>267</v>
      </c>
      <c r="H50" s="3">
        <v>1</v>
      </c>
      <c r="I50" s="32">
        <v>0</v>
      </c>
      <c r="J50" s="28">
        <v>46260</v>
      </c>
      <c r="K50" s="29">
        <v>46349</v>
      </c>
      <c r="L50" s="6">
        <v>56</v>
      </c>
      <c r="M50" s="7">
        <v>280</v>
      </c>
      <c r="N50" s="7">
        <v>6820</v>
      </c>
      <c r="O50" s="8">
        <v>1909600</v>
      </c>
      <c r="P50" s="30">
        <v>20</v>
      </c>
      <c r="Q50" s="31" t="s">
        <v>153</v>
      </c>
      <c r="R50" s="27" t="s">
        <v>210</v>
      </c>
      <c r="S50" s="17"/>
    </row>
    <row r="51" spans="1:19" x14ac:dyDescent="0.3">
      <c r="A51" s="1"/>
      <c r="B51" s="13">
        <v>46</v>
      </c>
      <c r="C51" s="12" t="s">
        <v>45</v>
      </c>
      <c r="D51" s="2" t="s">
        <v>183</v>
      </c>
      <c r="E51" s="50" t="s">
        <v>39</v>
      </c>
      <c r="F51" s="63" t="s">
        <v>266</v>
      </c>
      <c r="G51" s="23" t="s">
        <v>146</v>
      </c>
      <c r="H51" s="3">
        <v>1</v>
      </c>
      <c r="I51" s="32">
        <v>0</v>
      </c>
      <c r="J51" s="28">
        <v>46295</v>
      </c>
      <c r="K51" s="29">
        <v>46415</v>
      </c>
      <c r="L51" s="6">
        <v>83</v>
      </c>
      <c r="M51" s="7">
        <v>415</v>
      </c>
      <c r="N51" s="7">
        <v>7170</v>
      </c>
      <c r="O51" s="8">
        <v>2975550</v>
      </c>
      <c r="P51" s="30">
        <v>20</v>
      </c>
      <c r="Q51" s="31" t="s">
        <v>153</v>
      </c>
      <c r="R51" s="27" t="s">
        <v>268</v>
      </c>
      <c r="S51" s="17"/>
    </row>
    <row r="52" spans="1:19" x14ac:dyDescent="0.3">
      <c r="A52" s="1"/>
      <c r="B52" s="13">
        <v>47</v>
      </c>
      <c r="C52" s="12" t="s">
        <v>45</v>
      </c>
      <c r="D52" s="2" t="s">
        <v>183</v>
      </c>
      <c r="E52" s="50" t="s">
        <v>52</v>
      </c>
      <c r="F52" s="63" t="s">
        <v>46</v>
      </c>
      <c r="G52" s="23" t="s">
        <v>137</v>
      </c>
      <c r="H52" s="3">
        <v>1</v>
      </c>
      <c r="I52" s="32">
        <v>0</v>
      </c>
      <c r="J52" s="28">
        <v>46321</v>
      </c>
      <c r="K52" s="29">
        <v>46413</v>
      </c>
      <c r="L52" s="6">
        <v>56</v>
      </c>
      <c r="M52" s="7">
        <v>280</v>
      </c>
      <c r="N52" s="7">
        <v>5820</v>
      </c>
      <c r="O52" s="8">
        <v>1629800</v>
      </c>
      <c r="P52" s="30">
        <v>14</v>
      </c>
      <c r="Q52" s="31" t="s">
        <v>112</v>
      </c>
      <c r="R52" s="27" t="s">
        <v>210</v>
      </c>
      <c r="S52" s="17"/>
    </row>
    <row r="53" spans="1:19" x14ac:dyDescent="0.3">
      <c r="A53" s="1"/>
      <c r="B53" s="13">
        <v>48</v>
      </c>
      <c r="C53" s="12" t="s">
        <v>45</v>
      </c>
      <c r="D53" s="2" t="s">
        <v>183</v>
      </c>
      <c r="E53" s="50" t="s">
        <v>39</v>
      </c>
      <c r="F53" s="63" t="s">
        <v>95</v>
      </c>
      <c r="G53" s="171" t="s">
        <v>269</v>
      </c>
      <c r="H53" s="3">
        <v>1</v>
      </c>
      <c r="I53" s="32">
        <v>0</v>
      </c>
      <c r="J53" s="28">
        <v>46358</v>
      </c>
      <c r="K53" s="29">
        <v>46534</v>
      </c>
      <c r="L53" s="6">
        <v>120</v>
      </c>
      <c r="M53" s="7">
        <v>600</v>
      </c>
      <c r="N53" s="7">
        <v>7290</v>
      </c>
      <c r="O53" s="8">
        <v>4374000</v>
      </c>
      <c r="P53" s="30">
        <v>20</v>
      </c>
      <c r="Q53" s="31" t="s">
        <v>153</v>
      </c>
      <c r="R53" s="27" t="s">
        <v>270</v>
      </c>
      <c r="S53" s="17"/>
    </row>
    <row r="54" spans="1:19" x14ac:dyDescent="0.3">
      <c r="A54" s="1"/>
      <c r="B54" s="13">
        <v>49</v>
      </c>
      <c r="C54" s="12" t="s">
        <v>45</v>
      </c>
      <c r="D54" s="2" t="s">
        <v>132</v>
      </c>
      <c r="E54" s="50" t="s">
        <v>54</v>
      </c>
      <c r="F54" s="63" t="s">
        <v>55</v>
      </c>
      <c r="G54" s="171" t="s">
        <v>133</v>
      </c>
      <c r="H54" s="3">
        <v>1</v>
      </c>
      <c r="I54" s="32">
        <v>1</v>
      </c>
      <c r="J54" s="28">
        <v>46008</v>
      </c>
      <c r="K54" s="29">
        <v>46139</v>
      </c>
      <c r="L54" s="6">
        <v>88</v>
      </c>
      <c r="M54" s="7">
        <v>350</v>
      </c>
      <c r="N54" s="7">
        <v>6240</v>
      </c>
      <c r="O54" s="8">
        <v>2184000</v>
      </c>
      <c r="P54" s="30">
        <v>20</v>
      </c>
      <c r="Q54" s="31" t="s">
        <v>92</v>
      </c>
      <c r="R54" s="27" t="s">
        <v>134</v>
      </c>
      <c r="S54" s="17" t="s">
        <v>543</v>
      </c>
    </row>
    <row r="55" spans="1:19" x14ac:dyDescent="0.3">
      <c r="A55" s="1"/>
      <c r="B55" s="13">
        <v>50</v>
      </c>
      <c r="C55" s="12" t="s">
        <v>45</v>
      </c>
      <c r="D55" s="2" t="s">
        <v>132</v>
      </c>
      <c r="E55" s="50" t="s">
        <v>54</v>
      </c>
      <c r="F55" s="63" t="s">
        <v>55</v>
      </c>
      <c r="G55" s="171" t="s">
        <v>135</v>
      </c>
      <c r="H55" s="3">
        <v>1</v>
      </c>
      <c r="I55" s="32">
        <v>1</v>
      </c>
      <c r="J55" s="28">
        <v>46034</v>
      </c>
      <c r="K55" s="29">
        <v>46142</v>
      </c>
      <c r="L55" s="6">
        <v>75</v>
      </c>
      <c r="M55" s="7">
        <v>300</v>
      </c>
      <c r="N55" s="7">
        <v>6920</v>
      </c>
      <c r="O55" s="8">
        <v>2076000</v>
      </c>
      <c r="P55" s="30">
        <v>20</v>
      </c>
      <c r="Q55" s="31" t="s">
        <v>92</v>
      </c>
      <c r="R55" s="27" t="s">
        <v>136</v>
      </c>
      <c r="S55" s="17" t="s">
        <v>542</v>
      </c>
    </row>
    <row r="56" spans="1:19" x14ac:dyDescent="0.3">
      <c r="A56" s="1"/>
      <c r="B56" s="13">
        <v>51</v>
      </c>
      <c r="C56" s="12" t="s">
        <v>45</v>
      </c>
      <c r="D56" s="2" t="s">
        <v>132</v>
      </c>
      <c r="E56" s="50" t="s">
        <v>54</v>
      </c>
      <c r="F56" s="63" t="s">
        <v>102</v>
      </c>
      <c r="G56" s="171" t="s">
        <v>133</v>
      </c>
      <c r="H56" s="3">
        <v>2</v>
      </c>
      <c r="I56" s="32">
        <v>0</v>
      </c>
      <c r="J56" s="28">
        <v>46141</v>
      </c>
      <c r="K56" s="29">
        <v>46273</v>
      </c>
      <c r="L56" s="6">
        <v>88</v>
      </c>
      <c r="M56" s="7">
        <v>350</v>
      </c>
      <c r="N56" s="7">
        <v>6240</v>
      </c>
      <c r="O56" s="8">
        <v>2184000</v>
      </c>
      <c r="P56" s="30">
        <v>20</v>
      </c>
      <c r="Q56" s="31" t="s">
        <v>92</v>
      </c>
      <c r="R56" s="27" t="s">
        <v>134</v>
      </c>
      <c r="S56" s="17" t="s">
        <v>543</v>
      </c>
    </row>
    <row r="57" spans="1:19" x14ac:dyDescent="0.3">
      <c r="A57" s="1"/>
      <c r="B57" s="13">
        <v>52</v>
      </c>
      <c r="C57" s="12" t="s">
        <v>45</v>
      </c>
      <c r="D57" s="2" t="s">
        <v>132</v>
      </c>
      <c r="E57" s="50" t="s">
        <v>54</v>
      </c>
      <c r="F57" s="63" t="s">
        <v>102</v>
      </c>
      <c r="G57" s="171" t="s">
        <v>135</v>
      </c>
      <c r="H57" s="3">
        <v>2</v>
      </c>
      <c r="I57" s="32">
        <v>0</v>
      </c>
      <c r="J57" s="28">
        <v>46153</v>
      </c>
      <c r="K57" s="29">
        <v>46262</v>
      </c>
      <c r="L57" s="6">
        <v>75</v>
      </c>
      <c r="M57" s="7">
        <v>300</v>
      </c>
      <c r="N57" s="7">
        <v>6920</v>
      </c>
      <c r="O57" s="8">
        <v>2076000</v>
      </c>
      <c r="P57" s="30">
        <v>20</v>
      </c>
      <c r="Q57" s="31" t="s">
        <v>92</v>
      </c>
      <c r="R57" s="27" t="s">
        <v>136</v>
      </c>
      <c r="S57" s="17" t="s">
        <v>542</v>
      </c>
    </row>
    <row r="58" spans="1:19" x14ac:dyDescent="0.3">
      <c r="A58" s="1"/>
      <c r="B58" s="13">
        <v>53</v>
      </c>
      <c r="C58" s="12" t="s">
        <v>45</v>
      </c>
      <c r="D58" s="2" t="s">
        <v>132</v>
      </c>
      <c r="E58" s="50" t="s">
        <v>52</v>
      </c>
      <c r="F58" s="63" t="s">
        <v>46</v>
      </c>
      <c r="G58" s="171" t="s">
        <v>137</v>
      </c>
      <c r="H58" s="3">
        <v>1</v>
      </c>
      <c r="I58" s="32">
        <v>4</v>
      </c>
      <c r="J58" s="28">
        <v>46055</v>
      </c>
      <c r="K58" s="29">
        <v>46163</v>
      </c>
      <c r="L58" s="6">
        <v>73</v>
      </c>
      <c r="M58" s="7">
        <v>290</v>
      </c>
      <c r="N58" s="7">
        <v>5620</v>
      </c>
      <c r="O58" s="8">
        <v>1629800</v>
      </c>
      <c r="P58" s="30">
        <v>20</v>
      </c>
      <c r="Q58" s="31" t="s">
        <v>56</v>
      </c>
      <c r="R58" s="27" t="s">
        <v>138</v>
      </c>
      <c r="S58" s="17" t="s">
        <v>542</v>
      </c>
    </row>
    <row r="59" spans="1:19" x14ac:dyDescent="0.3">
      <c r="A59" s="1"/>
      <c r="B59" s="13">
        <v>54</v>
      </c>
      <c r="C59" s="12" t="s">
        <v>45</v>
      </c>
      <c r="D59" s="2" t="s">
        <v>132</v>
      </c>
      <c r="E59" s="50" t="s">
        <v>52</v>
      </c>
      <c r="F59" s="63" t="s">
        <v>53</v>
      </c>
      <c r="G59" s="171" t="s">
        <v>139</v>
      </c>
      <c r="H59" s="3">
        <v>1</v>
      </c>
      <c r="I59" s="32">
        <v>4</v>
      </c>
      <c r="J59" s="28">
        <v>46097</v>
      </c>
      <c r="K59" s="29">
        <v>46197</v>
      </c>
      <c r="L59" s="6">
        <v>70</v>
      </c>
      <c r="M59" s="7">
        <v>280</v>
      </c>
      <c r="N59" s="7">
        <v>6820</v>
      </c>
      <c r="O59" s="8">
        <v>1909600</v>
      </c>
      <c r="P59" s="30">
        <v>20</v>
      </c>
      <c r="Q59" s="31" t="s">
        <v>56</v>
      </c>
      <c r="R59" s="27" t="s">
        <v>140</v>
      </c>
      <c r="S59" s="17" t="s">
        <v>543</v>
      </c>
    </row>
    <row r="60" spans="1:19" x14ac:dyDescent="0.3">
      <c r="A60" s="1"/>
      <c r="B60" s="13">
        <v>55</v>
      </c>
      <c r="C60" s="12" t="s">
        <v>45</v>
      </c>
      <c r="D60" s="2" t="s">
        <v>132</v>
      </c>
      <c r="E60" s="2" t="s">
        <v>52</v>
      </c>
      <c r="F60" s="23" t="s">
        <v>55</v>
      </c>
      <c r="G60" s="171" t="s">
        <v>272</v>
      </c>
      <c r="H60" s="3">
        <v>1</v>
      </c>
      <c r="I60" s="32">
        <v>4</v>
      </c>
      <c r="J60" s="28">
        <v>46267</v>
      </c>
      <c r="K60" s="29">
        <v>46377</v>
      </c>
      <c r="L60" s="6">
        <v>75</v>
      </c>
      <c r="M60" s="7">
        <v>300</v>
      </c>
      <c r="N60" s="7">
        <v>6920</v>
      </c>
      <c r="O60" s="8">
        <f t="shared" ref="O60" si="3">M60*N60</f>
        <v>2076000</v>
      </c>
      <c r="P60" s="30">
        <v>20</v>
      </c>
      <c r="Q60" s="31" t="s">
        <v>74</v>
      </c>
      <c r="R60" s="27" t="s">
        <v>541</v>
      </c>
      <c r="S60" s="17" t="s">
        <v>542</v>
      </c>
    </row>
    <row r="61" spans="1:19" x14ac:dyDescent="0.3">
      <c r="A61" s="1"/>
      <c r="B61" s="13">
        <v>56</v>
      </c>
      <c r="C61" s="12" t="s">
        <v>36</v>
      </c>
      <c r="D61" s="2" t="s">
        <v>141</v>
      </c>
      <c r="E61" s="2" t="s">
        <v>20</v>
      </c>
      <c r="F61" s="23" t="s">
        <v>29</v>
      </c>
      <c r="G61" s="171" t="s">
        <v>142</v>
      </c>
      <c r="H61" s="3">
        <v>1</v>
      </c>
      <c r="I61" s="32">
        <v>4</v>
      </c>
      <c r="J61" s="28">
        <v>46314</v>
      </c>
      <c r="K61" s="29">
        <v>46395</v>
      </c>
      <c r="L61" s="6">
        <v>58</v>
      </c>
      <c r="M61" s="7">
        <v>290</v>
      </c>
      <c r="N61" s="7">
        <v>5620</v>
      </c>
      <c r="O61" s="8">
        <f t="shared" ref="O61:O63" si="4">M61*N61</f>
        <v>1629800</v>
      </c>
      <c r="P61" s="30">
        <v>12</v>
      </c>
      <c r="Q61" s="31" t="s">
        <v>143</v>
      </c>
      <c r="R61" s="27" t="s">
        <v>144</v>
      </c>
      <c r="S61" s="17"/>
    </row>
    <row r="62" spans="1:19" x14ac:dyDescent="0.3">
      <c r="A62" s="1"/>
      <c r="B62" s="13">
        <v>57</v>
      </c>
      <c r="C62" s="12" t="s">
        <v>36</v>
      </c>
      <c r="D62" s="2" t="s">
        <v>141</v>
      </c>
      <c r="E62" s="2" t="s">
        <v>19</v>
      </c>
      <c r="F62" s="23" t="s">
        <v>29</v>
      </c>
      <c r="G62" s="171" t="s">
        <v>145</v>
      </c>
      <c r="H62" s="3">
        <v>1</v>
      </c>
      <c r="I62" s="32">
        <v>0</v>
      </c>
      <c r="J62" s="28">
        <v>46097</v>
      </c>
      <c r="K62" s="29">
        <v>46286</v>
      </c>
      <c r="L62" s="6">
        <v>132</v>
      </c>
      <c r="M62" s="7">
        <v>660</v>
      </c>
      <c r="N62" s="7">
        <v>5620</v>
      </c>
      <c r="O62" s="8">
        <f t="shared" si="4"/>
        <v>3709200</v>
      </c>
      <c r="P62" s="30">
        <v>20</v>
      </c>
      <c r="Q62" s="31" t="s">
        <v>128</v>
      </c>
      <c r="R62" s="27" t="s">
        <v>144</v>
      </c>
      <c r="S62" s="17"/>
    </row>
    <row r="63" spans="1:19" x14ac:dyDescent="0.3">
      <c r="A63" s="1"/>
      <c r="B63" s="13">
        <v>58</v>
      </c>
      <c r="C63" s="12" t="s">
        <v>36</v>
      </c>
      <c r="D63" s="2" t="s">
        <v>147</v>
      </c>
      <c r="E63" s="2" t="s">
        <v>52</v>
      </c>
      <c r="F63" s="23" t="s">
        <v>65</v>
      </c>
      <c r="G63" s="23" t="s">
        <v>148</v>
      </c>
      <c r="H63" s="3">
        <v>1</v>
      </c>
      <c r="I63" s="32">
        <v>4</v>
      </c>
      <c r="J63" s="28">
        <v>46097</v>
      </c>
      <c r="K63" s="29">
        <v>46176</v>
      </c>
      <c r="L63" s="6">
        <v>56</v>
      </c>
      <c r="M63" s="7">
        <v>280</v>
      </c>
      <c r="N63" s="7">
        <v>6240</v>
      </c>
      <c r="O63" s="8">
        <f t="shared" si="4"/>
        <v>1747200</v>
      </c>
      <c r="P63" s="30">
        <v>20</v>
      </c>
      <c r="Q63" s="31" t="s">
        <v>62</v>
      </c>
      <c r="R63" s="27" t="s">
        <v>149</v>
      </c>
      <c r="S63" s="17" t="s">
        <v>273</v>
      </c>
    </row>
    <row r="64" spans="1:19" x14ac:dyDescent="0.3">
      <c r="A64" s="1"/>
      <c r="B64" s="13">
        <v>59</v>
      </c>
      <c r="C64" s="12" t="s">
        <v>45</v>
      </c>
      <c r="D64" s="2" t="s">
        <v>150</v>
      </c>
      <c r="E64" s="2" t="s">
        <v>18</v>
      </c>
      <c r="F64" s="23" t="s">
        <v>151</v>
      </c>
      <c r="G64" s="23" t="s">
        <v>152</v>
      </c>
      <c r="H64" s="3">
        <v>1</v>
      </c>
      <c r="I64" s="32">
        <v>0</v>
      </c>
      <c r="J64" s="28">
        <v>46155</v>
      </c>
      <c r="K64" s="29">
        <v>46377</v>
      </c>
      <c r="L64" s="6">
        <v>152</v>
      </c>
      <c r="M64" s="7">
        <v>910</v>
      </c>
      <c r="N64" s="7">
        <v>7290</v>
      </c>
      <c r="O64" s="8">
        <v>6633900</v>
      </c>
      <c r="P64" s="30">
        <v>20</v>
      </c>
      <c r="Q64" s="31" t="s">
        <v>153</v>
      </c>
      <c r="R64" s="27" t="s">
        <v>154</v>
      </c>
      <c r="S64" s="17"/>
    </row>
    <row r="65" spans="1:26" x14ac:dyDescent="0.3">
      <c r="A65" s="1"/>
      <c r="B65" s="13">
        <v>60</v>
      </c>
      <c r="C65" s="12" t="s">
        <v>36</v>
      </c>
      <c r="D65" s="2" t="s">
        <v>157</v>
      </c>
      <c r="E65" s="2" t="s">
        <v>52</v>
      </c>
      <c r="F65" s="23" t="s">
        <v>83</v>
      </c>
      <c r="G65" s="23" t="s">
        <v>158</v>
      </c>
      <c r="H65" s="3">
        <v>1</v>
      </c>
      <c r="I65" s="32" t="s">
        <v>100</v>
      </c>
      <c r="J65" s="28">
        <v>46086</v>
      </c>
      <c r="K65" s="29">
        <v>46171</v>
      </c>
      <c r="L65" s="6">
        <v>60</v>
      </c>
      <c r="M65" s="7">
        <v>300</v>
      </c>
      <c r="N65" s="7">
        <v>6240</v>
      </c>
      <c r="O65" s="8">
        <f t="shared" ref="O65:O66" si="5">M65*N65</f>
        <v>1872000</v>
      </c>
      <c r="P65" s="30">
        <v>20</v>
      </c>
      <c r="Q65" s="31" t="s">
        <v>62</v>
      </c>
      <c r="R65" s="27" t="s">
        <v>159</v>
      </c>
      <c r="S65" s="17"/>
    </row>
    <row r="66" spans="1:26" x14ac:dyDescent="0.3">
      <c r="A66" s="1"/>
      <c r="B66" s="13">
        <v>61</v>
      </c>
      <c r="C66" s="12" t="s">
        <v>36</v>
      </c>
      <c r="D66" s="2" t="s">
        <v>157</v>
      </c>
      <c r="E66" s="2" t="s">
        <v>52</v>
      </c>
      <c r="F66" s="23" t="s">
        <v>63</v>
      </c>
      <c r="G66" s="23" t="s">
        <v>160</v>
      </c>
      <c r="H66" s="3">
        <v>1</v>
      </c>
      <c r="I66" s="32">
        <v>4</v>
      </c>
      <c r="J66" s="28">
        <v>46086</v>
      </c>
      <c r="K66" s="29">
        <v>46164</v>
      </c>
      <c r="L66" s="6">
        <v>56</v>
      </c>
      <c r="M66" s="7">
        <v>280</v>
      </c>
      <c r="N66" s="7">
        <v>6820</v>
      </c>
      <c r="O66" s="8">
        <f t="shared" si="5"/>
        <v>1909600</v>
      </c>
      <c r="P66" s="30">
        <v>20</v>
      </c>
      <c r="Q66" s="31" t="s">
        <v>77</v>
      </c>
      <c r="R66" s="27" t="s">
        <v>161</v>
      </c>
      <c r="S66" s="17"/>
    </row>
    <row r="67" spans="1:26" x14ac:dyDescent="0.3">
      <c r="A67" s="1"/>
      <c r="B67" s="13">
        <v>62</v>
      </c>
      <c r="C67" s="12" t="s">
        <v>36</v>
      </c>
      <c r="D67" s="2" t="s">
        <v>157</v>
      </c>
      <c r="E67" s="2" t="s">
        <v>52</v>
      </c>
      <c r="F67" s="23" t="s">
        <v>83</v>
      </c>
      <c r="G67" s="23" t="s">
        <v>158</v>
      </c>
      <c r="H67" s="3">
        <v>2</v>
      </c>
      <c r="I67" s="32" t="s">
        <v>100</v>
      </c>
      <c r="J67" s="28">
        <v>46310</v>
      </c>
      <c r="K67" s="29">
        <v>46395</v>
      </c>
      <c r="L67" s="6">
        <v>60</v>
      </c>
      <c r="M67" s="7">
        <v>300</v>
      </c>
      <c r="N67" s="7">
        <v>6240</v>
      </c>
      <c r="O67" s="8">
        <f>M67*N67</f>
        <v>1872000</v>
      </c>
      <c r="P67" s="30">
        <v>20</v>
      </c>
      <c r="Q67" s="31" t="s">
        <v>62</v>
      </c>
      <c r="R67" s="27" t="s">
        <v>159</v>
      </c>
      <c r="S67" s="17"/>
    </row>
    <row r="68" spans="1:26" x14ac:dyDescent="0.3">
      <c r="A68" s="1"/>
      <c r="B68" s="13">
        <v>63</v>
      </c>
      <c r="C68" s="12" t="s">
        <v>36</v>
      </c>
      <c r="D68" s="2" t="s">
        <v>162</v>
      </c>
      <c r="E68" s="2" t="s">
        <v>20</v>
      </c>
      <c r="F68" s="23" t="s">
        <v>43</v>
      </c>
      <c r="G68" s="23" t="s">
        <v>163</v>
      </c>
      <c r="H68" s="3">
        <v>1</v>
      </c>
      <c r="I68" s="32">
        <v>4</v>
      </c>
      <c r="J68" s="28">
        <v>46097</v>
      </c>
      <c r="K68" s="29">
        <v>46189</v>
      </c>
      <c r="L68" s="6">
        <v>64</v>
      </c>
      <c r="M68" s="7">
        <v>320</v>
      </c>
      <c r="N68" s="7">
        <v>6920</v>
      </c>
      <c r="O68" s="8">
        <f t="shared" ref="O68" si="6">M68*N68</f>
        <v>2214400</v>
      </c>
      <c r="P68" s="30">
        <v>20</v>
      </c>
      <c r="Q68" s="31" t="s">
        <v>69</v>
      </c>
      <c r="R68" s="27" t="s">
        <v>75</v>
      </c>
      <c r="S68" s="17"/>
    </row>
    <row r="69" spans="1:26" x14ac:dyDescent="0.3">
      <c r="A69" s="1"/>
      <c r="B69" s="13">
        <v>64</v>
      </c>
      <c r="C69" s="12" t="s">
        <v>36</v>
      </c>
      <c r="D69" s="2" t="s">
        <v>167</v>
      </c>
      <c r="E69" s="2" t="s">
        <v>54</v>
      </c>
      <c r="F69" s="23" t="s">
        <v>222</v>
      </c>
      <c r="G69" s="23" t="s">
        <v>223</v>
      </c>
      <c r="H69" s="3">
        <v>2</v>
      </c>
      <c r="I69" s="32">
        <v>0</v>
      </c>
      <c r="J69" s="28">
        <v>46085</v>
      </c>
      <c r="K69" s="29">
        <v>46262</v>
      </c>
      <c r="L69" s="18">
        <v>125</v>
      </c>
      <c r="M69" s="19">
        <v>500</v>
      </c>
      <c r="N69" s="19">
        <v>6620</v>
      </c>
      <c r="O69" s="20">
        <v>3310000</v>
      </c>
      <c r="P69" s="30">
        <v>11</v>
      </c>
      <c r="Q69" s="31" t="s">
        <v>50</v>
      </c>
      <c r="R69" s="27" t="s">
        <v>274</v>
      </c>
      <c r="S69" s="17"/>
    </row>
    <row r="70" spans="1:26" x14ac:dyDescent="0.3">
      <c r="A70" s="1"/>
      <c r="B70" s="13">
        <v>65</v>
      </c>
      <c r="C70" s="12" t="s">
        <v>36</v>
      </c>
      <c r="D70" s="2" t="s">
        <v>167</v>
      </c>
      <c r="E70" s="2" t="s">
        <v>52</v>
      </c>
      <c r="F70" s="23" t="s">
        <v>29</v>
      </c>
      <c r="G70" s="23" t="s">
        <v>224</v>
      </c>
      <c r="H70" s="3">
        <v>1</v>
      </c>
      <c r="I70" s="32">
        <v>4</v>
      </c>
      <c r="J70" s="28">
        <v>46132</v>
      </c>
      <c r="K70" s="29">
        <v>46232</v>
      </c>
      <c r="L70" s="18">
        <v>70</v>
      </c>
      <c r="M70" s="19">
        <v>280</v>
      </c>
      <c r="N70" s="19">
        <v>5620</v>
      </c>
      <c r="O70" s="20">
        <v>1573600</v>
      </c>
      <c r="P70" s="30">
        <v>18</v>
      </c>
      <c r="Q70" s="31" t="s">
        <v>153</v>
      </c>
      <c r="R70" s="27" t="s">
        <v>275</v>
      </c>
      <c r="S70" s="17"/>
    </row>
    <row r="71" spans="1:26" x14ac:dyDescent="0.3">
      <c r="A71" s="1"/>
      <c r="B71" s="13">
        <v>66</v>
      </c>
      <c r="C71" s="12" t="s">
        <v>36</v>
      </c>
      <c r="D71" s="2" t="s">
        <v>167</v>
      </c>
      <c r="E71" s="2" t="s">
        <v>52</v>
      </c>
      <c r="F71" s="23" t="s">
        <v>209</v>
      </c>
      <c r="G71" s="23" t="s">
        <v>226</v>
      </c>
      <c r="H71" s="3">
        <v>1</v>
      </c>
      <c r="I71" s="39" t="s">
        <v>87</v>
      </c>
      <c r="J71" s="28">
        <v>46184</v>
      </c>
      <c r="K71" s="29">
        <v>46339</v>
      </c>
      <c r="L71" s="18">
        <v>70</v>
      </c>
      <c r="M71" s="19">
        <v>280</v>
      </c>
      <c r="N71" s="19">
        <v>6820</v>
      </c>
      <c r="O71" s="20">
        <v>1909600</v>
      </c>
      <c r="P71" s="30">
        <v>23</v>
      </c>
      <c r="Q71" s="31" t="s">
        <v>50</v>
      </c>
      <c r="R71" s="27" t="s">
        <v>276</v>
      </c>
      <c r="S71" s="17"/>
    </row>
    <row r="72" spans="1:26" x14ac:dyDescent="0.3">
      <c r="A72" s="1"/>
      <c r="B72" s="13">
        <v>67</v>
      </c>
      <c r="C72" s="12" t="s">
        <v>36</v>
      </c>
      <c r="D72" s="2" t="s">
        <v>167</v>
      </c>
      <c r="E72" s="2" t="s">
        <v>52</v>
      </c>
      <c r="F72" s="23" t="s">
        <v>63</v>
      </c>
      <c r="G72" s="23" t="s">
        <v>225</v>
      </c>
      <c r="H72" s="3">
        <v>1</v>
      </c>
      <c r="I72" s="39" t="s">
        <v>87</v>
      </c>
      <c r="J72" s="28">
        <v>46237</v>
      </c>
      <c r="K72" s="29">
        <v>46339</v>
      </c>
      <c r="L72" s="18">
        <v>70</v>
      </c>
      <c r="M72" s="19">
        <v>280</v>
      </c>
      <c r="N72" s="19">
        <v>6620</v>
      </c>
      <c r="O72" s="20">
        <v>1853600</v>
      </c>
      <c r="P72" s="30">
        <v>18</v>
      </c>
      <c r="Q72" s="31" t="s">
        <v>153</v>
      </c>
      <c r="R72" s="27" t="s">
        <v>277</v>
      </c>
      <c r="S72" s="17"/>
    </row>
    <row r="73" spans="1:26" x14ac:dyDescent="0.3">
      <c r="A73" s="1"/>
      <c r="B73" s="13">
        <v>68</v>
      </c>
      <c r="C73" s="12" t="s">
        <v>36</v>
      </c>
      <c r="D73" s="2" t="s">
        <v>164</v>
      </c>
      <c r="E73" s="2" t="s">
        <v>20</v>
      </c>
      <c r="F73" s="23" t="s">
        <v>43</v>
      </c>
      <c r="G73" s="23" t="s">
        <v>165</v>
      </c>
      <c r="H73" s="3">
        <v>1</v>
      </c>
      <c r="I73" s="32">
        <v>4</v>
      </c>
      <c r="J73" s="28">
        <v>46090</v>
      </c>
      <c r="K73" s="29">
        <v>46183</v>
      </c>
      <c r="L73" s="6">
        <v>64</v>
      </c>
      <c r="M73" s="7">
        <v>320</v>
      </c>
      <c r="N73" s="7">
        <v>6920</v>
      </c>
      <c r="O73" s="8">
        <v>2214400</v>
      </c>
      <c r="P73" s="30">
        <v>20</v>
      </c>
      <c r="Q73" s="31" t="s">
        <v>47</v>
      </c>
      <c r="R73" s="27" t="s">
        <v>278</v>
      </c>
      <c r="S73" s="17"/>
    </row>
    <row r="74" spans="1:26" x14ac:dyDescent="0.3">
      <c r="A74" s="1"/>
      <c r="B74" s="13">
        <v>69</v>
      </c>
      <c r="C74" s="12" t="s">
        <v>36</v>
      </c>
      <c r="D74" s="2" t="s">
        <v>164</v>
      </c>
      <c r="E74" s="2" t="s">
        <v>20</v>
      </c>
      <c r="F74" s="23" t="s">
        <v>63</v>
      </c>
      <c r="G74" s="23" t="s">
        <v>166</v>
      </c>
      <c r="H74" s="3">
        <v>1</v>
      </c>
      <c r="I74" s="32">
        <v>4</v>
      </c>
      <c r="J74" s="28">
        <v>46125</v>
      </c>
      <c r="K74" s="29">
        <v>46206</v>
      </c>
      <c r="L74" s="6">
        <v>56</v>
      </c>
      <c r="M74" s="7">
        <v>280</v>
      </c>
      <c r="N74" s="7">
        <v>6820</v>
      </c>
      <c r="O74" s="8">
        <v>1909600</v>
      </c>
      <c r="P74" s="30">
        <v>20</v>
      </c>
      <c r="Q74" s="31" t="s">
        <v>47</v>
      </c>
      <c r="R74" s="27" t="s">
        <v>279</v>
      </c>
      <c r="S74" s="17"/>
    </row>
    <row r="75" spans="1:26" x14ac:dyDescent="0.3">
      <c r="A75" s="1"/>
      <c r="B75" s="13">
        <v>70</v>
      </c>
      <c r="C75" s="12" t="s">
        <v>36</v>
      </c>
      <c r="D75" s="2" t="s">
        <v>164</v>
      </c>
      <c r="E75" s="2" t="s">
        <v>20</v>
      </c>
      <c r="F75" s="23" t="s">
        <v>43</v>
      </c>
      <c r="G75" s="23" t="s">
        <v>165</v>
      </c>
      <c r="H75" s="3">
        <v>2</v>
      </c>
      <c r="I75" s="32">
        <v>3</v>
      </c>
      <c r="J75" s="28">
        <v>46307</v>
      </c>
      <c r="K75" s="29">
        <v>46398</v>
      </c>
      <c r="L75" s="6">
        <v>64</v>
      </c>
      <c r="M75" s="7">
        <v>320</v>
      </c>
      <c r="N75" s="7">
        <v>6920</v>
      </c>
      <c r="O75" s="8">
        <v>2214400</v>
      </c>
      <c r="P75" s="30">
        <v>20</v>
      </c>
      <c r="Q75" s="31" t="s">
        <v>47</v>
      </c>
      <c r="R75" s="27" t="s">
        <v>278</v>
      </c>
      <c r="S75" s="61"/>
    </row>
    <row r="76" spans="1:26" ht="17.25" thickBot="1" x14ac:dyDescent="0.35">
      <c r="A76" s="1"/>
      <c r="B76" s="13">
        <v>71</v>
      </c>
      <c r="C76" s="40" t="s">
        <v>168</v>
      </c>
      <c r="D76" s="4" t="s">
        <v>37</v>
      </c>
      <c r="E76" s="4" t="s">
        <v>19</v>
      </c>
      <c r="F76" s="122" t="s">
        <v>169</v>
      </c>
      <c r="G76" s="122" t="s">
        <v>170</v>
      </c>
      <c r="H76" s="5">
        <v>1</v>
      </c>
      <c r="I76" s="41">
        <v>0</v>
      </c>
      <c r="J76" s="42">
        <v>46246</v>
      </c>
      <c r="K76" s="43">
        <v>46440</v>
      </c>
      <c r="L76" s="9">
        <v>130</v>
      </c>
      <c r="M76" s="10">
        <v>780</v>
      </c>
      <c r="N76" s="10">
        <v>6240</v>
      </c>
      <c r="O76" s="11">
        <f t="shared" ref="O76" si="7">M76*N76</f>
        <v>4867200</v>
      </c>
      <c r="P76" s="44">
        <v>20</v>
      </c>
      <c r="Q76" s="45" t="s">
        <v>77</v>
      </c>
      <c r="R76" s="46" t="s">
        <v>127</v>
      </c>
      <c r="S76" s="47" t="s">
        <v>171</v>
      </c>
    </row>
    <row r="77" spans="1:26" s="48" customFormat="1" x14ac:dyDescent="0.3">
      <c r="B77" s="13">
        <v>72</v>
      </c>
      <c r="C77" s="12" t="s">
        <v>173</v>
      </c>
      <c r="D77" s="2" t="s">
        <v>174</v>
      </c>
      <c r="E77" s="2" t="s">
        <v>18</v>
      </c>
      <c r="F77" s="23" t="s">
        <v>175</v>
      </c>
      <c r="G77" s="23" t="s">
        <v>280</v>
      </c>
      <c r="H77" s="3">
        <v>1</v>
      </c>
      <c r="I77" s="32">
        <v>0</v>
      </c>
      <c r="J77" s="28">
        <v>46246</v>
      </c>
      <c r="K77" s="29">
        <v>46440</v>
      </c>
      <c r="L77" s="6">
        <v>130</v>
      </c>
      <c r="M77" s="7">
        <v>780</v>
      </c>
      <c r="N77" s="7">
        <v>6240</v>
      </c>
      <c r="O77" s="8">
        <v>4867200</v>
      </c>
      <c r="P77" s="30">
        <v>20</v>
      </c>
      <c r="Q77" s="31" t="s">
        <v>281</v>
      </c>
      <c r="R77" s="27" t="s">
        <v>210</v>
      </c>
      <c r="S77" s="61" t="s">
        <v>282</v>
      </c>
      <c r="T77" s="62"/>
      <c r="U77" s="152" t="s">
        <v>537</v>
      </c>
      <c r="V77" s="62"/>
      <c r="W77" s="62"/>
      <c r="X77" s="62"/>
      <c r="Y77" s="62"/>
      <c r="Z77" s="62"/>
    </row>
    <row r="78" spans="1:26" s="48" customFormat="1" x14ac:dyDescent="0.3">
      <c r="B78" s="13">
        <v>73</v>
      </c>
      <c r="C78" s="12" t="s">
        <v>173</v>
      </c>
      <c r="D78" s="2" t="s">
        <v>174</v>
      </c>
      <c r="E78" s="2" t="s">
        <v>52</v>
      </c>
      <c r="F78" s="23" t="s">
        <v>175</v>
      </c>
      <c r="G78" s="23" t="s">
        <v>283</v>
      </c>
      <c r="H78" s="3">
        <v>1</v>
      </c>
      <c r="I78" s="32" t="s">
        <v>362</v>
      </c>
      <c r="J78" s="28">
        <v>46078</v>
      </c>
      <c r="K78" s="29">
        <v>46212</v>
      </c>
      <c r="L78" s="6">
        <v>93</v>
      </c>
      <c r="M78" s="7">
        <v>370</v>
      </c>
      <c r="N78" s="7">
        <v>6240</v>
      </c>
      <c r="O78" s="8">
        <v>2308800</v>
      </c>
      <c r="P78" s="30">
        <v>14</v>
      </c>
      <c r="Q78" s="31" t="s">
        <v>284</v>
      </c>
      <c r="R78" s="27" t="s">
        <v>210</v>
      </c>
      <c r="S78" s="61" t="s">
        <v>282</v>
      </c>
      <c r="T78" s="62"/>
      <c r="U78" s="154" t="s">
        <v>536</v>
      </c>
      <c r="V78" s="62"/>
      <c r="W78" s="62"/>
      <c r="X78" s="62"/>
      <c r="Y78" s="62"/>
      <c r="Z78" s="62"/>
    </row>
    <row r="79" spans="1:26" s="48" customFormat="1" x14ac:dyDescent="0.3">
      <c r="B79" s="13">
        <v>74</v>
      </c>
      <c r="C79" s="12" t="s">
        <v>173</v>
      </c>
      <c r="D79" s="2" t="s">
        <v>174</v>
      </c>
      <c r="E79" s="2" t="s">
        <v>285</v>
      </c>
      <c r="F79" s="23" t="s">
        <v>175</v>
      </c>
      <c r="G79" s="23" t="s">
        <v>286</v>
      </c>
      <c r="H79" s="3">
        <v>1</v>
      </c>
      <c r="I79" s="32">
        <v>0</v>
      </c>
      <c r="J79" s="28">
        <v>46098</v>
      </c>
      <c r="K79" s="29">
        <v>46419</v>
      </c>
      <c r="L79" s="6">
        <v>176</v>
      </c>
      <c r="M79" s="7">
        <v>1232</v>
      </c>
      <c r="N79" s="7">
        <v>6240</v>
      </c>
      <c r="O79" s="8">
        <v>7257600</v>
      </c>
      <c r="P79" s="30">
        <v>20</v>
      </c>
      <c r="Q79" s="31" t="s">
        <v>287</v>
      </c>
      <c r="R79" s="27" t="s">
        <v>288</v>
      </c>
      <c r="S79" s="61" t="s">
        <v>282</v>
      </c>
      <c r="T79" s="62"/>
      <c r="U79" s="155" t="s">
        <v>538</v>
      </c>
      <c r="V79" s="62"/>
      <c r="W79" s="62"/>
      <c r="X79" s="62"/>
      <c r="Y79" s="62"/>
      <c r="Z79" s="62"/>
    </row>
    <row r="80" spans="1:26" x14ac:dyDescent="0.3">
      <c r="B80" s="13">
        <v>75</v>
      </c>
      <c r="C80" s="49" t="s">
        <v>173</v>
      </c>
      <c r="D80" s="50" t="s">
        <v>178</v>
      </c>
      <c r="E80" s="50" t="s">
        <v>52</v>
      </c>
      <c r="F80" s="63" t="s">
        <v>175</v>
      </c>
      <c r="G80" s="63" t="s">
        <v>289</v>
      </c>
      <c r="H80" s="51">
        <v>1</v>
      </c>
      <c r="I80" s="52" t="s">
        <v>100</v>
      </c>
      <c r="J80" s="53"/>
      <c r="K80" s="54"/>
      <c r="L80" s="55">
        <v>97</v>
      </c>
      <c r="M80" s="56">
        <v>370</v>
      </c>
      <c r="N80" s="56">
        <v>6240</v>
      </c>
      <c r="O80" s="57">
        <v>2308800</v>
      </c>
      <c r="P80" s="58">
        <v>22</v>
      </c>
      <c r="Q80" s="59" t="s">
        <v>290</v>
      </c>
      <c r="R80" s="60" t="s">
        <v>291</v>
      </c>
      <c r="S80" s="61"/>
    </row>
    <row r="81" spans="2:19" x14ac:dyDescent="0.3">
      <c r="B81" s="13">
        <v>76</v>
      </c>
      <c r="C81" s="49" t="s">
        <v>173</v>
      </c>
      <c r="D81" s="50" t="s">
        <v>178</v>
      </c>
      <c r="E81" s="50" t="s">
        <v>18</v>
      </c>
      <c r="F81" s="63" t="s">
        <v>175</v>
      </c>
      <c r="G81" s="63" t="s">
        <v>292</v>
      </c>
      <c r="H81" s="51">
        <v>1</v>
      </c>
      <c r="I81" s="52">
        <v>0</v>
      </c>
      <c r="J81" s="53">
        <v>46104</v>
      </c>
      <c r="K81" s="54"/>
      <c r="L81" s="55">
        <v>174</v>
      </c>
      <c r="M81" s="56">
        <v>870</v>
      </c>
      <c r="N81" s="56">
        <v>6240</v>
      </c>
      <c r="O81" s="57">
        <v>5428800</v>
      </c>
      <c r="P81" s="58">
        <v>22</v>
      </c>
      <c r="Q81" s="59" t="s">
        <v>290</v>
      </c>
      <c r="R81" s="60" t="s">
        <v>291</v>
      </c>
      <c r="S81" s="61" t="s">
        <v>293</v>
      </c>
    </row>
    <row r="82" spans="2:19" x14ac:dyDescent="0.3">
      <c r="B82" s="13">
        <v>77</v>
      </c>
      <c r="C82" s="49" t="s">
        <v>173</v>
      </c>
      <c r="D82" s="50" t="s">
        <v>90</v>
      </c>
      <c r="E82" s="50" t="s">
        <v>18</v>
      </c>
      <c r="F82" s="63" t="s">
        <v>175</v>
      </c>
      <c r="G82" s="149" t="s">
        <v>294</v>
      </c>
      <c r="H82" s="51">
        <v>1</v>
      </c>
      <c r="I82" s="52">
        <v>0</v>
      </c>
      <c r="J82" s="53">
        <v>46331</v>
      </c>
      <c r="K82" s="54">
        <v>46660</v>
      </c>
      <c r="L82" s="55">
        <v>175</v>
      </c>
      <c r="M82" s="56">
        <v>870</v>
      </c>
      <c r="N82" s="56">
        <v>6240</v>
      </c>
      <c r="O82" s="57">
        <v>5428800</v>
      </c>
      <c r="P82" s="58">
        <v>20</v>
      </c>
      <c r="Q82" s="59" t="s">
        <v>51</v>
      </c>
      <c r="R82" s="60" t="s">
        <v>295</v>
      </c>
      <c r="S82" s="61"/>
    </row>
    <row r="83" spans="2:19" x14ac:dyDescent="0.3">
      <c r="B83" s="13">
        <v>78</v>
      </c>
      <c r="C83" s="49" t="s">
        <v>173</v>
      </c>
      <c r="D83" s="50" t="s">
        <v>90</v>
      </c>
      <c r="E83" s="50" t="s">
        <v>52</v>
      </c>
      <c r="F83" s="63" t="s">
        <v>175</v>
      </c>
      <c r="G83" s="150" t="s">
        <v>296</v>
      </c>
      <c r="H83" s="51">
        <v>1</v>
      </c>
      <c r="I83" s="52" t="s">
        <v>100</v>
      </c>
      <c r="J83" s="53">
        <v>46386</v>
      </c>
      <c r="K83" s="54">
        <v>46583</v>
      </c>
      <c r="L83" s="55">
        <v>125</v>
      </c>
      <c r="M83" s="56">
        <v>370</v>
      </c>
      <c r="N83" s="56">
        <v>6240</v>
      </c>
      <c r="O83" s="57">
        <v>2308800</v>
      </c>
      <c r="P83" s="58">
        <v>13</v>
      </c>
      <c r="Q83" s="59" t="s">
        <v>297</v>
      </c>
      <c r="R83" s="60" t="s">
        <v>298</v>
      </c>
      <c r="S83" s="61"/>
    </row>
    <row r="84" spans="2:19" x14ac:dyDescent="0.3">
      <c r="B84" s="13">
        <v>79</v>
      </c>
      <c r="C84" s="49" t="s">
        <v>173</v>
      </c>
      <c r="D84" s="50" t="s">
        <v>90</v>
      </c>
      <c r="E84" s="50" t="s">
        <v>52</v>
      </c>
      <c r="F84" s="63" t="s">
        <v>175</v>
      </c>
      <c r="G84" s="150" t="s">
        <v>299</v>
      </c>
      <c r="H84" s="51">
        <v>1</v>
      </c>
      <c r="I84" s="52" t="s">
        <v>100</v>
      </c>
      <c r="J84" s="53">
        <v>46127</v>
      </c>
      <c r="K84" s="54">
        <v>46327</v>
      </c>
      <c r="L84" s="55">
        <v>125</v>
      </c>
      <c r="M84" s="56">
        <v>370</v>
      </c>
      <c r="N84" s="56">
        <v>6240</v>
      </c>
      <c r="O84" s="57">
        <v>2308800</v>
      </c>
      <c r="P84" s="58">
        <v>13</v>
      </c>
      <c r="Q84" s="59" t="s">
        <v>51</v>
      </c>
      <c r="R84" s="60" t="s">
        <v>300</v>
      </c>
      <c r="S84" s="61"/>
    </row>
    <row r="85" spans="2:19" x14ac:dyDescent="0.3">
      <c r="B85" s="13">
        <v>80</v>
      </c>
      <c r="C85" s="49" t="s">
        <v>173</v>
      </c>
      <c r="D85" s="50" t="s">
        <v>90</v>
      </c>
      <c r="E85" s="50" t="s">
        <v>52</v>
      </c>
      <c r="F85" s="63" t="s">
        <v>175</v>
      </c>
      <c r="G85" s="150" t="s">
        <v>301</v>
      </c>
      <c r="H85" s="51">
        <v>1</v>
      </c>
      <c r="I85" s="52" t="s">
        <v>100</v>
      </c>
      <c r="J85" s="53">
        <v>46155</v>
      </c>
      <c r="K85" s="54">
        <v>46356</v>
      </c>
      <c r="L85" s="55">
        <v>125</v>
      </c>
      <c r="M85" s="56">
        <v>370</v>
      </c>
      <c r="N85" s="56">
        <v>6240</v>
      </c>
      <c r="O85" s="57">
        <v>2308800</v>
      </c>
      <c r="P85" s="58">
        <v>13</v>
      </c>
      <c r="Q85" s="59" t="s">
        <v>297</v>
      </c>
      <c r="R85" s="60" t="s">
        <v>302</v>
      </c>
      <c r="S85" s="61" t="s">
        <v>303</v>
      </c>
    </row>
    <row r="86" spans="2:19" x14ac:dyDescent="0.3">
      <c r="B86" s="13">
        <v>81</v>
      </c>
      <c r="C86" s="49" t="s">
        <v>173</v>
      </c>
      <c r="D86" s="50" t="s">
        <v>181</v>
      </c>
      <c r="E86" s="50" t="s">
        <v>18</v>
      </c>
      <c r="F86" s="63" t="s">
        <v>175</v>
      </c>
      <c r="G86" s="63" t="s">
        <v>304</v>
      </c>
      <c r="H86" s="51">
        <v>1</v>
      </c>
      <c r="I86" s="52">
        <v>0</v>
      </c>
      <c r="J86" s="53" t="s">
        <v>305</v>
      </c>
      <c r="K86" s="54" t="s">
        <v>306</v>
      </c>
      <c r="L86" s="55">
        <v>174</v>
      </c>
      <c r="M86" s="56">
        <v>870</v>
      </c>
      <c r="N86" s="56">
        <v>6240</v>
      </c>
      <c r="O86" s="57">
        <v>5428800</v>
      </c>
      <c r="P86" s="58">
        <v>20</v>
      </c>
      <c r="Q86" s="59" t="s">
        <v>287</v>
      </c>
      <c r="R86" s="60" t="s">
        <v>307</v>
      </c>
      <c r="S86" s="61"/>
    </row>
    <row r="87" spans="2:19" x14ac:dyDescent="0.3">
      <c r="B87" s="13">
        <v>82</v>
      </c>
      <c r="C87" s="49" t="s">
        <v>173</v>
      </c>
      <c r="D87" s="50" t="s">
        <v>181</v>
      </c>
      <c r="E87" s="50" t="s">
        <v>18</v>
      </c>
      <c r="F87" s="63" t="s">
        <v>175</v>
      </c>
      <c r="G87" s="63" t="s">
        <v>308</v>
      </c>
      <c r="H87" s="51">
        <v>1</v>
      </c>
      <c r="I87" s="52">
        <v>0</v>
      </c>
      <c r="J87" s="53" t="s">
        <v>309</v>
      </c>
      <c r="K87" s="54" t="s">
        <v>310</v>
      </c>
      <c r="L87" s="55">
        <v>174</v>
      </c>
      <c r="M87" s="56">
        <v>870</v>
      </c>
      <c r="N87" s="56">
        <v>6240</v>
      </c>
      <c r="O87" s="57">
        <v>5428800</v>
      </c>
      <c r="P87" s="58">
        <v>20</v>
      </c>
      <c r="Q87" s="59" t="s">
        <v>287</v>
      </c>
      <c r="R87" s="60" t="s">
        <v>311</v>
      </c>
      <c r="S87" s="61"/>
    </row>
    <row r="88" spans="2:19" x14ac:dyDescent="0.3">
      <c r="B88" s="13">
        <v>83</v>
      </c>
      <c r="C88" s="49" t="s">
        <v>173</v>
      </c>
      <c r="D88" s="50" t="s">
        <v>181</v>
      </c>
      <c r="E88" s="50" t="s">
        <v>52</v>
      </c>
      <c r="F88" s="63" t="s">
        <v>187</v>
      </c>
      <c r="G88" s="63" t="s">
        <v>312</v>
      </c>
      <c r="H88" s="51">
        <v>1</v>
      </c>
      <c r="I88" s="52" t="s">
        <v>100</v>
      </c>
      <c r="J88" s="53" t="s">
        <v>313</v>
      </c>
      <c r="K88" s="54" t="s">
        <v>314</v>
      </c>
      <c r="L88" s="55">
        <v>93</v>
      </c>
      <c r="M88" s="56">
        <v>370</v>
      </c>
      <c r="N88" s="56">
        <v>6240</v>
      </c>
      <c r="O88" s="57">
        <v>2308800</v>
      </c>
      <c r="P88" s="58">
        <v>15</v>
      </c>
      <c r="Q88" s="59" t="s">
        <v>50</v>
      </c>
      <c r="R88" s="60" t="s">
        <v>315</v>
      </c>
      <c r="S88" s="61"/>
    </row>
    <row r="89" spans="2:19" x14ac:dyDescent="0.3">
      <c r="B89" s="13">
        <v>84</v>
      </c>
      <c r="C89" s="49" t="s">
        <v>173</v>
      </c>
      <c r="D89" s="50" t="s">
        <v>181</v>
      </c>
      <c r="E89" s="50" t="s">
        <v>52</v>
      </c>
      <c r="F89" s="63" t="s">
        <v>187</v>
      </c>
      <c r="G89" s="63" t="s">
        <v>316</v>
      </c>
      <c r="H89" s="51">
        <v>1</v>
      </c>
      <c r="I89" s="52" t="s">
        <v>100</v>
      </c>
      <c r="J89" s="53" t="s">
        <v>317</v>
      </c>
      <c r="K89" s="54" t="s">
        <v>318</v>
      </c>
      <c r="L89" s="55">
        <v>93</v>
      </c>
      <c r="M89" s="56">
        <v>370</v>
      </c>
      <c r="N89" s="56">
        <v>6240</v>
      </c>
      <c r="O89" s="57">
        <v>2308800</v>
      </c>
      <c r="P89" s="58">
        <v>15</v>
      </c>
      <c r="Q89" s="59" t="s">
        <v>50</v>
      </c>
      <c r="R89" s="60" t="s">
        <v>315</v>
      </c>
      <c r="S89" s="61"/>
    </row>
    <row r="90" spans="2:19" x14ac:dyDescent="0.3">
      <c r="B90" s="13">
        <v>85</v>
      </c>
      <c r="C90" s="49" t="s">
        <v>173</v>
      </c>
      <c r="D90" s="50" t="s">
        <v>48</v>
      </c>
      <c r="E90" s="50" t="s">
        <v>52</v>
      </c>
      <c r="F90" s="63" t="s">
        <v>190</v>
      </c>
      <c r="G90" s="63" t="s">
        <v>191</v>
      </c>
      <c r="H90" s="51">
        <v>1</v>
      </c>
      <c r="I90" s="52" t="s">
        <v>100</v>
      </c>
      <c r="J90" s="53">
        <v>46082</v>
      </c>
      <c r="K90" s="54">
        <v>46387</v>
      </c>
      <c r="L90" s="55">
        <v>120</v>
      </c>
      <c r="M90" s="56">
        <v>320</v>
      </c>
      <c r="N90" s="56">
        <v>6240</v>
      </c>
      <c r="O90" s="57">
        <f t="shared" ref="O90:O91" si="8">M90*N90</f>
        <v>1996800</v>
      </c>
      <c r="P90" s="58">
        <v>10</v>
      </c>
      <c r="Q90" s="59" t="s">
        <v>319</v>
      </c>
      <c r="R90" s="60" t="s">
        <v>320</v>
      </c>
      <c r="S90" s="64"/>
    </row>
    <row r="91" spans="2:19" x14ac:dyDescent="0.3">
      <c r="B91" s="13">
        <v>86</v>
      </c>
      <c r="C91" s="49" t="s">
        <v>173</v>
      </c>
      <c r="D91" s="50" t="s">
        <v>48</v>
      </c>
      <c r="E91" s="50" t="s">
        <v>18</v>
      </c>
      <c r="F91" s="63" t="s">
        <v>190</v>
      </c>
      <c r="G91" s="63" t="s">
        <v>321</v>
      </c>
      <c r="H91" s="51">
        <v>1</v>
      </c>
      <c r="I91" s="52">
        <v>0</v>
      </c>
      <c r="J91" s="53">
        <v>46235</v>
      </c>
      <c r="K91" s="54">
        <v>46477</v>
      </c>
      <c r="L91" s="55">
        <v>145</v>
      </c>
      <c r="M91" s="56">
        <v>870</v>
      </c>
      <c r="N91" s="56">
        <v>6240</v>
      </c>
      <c r="O91" s="57">
        <f t="shared" si="8"/>
        <v>5428800</v>
      </c>
      <c r="P91" s="58">
        <v>20</v>
      </c>
      <c r="Q91" s="59" t="s">
        <v>319</v>
      </c>
      <c r="R91" s="60" t="s">
        <v>322</v>
      </c>
      <c r="S91" s="61"/>
    </row>
    <row r="92" spans="2:19" x14ac:dyDescent="0.3">
      <c r="B92" s="13">
        <v>87</v>
      </c>
      <c r="C92" s="49" t="s">
        <v>173</v>
      </c>
      <c r="D92" s="50" t="s">
        <v>110</v>
      </c>
      <c r="E92" s="50" t="s">
        <v>18</v>
      </c>
      <c r="F92" s="63" t="s">
        <v>187</v>
      </c>
      <c r="G92" s="63" t="s">
        <v>323</v>
      </c>
      <c r="H92" s="51">
        <v>1</v>
      </c>
      <c r="I92" s="52">
        <v>0</v>
      </c>
      <c r="J92" s="53">
        <v>46272</v>
      </c>
      <c r="K92" s="54">
        <v>46533</v>
      </c>
      <c r="L92" s="55">
        <v>145</v>
      </c>
      <c r="M92" s="56">
        <v>870</v>
      </c>
      <c r="N92" s="56">
        <v>6240</v>
      </c>
      <c r="O92" s="57">
        <v>5428800</v>
      </c>
      <c r="P92" s="58">
        <v>20</v>
      </c>
      <c r="Q92" s="59" t="s">
        <v>116</v>
      </c>
      <c r="R92" s="60" t="s">
        <v>324</v>
      </c>
      <c r="S92" s="61"/>
    </row>
    <row r="93" spans="2:19" x14ac:dyDescent="0.3">
      <c r="B93" s="13">
        <v>88</v>
      </c>
      <c r="C93" s="49" t="s">
        <v>173</v>
      </c>
      <c r="D93" s="50" t="s">
        <v>110</v>
      </c>
      <c r="E93" s="50" t="s">
        <v>52</v>
      </c>
      <c r="F93" s="63" t="s">
        <v>187</v>
      </c>
      <c r="G93" s="63" t="s">
        <v>325</v>
      </c>
      <c r="H93" s="51">
        <v>1</v>
      </c>
      <c r="I93" s="52" t="s">
        <v>100</v>
      </c>
      <c r="J93" s="53">
        <v>46272</v>
      </c>
      <c r="K93" s="54">
        <v>46435</v>
      </c>
      <c r="L93" s="55">
        <v>93</v>
      </c>
      <c r="M93" s="56">
        <v>370</v>
      </c>
      <c r="N93" s="56">
        <v>6240</v>
      </c>
      <c r="O93" s="57">
        <v>2308800</v>
      </c>
      <c r="P93" s="58">
        <v>10</v>
      </c>
      <c r="Q93" s="59" t="s">
        <v>287</v>
      </c>
      <c r="R93" s="60" t="s">
        <v>326</v>
      </c>
      <c r="S93" s="61"/>
    </row>
    <row r="94" spans="2:19" x14ac:dyDescent="0.3">
      <c r="B94" s="13">
        <v>89</v>
      </c>
      <c r="C94" s="49" t="s">
        <v>173</v>
      </c>
      <c r="D94" s="50" t="s">
        <v>327</v>
      </c>
      <c r="E94" s="50" t="s">
        <v>18</v>
      </c>
      <c r="F94" s="63" t="s">
        <v>175</v>
      </c>
      <c r="G94" s="63" t="s">
        <v>328</v>
      </c>
      <c r="H94" s="51">
        <v>1</v>
      </c>
      <c r="I94" s="52">
        <v>0</v>
      </c>
      <c r="J94" s="53">
        <v>46126</v>
      </c>
      <c r="K94" s="54">
        <v>46379</v>
      </c>
      <c r="L94" s="55">
        <v>174</v>
      </c>
      <c r="M94" s="56">
        <v>870</v>
      </c>
      <c r="N94" s="56">
        <v>6240</v>
      </c>
      <c r="O94" s="57">
        <v>5428800</v>
      </c>
      <c r="P94" s="58">
        <v>20</v>
      </c>
      <c r="Q94" s="59" t="s">
        <v>329</v>
      </c>
      <c r="R94" s="60" t="s">
        <v>330</v>
      </c>
      <c r="S94" s="61"/>
    </row>
    <row r="95" spans="2:19" x14ac:dyDescent="0.3">
      <c r="B95" s="13">
        <v>90</v>
      </c>
      <c r="C95" s="49" t="s">
        <v>173</v>
      </c>
      <c r="D95" s="50" t="s">
        <v>183</v>
      </c>
      <c r="E95" s="50" t="s">
        <v>18</v>
      </c>
      <c r="F95" s="63" t="s">
        <v>175</v>
      </c>
      <c r="G95" s="63" t="s">
        <v>331</v>
      </c>
      <c r="H95" s="51">
        <v>1</v>
      </c>
      <c r="I95" s="52">
        <v>0</v>
      </c>
      <c r="J95" s="53">
        <v>46154</v>
      </c>
      <c r="K95" s="54">
        <v>46462</v>
      </c>
      <c r="L95" s="55">
        <v>209</v>
      </c>
      <c r="M95" s="56">
        <v>870</v>
      </c>
      <c r="N95" s="56">
        <v>6240</v>
      </c>
      <c r="O95" s="57">
        <v>5428800</v>
      </c>
      <c r="P95" s="58">
        <v>20</v>
      </c>
      <c r="Q95" s="59" t="s">
        <v>332</v>
      </c>
      <c r="R95" s="60" t="s">
        <v>333</v>
      </c>
      <c r="S95" s="61"/>
    </row>
    <row r="96" spans="2:19" x14ac:dyDescent="0.3">
      <c r="B96" s="13">
        <v>91</v>
      </c>
      <c r="C96" s="49" t="s">
        <v>173</v>
      </c>
      <c r="D96" s="50" t="s">
        <v>183</v>
      </c>
      <c r="E96" s="50" t="s">
        <v>52</v>
      </c>
      <c r="F96" s="63" t="s">
        <v>175</v>
      </c>
      <c r="G96" s="63" t="s">
        <v>334</v>
      </c>
      <c r="H96" s="51">
        <v>1</v>
      </c>
      <c r="I96" s="52" t="s">
        <v>100</v>
      </c>
      <c r="J96" s="53">
        <v>46126</v>
      </c>
      <c r="K96" s="54">
        <v>46309</v>
      </c>
      <c r="L96" s="55">
        <v>124</v>
      </c>
      <c r="M96" s="56">
        <v>370</v>
      </c>
      <c r="N96" s="56">
        <v>6240</v>
      </c>
      <c r="O96" s="57">
        <v>2308800</v>
      </c>
      <c r="P96" s="58">
        <v>10</v>
      </c>
      <c r="Q96" s="59" t="s">
        <v>284</v>
      </c>
      <c r="R96" s="60" t="s">
        <v>335</v>
      </c>
      <c r="S96" s="61"/>
    </row>
    <row r="97" spans="2:20" x14ac:dyDescent="0.3">
      <c r="B97" s="13">
        <v>92</v>
      </c>
      <c r="C97" s="49" t="s">
        <v>336</v>
      </c>
      <c r="D97" s="50" t="s">
        <v>337</v>
      </c>
      <c r="E97" s="50" t="s">
        <v>338</v>
      </c>
      <c r="F97" s="63" t="s">
        <v>339</v>
      </c>
      <c r="G97" s="63" t="s">
        <v>192</v>
      </c>
      <c r="H97" s="51">
        <v>1</v>
      </c>
      <c r="I97" s="52">
        <v>4</v>
      </c>
      <c r="J97" s="53">
        <v>46372</v>
      </c>
      <c r="K97" s="54">
        <v>46643</v>
      </c>
      <c r="L97" s="55">
        <v>185</v>
      </c>
      <c r="M97" s="56">
        <v>370</v>
      </c>
      <c r="N97" s="56">
        <v>6240</v>
      </c>
      <c r="O97" s="57">
        <v>2308800</v>
      </c>
      <c r="P97" s="58">
        <v>10</v>
      </c>
      <c r="Q97" s="59" t="s">
        <v>284</v>
      </c>
      <c r="R97" s="60" t="s">
        <v>335</v>
      </c>
      <c r="S97" s="64" t="s">
        <v>340</v>
      </c>
    </row>
    <row r="98" spans="2:20" x14ac:dyDescent="0.3">
      <c r="B98" s="13">
        <v>93</v>
      </c>
      <c r="C98" s="49" t="s">
        <v>173</v>
      </c>
      <c r="D98" s="50" t="s">
        <v>341</v>
      </c>
      <c r="E98" s="50" t="s">
        <v>18</v>
      </c>
      <c r="F98" s="63" t="s">
        <v>175</v>
      </c>
      <c r="G98" s="63" t="s">
        <v>342</v>
      </c>
      <c r="H98" s="51">
        <v>1</v>
      </c>
      <c r="I98" s="52">
        <v>0</v>
      </c>
      <c r="J98" s="53">
        <v>46078</v>
      </c>
      <c r="K98" s="54">
        <v>46332</v>
      </c>
      <c r="L98" s="55">
        <v>174</v>
      </c>
      <c r="M98" s="56">
        <v>870</v>
      </c>
      <c r="N98" s="56">
        <v>6240</v>
      </c>
      <c r="O98" s="57">
        <v>5428800</v>
      </c>
      <c r="P98" s="58">
        <v>20</v>
      </c>
      <c r="Q98" s="59" t="s">
        <v>47</v>
      </c>
      <c r="R98" s="60" t="s">
        <v>343</v>
      </c>
      <c r="S98" s="61"/>
    </row>
    <row r="99" spans="2:20" x14ac:dyDescent="0.3">
      <c r="B99" s="13">
        <v>94</v>
      </c>
      <c r="C99" s="49" t="s">
        <v>173</v>
      </c>
      <c r="D99" s="50" t="s">
        <v>341</v>
      </c>
      <c r="E99" s="50" t="s">
        <v>52</v>
      </c>
      <c r="F99" s="63" t="s">
        <v>175</v>
      </c>
      <c r="G99" s="63" t="s">
        <v>344</v>
      </c>
      <c r="H99" s="51">
        <v>1</v>
      </c>
      <c r="I99" s="52" t="s">
        <v>100</v>
      </c>
      <c r="J99" s="53">
        <v>46050</v>
      </c>
      <c r="K99" s="54">
        <v>46161</v>
      </c>
      <c r="L99" s="55">
        <v>74</v>
      </c>
      <c r="M99" s="56">
        <v>370</v>
      </c>
      <c r="N99" s="56">
        <v>6240</v>
      </c>
      <c r="O99" s="57">
        <v>2308800</v>
      </c>
      <c r="P99" s="58">
        <v>14</v>
      </c>
      <c r="Q99" s="59" t="s">
        <v>297</v>
      </c>
      <c r="R99" s="60" t="s">
        <v>345</v>
      </c>
      <c r="S99" s="61"/>
    </row>
    <row r="100" spans="2:20" x14ac:dyDescent="0.3">
      <c r="B100" s="13">
        <v>95</v>
      </c>
      <c r="C100" s="49" t="s">
        <v>173</v>
      </c>
      <c r="D100" s="50" t="s">
        <v>341</v>
      </c>
      <c r="E100" s="50" t="s">
        <v>52</v>
      </c>
      <c r="F100" s="63" t="s">
        <v>175</v>
      </c>
      <c r="G100" s="63" t="s">
        <v>346</v>
      </c>
      <c r="H100" s="51">
        <v>1</v>
      </c>
      <c r="I100" s="52" t="s">
        <v>100</v>
      </c>
      <c r="J100" s="53">
        <v>46162</v>
      </c>
      <c r="K100" s="54">
        <v>46267</v>
      </c>
      <c r="L100" s="55">
        <v>74</v>
      </c>
      <c r="M100" s="56">
        <v>370</v>
      </c>
      <c r="N100" s="56">
        <v>6240</v>
      </c>
      <c r="O100" s="57">
        <v>2308800</v>
      </c>
      <c r="P100" s="58">
        <v>14</v>
      </c>
      <c r="Q100" s="59" t="s">
        <v>297</v>
      </c>
      <c r="R100" s="60" t="s">
        <v>345</v>
      </c>
      <c r="S100" s="61"/>
    </row>
    <row r="101" spans="2:20" x14ac:dyDescent="0.3">
      <c r="B101" s="13">
        <v>96</v>
      </c>
      <c r="C101" s="49" t="s">
        <v>173</v>
      </c>
      <c r="D101" s="50" t="s">
        <v>341</v>
      </c>
      <c r="E101" s="50" t="s">
        <v>52</v>
      </c>
      <c r="F101" s="63" t="s">
        <v>175</v>
      </c>
      <c r="G101" s="63" t="s">
        <v>344</v>
      </c>
      <c r="H101" s="51">
        <v>2</v>
      </c>
      <c r="I101" s="52" t="s">
        <v>100</v>
      </c>
      <c r="J101" s="53">
        <v>46274</v>
      </c>
      <c r="K101" s="54">
        <v>46384</v>
      </c>
      <c r="L101" s="55">
        <v>74</v>
      </c>
      <c r="M101" s="56">
        <v>370</v>
      </c>
      <c r="N101" s="56">
        <v>6240</v>
      </c>
      <c r="O101" s="57">
        <v>2308800</v>
      </c>
      <c r="P101" s="58">
        <v>14</v>
      </c>
      <c r="Q101" s="59" t="s">
        <v>297</v>
      </c>
      <c r="R101" s="60" t="s">
        <v>345</v>
      </c>
      <c r="S101" s="61"/>
    </row>
    <row r="102" spans="2:20" x14ac:dyDescent="0.3">
      <c r="B102" s="13">
        <v>97</v>
      </c>
      <c r="C102" s="49" t="s">
        <v>173</v>
      </c>
      <c r="D102" s="50" t="s">
        <v>184</v>
      </c>
      <c r="E102" s="50" t="s">
        <v>52</v>
      </c>
      <c r="F102" s="63" t="s">
        <v>175</v>
      </c>
      <c r="G102" s="63" t="s">
        <v>347</v>
      </c>
      <c r="H102" s="51">
        <v>1</v>
      </c>
      <c r="I102" s="52" t="s">
        <v>100</v>
      </c>
      <c r="J102" s="53">
        <v>46097</v>
      </c>
      <c r="K102" s="54">
        <v>46265</v>
      </c>
      <c r="L102" s="55">
        <v>93</v>
      </c>
      <c r="M102" s="56">
        <v>370</v>
      </c>
      <c r="N102" s="56">
        <v>6240</v>
      </c>
      <c r="O102" s="57">
        <v>2308800</v>
      </c>
      <c r="P102" s="58">
        <v>13</v>
      </c>
      <c r="Q102" s="59" t="s">
        <v>297</v>
      </c>
      <c r="R102" s="60" t="s">
        <v>348</v>
      </c>
      <c r="S102" s="61"/>
    </row>
    <row r="103" spans="2:20" x14ac:dyDescent="0.3">
      <c r="B103" s="13">
        <v>98</v>
      </c>
      <c r="C103" s="49" t="s">
        <v>173</v>
      </c>
      <c r="D103" s="50" t="s">
        <v>184</v>
      </c>
      <c r="E103" s="50" t="s">
        <v>18</v>
      </c>
      <c r="F103" s="63" t="s">
        <v>175</v>
      </c>
      <c r="G103" s="63" t="s">
        <v>349</v>
      </c>
      <c r="H103" s="51">
        <v>1</v>
      </c>
      <c r="I103" s="52">
        <v>0</v>
      </c>
      <c r="J103" s="53">
        <v>46134</v>
      </c>
      <c r="K103" s="54">
        <v>46324</v>
      </c>
      <c r="L103" s="55">
        <v>125</v>
      </c>
      <c r="M103" s="56">
        <v>870</v>
      </c>
      <c r="N103" s="56">
        <v>6240</v>
      </c>
      <c r="O103" s="57">
        <v>5428800</v>
      </c>
      <c r="P103" s="58">
        <v>20</v>
      </c>
      <c r="Q103" s="59" t="s">
        <v>47</v>
      </c>
      <c r="R103" s="60" t="s">
        <v>138</v>
      </c>
      <c r="S103" s="61"/>
    </row>
    <row r="104" spans="2:20" x14ac:dyDescent="0.3">
      <c r="B104" s="13">
        <v>99</v>
      </c>
      <c r="C104" s="49" t="s">
        <v>173</v>
      </c>
      <c r="D104" s="50" t="s">
        <v>185</v>
      </c>
      <c r="E104" s="50" t="s">
        <v>18</v>
      </c>
      <c r="F104" s="63" t="s">
        <v>175</v>
      </c>
      <c r="G104" s="63" t="s">
        <v>350</v>
      </c>
      <c r="H104" s="51">
        <v>1</v>
      </c>
      <c r="I104" s="52">
        <v>0</v>
      </c>
      <c r="J104" s="53">
        <v>46077</v>
      </c>
      <c r="K104" s="54">
        <v>46297</v>
      </c>
      <c r="L104" s="55">
        <v>147</v>
      </c>
      <c r="M104" s="56">
        <v>870</v>
      </c>
      <c r="N104" s="56">
        <v>6240</v>
      </c>
      <c r="O104" s="57">
        <v>5428800</v>
      </c>
      <c r="P104" s="58">
        <v>20</v>
      </c>
      <c r="Q104" s="59" t="s">
        <v>153</v>
      </c>
      <c r="R104" s="60" t="s">
        <v>351</v>
      </c>
      <c r="S104" s="61"/>
    </row>
    <row r="105" spans="2:20" x14ac:dyDescent="0.3">
      <c r="B105" s="13">
        <v>100</v>
      </c>
      <c r="C105" s="49" t="s">
        <v>173</v>
      </c>
      <c r="D105" s="50" t="s">
        <v>185</v>
      </c>
      <c r="E105" s="50" t="s">
        <v>52</v>
      </c>
      <c r="F105" s="63" t="s">
        <v>175</v>
      </c>
      <c r="G105" s="63" t="s">
        <v>352</v>
      </c>
      <c r="H105" s="51">
        <v>1</v>
      </c>
      <c r="I105" s="52" t="s">
        <v>100</v>
      </c>
      <c r="J105" s="53">
        <v>46154</v>
      </c>
      <c r="K105" s="54">
        <v>46336</v>
      </c>
      <c r="L105" s="55">
        <v>124</v>
      </c>
      <c r="M105" s="56">
        <v>370</v>
      </c>
      <c r="N105" s="56">
        <v>6240</v>
      </c>
      <c r="O105" s="57">
        <v>2308800</v>
      </c>
      <c r="P105" s="58">
        <v>16</v>
      </c>
      <c r="Q105" s="59" t="s">
        <v>353</v>
      </c>
      <c r="R105" s="60" t="s">
        <v>354</v>
      </c>
      <c r="S105" s="61"/>
    </row>
    <row r="106" spans="2:20" x14ac:dyDescent="0.3">
      <c r="B106" s="13">
        <v>101</v>
      </c>
      <c r="C106" s="49" t="s">
        <v>173</v>
      </c>
      <c r="D106" s="50" t="s">
        <v>185</v>
      </c>
      <c r="E106" s="50" t="s">
        <v>52</v>
      </c>
      <c r="F106" s="63" t="s">
        <v>175</v>
      </c>
      <c r="G106" s="63" t="s">
        <v>283</v>
      </c>
      <c r="H106" s="51">
        <v>1</v>
      </c>
      <c r="I106" s="52" t="s">
        <v>100</v>
      </c>
      <c r="J106" s="53">
        <v>46218</v>
      </c>
      <c r="K106" s="54">
        <v>46401</v>
      </c>
      <c r="L106" s="55">
        <v>124</v>
      </c>
      <c r="M106" s="56">
        <v>370</v>
      </c>
      <c r="N106" s="56">
        <v>6240</v>
      </c>
      <c r="O106" s="57">
        <v>2308800</v>
      </c>
      <c r="P106" s="58">
        <v>11</v>
      </c>
      <c r="Q106" s="59" t="s">
        <v>297</v>
      </c>
      <c r="R106" s="60" t="s">
        <v>355</v>
      </c>
      <c r="S106" s="61"/>
    </row>
    <row r="107" spans="2:20" x14ac:dyDescent="0.3">
      <c r="B107" s="13">
        <v>102</v>
      </c>
      <c r="C107" s="49" t="s">
        <v>173</v>
      </c>
      <c r="D107" s="50" t="s">
        <v>356</v>
      </c>
      <c r="E107" s="50" t="s">
        <v>285</v>
      </c>
      <c r="F107" s="63" t="s">
        <v>175</v>
      </c>
      <c r="G107" s="63" t="s">
        <v>357</v>
      </c>
      <c r="H107" s="51">
        <v>1</v>
      </c>
      <c r="I107" s="52">
        <v>0</v>
      </c>
      <c r="J107" s="53">
        <v>46090</v>
      </c>
      <c r="K107" s="54">
        <v>46386</v>
      </c>
      <c r="L107" s="55">
        <v>176</v>
      </c>
      <c r="M107" s="56">
        <v>1232</v>
      </c>
      <c r="N107" s="56">
        <v>6240</v>
      </c>
      <c r="O107" s="57">
        <f t="shared" ref="O107:O109" si="9">M107*N107</f>
        <v>7687680</v>
      </c>
      <c r="P107" s="58">
        <v>20</v>
      </c>
      <c r="Q107" s="59" t="s">
        <v>128</v>
      </c>
      <c r="R107" s="60" t="s">
        <v>358</v>
      </c>
      <c r="S107" s="61"/>
    </row>
    <row r="108" spans="2:20" x14ac:dyDescent="0.3">
      <c r="B108" s="13">
        <v>103</v>
      </c>
      <c r="C108" s="49" t="s">
        <v>173</v>
      </c>
      <c r="D108" s="50" t="s">
        <v>356</v>
      </c>
      <c r="E108" s="50" t="s">
        <v>52</v>
      </c>
      <c r="F108" s="63" t="s">
        <v>175</v>
      </c>
      <c r="G108" s="63" t="s">
        <v>283</v>
      </c>
      <c r="H108" s="51">
        <v>1</v>
      </c>
      <c r="I108" s="52" t="s">
        <v>100</v>
      </c>
      <c r="J108" s="53">
        <v>46105</v>
      </c>
      <c r="K108" s="54">
        <v>46275</v>
      </c>
      <c r="L108" s="55">
        <v>93</v>
      </c>
      <c r="M108" s="56">
        <v>370</v>
      </c>
      <c r="N108" s="56">
        <v>6240</v>
      </c>
      <c r="O108" s="57">
        <f t="shared" si="9"/>
        <v>2308800</v>
      </c>
      <c r="P108" s="58">
        <v>11</v>
      </c>
      <c r="Q108" s="59" t="s">
        <v>128</v>
      </c>
      <c r="R108" s="60" t="s">
        <v>359</v>
      </c>
      <c r="S108" s="61"/>
    </row>
    <row r="109" spans="2:20" ht="17.25" thickBot="1" x14ac:dyDescent="0.35">
      <c r="B109" s="13">
        <v>104</v>
      </c>
      <c r="C109" s="84" t="s">
        <v>173</v>
      </c>
      <c r="D109" s="84" t="s">
        <v>356</v>
      </c>
      <c r="E109" s="84" t="s">
        <v>52</v>
      </c>
      <c r="F109" s="86" t="s">
        <v>175</v>
      </c>
      <c r="G109" s="86" t="s">
        <v>360</v>
      </c>
      <c r="H109" s="85">
        <v>1</v>
      </c>
      <c r="I109" s="87" t="s">
        <v>100</v>
      </c>
      <c r="J109" s="88">
        <v>46231</v>
      </c>
      <c r="K109" s="89">
        <v>46394</v>
      </c>
      <c r="L109" s="90">
        <v>93</v>
      </c>
      <c r="M109" s="91">
        <v>370</v>
      </c>
      <c r="N109" s="91">
        <v>6240</v>
      </c>
      <c r="O109" s="92">
        <f t="shared" si="9"/>
        <v>2308800</v>
      </c>
      <c r="P109" s="93">
        <v>11</v>
      </c>
      <c r="Q109" s="94" t="s">
        <v>62</v>
      </c>
      <c r="R109" s="95" t="s">
        <v>361</v>
      </c>
      <c r="S109" s="47"/>
    </row>
    <row r="110" spans="2:20" x14ac:dyDescent="0.3">
      <c r="B110" s="13">
        <v>105</v>
      </c>
      <c r="C110" s="70" t="s">
        <v>203</v>
      </c>
      <c r="D110" s="71" t="s">
        <v>174</v>
      </c>
      <c r="E110" s="71" t="s">
        <v>18</v>
      </c>
      <c r="F110" s="73" t="s">
        <v>95</v>
      </c>
      <c r="G110" s="73" t="s">
        <v>363</v>
      </c>
      <c r="H110" s="72">
        <v>1</v>
      </c>
      <c r="I110" s="74">
        <v>0</v>
      </c>
      <c r="J110" s="75">
        <v>46073</v>
      </c>
      <c r="K110" s="76">
        <v>46265</v>
      </c>
      <c r="L110" s="77">
        <v>113</v>
      </c>
      <c r="M110" s="78">
        <v>900</v>
      </c>
      <c r="N110" s="78">
        <v>7654</v>
      </c>
      <c r="O110" s="79">
        <v>6888600</v>
      </c>
      <c r="P110" s="80">
        <v>35</v>
      </c>
      <c r="Q110" s="81" t="s">
        <v>50</v>
      </c>
      <c r="R110" s="82" t="s">
        <v>364</v>
      </c>
      <c r="S110" s="83"/>
      <c r="T110" s="66"/>
    </row>
    <row r="111" spans="2:20" x14ac:dyDescent="0.3">
      <c r="B111" s="13">
        <v>106</v>
      </c>
      <c r="C111" s="12" t="s">
        <v>203</v>
      </c>
      <c r="D111" s="50" t="s">
        <v>174</v>
      </c>
      <c r="E111" s="50" t="s">
        <v>18</v>
      </c>
      <c r="F111" s="63" t="s">
        <v>365</v>
      </c>
      <c r="G111" s="23" t="s">
        <v>366</v>
      </c>
      <c r="H111" s="3">
        <v>1</v>
      </c>
      <c r="I111" s="32">
        <v>0</v>
      </c>
      <c r="J111" s="28">
        <v>46112</v>
      </c>
      <c r="K111" s="29">
        <v>46310</v>
      </c>
      <c r="L111" s="6">
        <v>118</v>
      </c>
      <c r="M111" s="7">
        <v>1024</v>
      </c>
      <c r="N111" s="7">
        <v>7290</v>
      </c>
      <c r="O111" s="8">
        <v>7464960</v>
      </c>
      <c r="P111" s="30">
        <v>35</v>
      </c>
      <c r="Q111" s="31" t="s">
        <v>284</v>
      </c>
      <c r="R111" s="27" t="s">
        <v>367</v>
      </c>
      <c r="S111" s="61"/>
      <c r="T111" s="66"/>
    </row>
    <row r="112" spans="2:20" x14ac:dyDescent="0.3">
      <c r="B112" s="13">
        <v>107</v>
      </c>
      <c r="C112" s="12" t="s">
        <v>203</v>
      </c>
      <c r="D112" s="50" t="s">
        <v>174</v>
      </c>
      <c r="E112" s="50" t="s">
        <v>368</v>
      </c>
      <c r="F112" s="63" t="s">
        <v>369</v>
      </c>
      <c r="G112" s="23" t="s">
        <v>370</v>
      </c>
      <c r="H112" s="3">
        <v>1</v>
      </c>
      <c r="I112" s="32">
        <v>0</v>
      </c>
      <c r="J112" s="28">
        <v>46112</v>
      </c>
      <c r="K112" s="29">
        <v>46317</v>
      </c>
      <c r="L112" s="6">
        <v>139</v>
      </c>
      <c r="M112" s="7">
        <v>1100</v>
      </c>
      <c r="N112" s="7">
        <v>9493</v>
      </c>
      <c r="O112" s="8">
        <v>10442300</v>
      </c>
      <c r="P112" s="30">
        <v>21</v>
      </c>
      <c r="Q112" s="31" t="s">
        <v>116</v>
      </c>
      <c r="R112" s="27" t="s">
        <v>371</v>
      </c>
      <c r="S112" s="61"/>
      <c r="T112" s="66"/>
    </row>
    <row r="113" spans="2:20" x14ac:dyDescent="0.3">
      <c r="B113" s="13">
        <v>108</v>
      </c>
      <c r="C113" s="12" t="s">
        <v>203</v>
      </c>
      <c r="D113" s="50" t="s">
        <v>174</v>
      </c>
      <c r="E113" s="50" t="s">
        <v>39</v>
      </c>
      <c r="F113" s="63" t="s">
        <v>372</v>
      </c>
      <c r="G113" s="23" t="s">
        <v>373</v>
      </c>
      <c r="H113" s="3">
        <v>1</v>
      </c>
      <c r="I113" s="32">
        <v>0</v>
      </c>
      <c r="J113" s="28">
        <v>46126</v>
      </c>
      <c r="K113" s="29">
        <v>46262</v>
      </c>
      <c r="L113" s="6">
        <v>94</v>
      </c>
      <c r="M113" s="7">
        <v>752</v>
      </c>
      <c r="N113" s="7">
        <v>7290</v>
      </c>
      <c r="O113" s="8">
        <v>5482080</v>
      </c>
      <c r="P113" s="30">
        <v>35</v>
      </c>
      <c r="Q113" s="31" t="s">
        <v>51</v>
      </c>
      <c r="R113" s="27" t="s">
        <v>374</v>
      </c>
      <c r="S113" s="61"/>
      <c r="T113" s="66"/>
    </row>
    <row r="114" spans="2:20" x14ac:dyDescent="0.3">
      <c r="B114" s="13">
        <v>109</v>
      </c>
      <c r="C114" s="12" t="s">
        <v>203</v>
      </c>
      <c r="D114" s="50" t="s">
        <v>174</v>
      </c>
      <c r="E114" s="50" t="s">
        <v>18</v>
      </c>
      <c r="F114" s="63" t="s">
        <v>365</v>
      </c>
      <c r="G114" s="23" t="s">
        <v>375</v>
      </c>
      <c r="H114" s="3">
        <v>1</v>
      </c>
      <c r="I114" s="32">
        <v>0</v>
      </c>
      <c r="J114" s="28">
        <v>46149</v>
      </c>
      <c r="K114" s="29">
        <v>46323</v>
      </c>
      <c r="L114" s="6">
        <v>118</v>
      </c>
      <c r="M114" s="7">
        <v>1024</v>
      </c>
      <c r="N114" s="7">
        <v>7290</v>
      </c>
      <c r="O114" s="8">
        <v>7464960</v>
      </c>
      <c r="P114" s="30">
        <v>21</v>
      </c>
      <c r="Q114" s="31" t="s">
        <v>47</v>
      </c>
      <c r="R114" s="27" t="s">
        <v>376</v>
      </c>
      <c r="S114" s="61"/>
      <c r="T114" s="66"/>
    </row>
    <row r="115" spans="2:20" x14ac:dyDescent="0.3">
      <c r="B115" s="13">
        <v>110</v>
      </c>
      <c r="C115" s="12" t="s">
        <v>203</v>
      </c>
      <c r="D115" s="50" t="s">
        <v>174</v>
      </c>
      <c r="E115" s="50" t="s">
        <v>368</v>
      </c>
      <c r="F115" s="63" t="s">
        <v>369</v>
      </c>
      <c r="G115" s="23" t="s">
        <v>370</v>
      </c>
      <c r="H115" s="3">
        <v>4</v>
      </c>
      <c r="I115" s="32">
        <v>0</v>
      </c>
      <c r="J115" s="28">
        <v>46161</v>
      </c>
      <c r="K115" s="29">
        <v>46365</v>
      </c>
      <c r="L115" s="6">
        <v>139</v>
      </c>
      <c r="M115" s="7">
        <v>1100</v>
      </c>
      <c r="N115" s="7">
        <v>9493</v>
      </c>
      <c r="O115" s="8">
        <v>10442300</v>
      </c>
      <c r="P115" s="30">
        <v>35</v>
      </c>
      <c r="Q115" s="31" t="s">
        <v>112</v>
      </c>
      <c r="R115" s="27" t="s">
        <v>377</v>
      </c>
      <c r="S115" s="61"/>
      <c r="T115" s="66"/>
    </row>
    <row r="116" spans="2:20" x14ac:dyDescent="0.3">
      <c r="B116" s="13">
        <v>111</v>
      </c>
      <c r="C116" s="12" t="s">
        <v>203</v>
      </c>
      <c r="D116" s="50" t="s">
        <v>174</v>
      </c>
      <c r="E116" s="50" t="s">
        <v>18</v>
      </c>
      <c r="F116" s="63" t="s">
        <v>95</v>
      </c>
      <c r="G116" s="23" t="s">
        <v>378</v>
      </c>
      <c r="H116" s="3">
        <v>1</v>
      </c>
      <c r="I116" s="32">
        <v>0</v>
      </c>
      <c r="J116" s="28">
        <v>46170</v>
      </c>
      <c r="K116" s="29">
        <v>46336</v>
      </c>
      <c r="L116" s="6">
        <v>113</v>
      </c>
      <c r="M116" s="7">
        <v>900</v>
      </c>
      <c r="N116" s="7">
        <v>7654</v>
      </c>
      <c r="O116" s="8">
        <v>6888600</v>
      </c>
      <c r="P116" s="30">
        <v>35</v>
      </c>
      <c r="Q116" s="31" t="s">
        <v>153</v>
      </c>
      <c r="R116" s="27" t="s">
        <v>379</v>
      </c>
      <c r="S116" s="61"/>
      <c r="T116" s="66"/>
    </row>
    <row r="117" spans="2:20" x14ac:dyDescent="0.3">
      <c r="B117" s="13">
        <v>112</v>
      </c>
      <c r="C117" s="12" t="s">
        <v>203</v>
      </c>
      <c r="D117" s="50" t="s">
        <v>174</v>
      </c>
      <c r="E117" s="50" t="s">
        <v>18</v>
      </c>
      <c r="F117" s="63" t="s">
        <v>95</v>
      </c>
      <c r="G117" s="23" t="s">
        <v>380</v>
      </c>
      <c r="H117" s="3">
        <v>1</v>
      </c>
      <c r="I117" s="32">
        <v>0</v>
      </c>
      <c r="J117" s="28">
        <v>46196</v>
      </c>
      <c r="K117" s="29">
        <v>46359</v>
      </c>
      <c r="L117" s="6">
        <v>113</v>
      </c>
      <c r="M117" s="7">
        <v>900</v>
      </c>
      <c r="N117" s="7">
        <v>7654</v>
      </c>
      <c r="O117" s="8">
        <v>6888600</v>
      </c>
      <c r="P117" s="30">
        <v>21</v>
      </c>
      <c r="Q117" s="31" t="s">
        <v>297</v>
      </c>
      <c r="R117" s="27" t="s">
        <v>381</v>
      </c>
      <c r="S117" s="61"/>
      <c r="T117" s="66"/>
    </row>
    <row r="118" spans="2:20" x14ac:dyDescent="0.3">
      <c r="B118" s="13">
        <v>113</v>
      </c>
      <c r="C118" s="12" t="s">
        <v>203</v>
      </c>
      <c r="D118" s="50" t="s">
        <v>174</v>
      </c>
      <c r="E118" s="50" t="s">
        <v>39</v>
      </c>
      <c r="F118" s="63" t="s">
        <v>372</v>
      </c>
      <c r="G118" s="23" t="s">
        <v>382</v>
      </c>
      <c r="H118" s="3">
        <v>1</v>
      </c>
      <c r="I118" s="32">
        <v>0</v>
      </c>
      <c r="J118" s="28">
        <v>46217</v>
      </c>
      <c r="K118" s="29">
        <v>46353</v>
      </c>
      <c r="L118" s="6">
        <v>94</v>
      </c>
      <c r="M118" s="7">
        <v>752</v>
      </c>
      <c r="N118" s="7">
        <v>7290</v>
      </c>
      <c r="O118" s="8">
        <v>5482080</v>
      </c>
      <c r="P118" s="30">
        <v>21</v>
      </c>
      <c r="Q118" s="31" t="s">
        <v>281</v>
      </c>
      <c r="R118" s="27" t="s">
        <v>383</v>
      </c>
      <c r="S118" s="61"/>
      <c r="T118" s="66"/>
    </row>
    <row r="119" spans="2:20" x14ac:dyDescent="0.3">
      <c r="B119" s="13">
        <v>114</v>
      </c>
      <c r="C119" s="12" t="s">
        <v>203</v>
      </c>
      <c r="D119" s="50" t="s">
        <v>174</v>
      </c>
      <c r="E119" s="50" t="s">
        <v>368</v>
      </c>
      <c r="F119" s="63" t="s">
        <v>369</v>
      </c>
      <c r="G119" s="23" t="s">
        <v>370</v>
      </c>
      <c r="H119" s="3">
        <v>5</v>
      </c>
      <c r="I119" s="32">
        <v>0</v>
      </c>
      <c r="J119" s="28">
        <v>46240</v>
      </c>
      <c r="K119" s="29">
        <v>46448</v>
      </c>
      <c r="L119" s="6">
        <v>139</v>
      </c>
      <c r="M119" s="7">
        <v>1100</v>
      </c>
      <c r="N119" s="7">
        <v>9493</v>
      </c>
      <c r="O119" s="8">
        <v>10442300</v>
      </c>
      <c r="P119" s="30">
        <v>35</v>
      </c>
      <c r="Q119" s="31" t="s">
        <v>92</v>
      </c>
      <c r="R119" s="27" t="s">
        <v>384</v>
      </c>
      <c r="S119" s="61"/>
      <c r="T119" s="66"/>
    </row>
    <row r="120" spans="2:20" x14ac:dyDescent="0.3">
      <c r="B120" s="13">
        <v>115</v>
      </c>
      <c r="C120" s="12" t="s">
        <v>203</v>
      </c>
      <c r="D120" s="50" t="s">
        <v>174</v>
      </c>
      <c r="E120" s="50" t="s">
        <v>39</v>
      </c>
      <c r="F120" s="63" t="s">
        <v>372</v>
      </c>
      <c r="G120" s="23" t="s">
        <v>385</v>
      </c>
      <c r="H120" s="3">
        <v>1</v>
      </c>
      <c r="I120" s="32">
        <v>0</v>
      </c>
      <c r="J120" s="28">
        <v>46266</v>
      </c>
      <c r="K120" s="29">
        <v>46405</v>
      </c>
      <c r="L120" s="6">
        <v>94</v>
      </c>
      <c r="M120" s="7">
        <v>752</v>
      </c>
      <c r="N120" s="7">
        <v>7290</v>
      </c>
      <c r="O120" s="8">
        <v>5482080</v>
      </c>
      <c r="P120" s="30">
        <v>35</v>
      </c>
      <c r="Q120" s="31" t="s">
        <v>51</v>
      </c>
      <c r="R120" s="27" t="s">
        <v>374</v>
      </c>
      <c r="S120" s="61"/>
      <c r="T120" s="66"/>
    </row>
    <row r="121" spans="2:20" x14ac:dyDescent="0.3">
      <c r="B121" s="13">
        <v>116</v>
      </c>
      <c r="C121" s="12" t="s">
        <v>203</v>
      </c>
      <c r="D121" s="50" t="s">
        <v>174</v>
      </c>
      <c r="E121" s="50" t="s">
        <v>18</v>
      </c>
      <c r="F121" s="63" t="s">
        <v>95</v>
      </c>
      <c r="G121" s="23" t="s">
        <v>386</v>
      </c>
      <c r="H121" s="3">
        <v>1</v>
      </c>
      <c r="I121" s="32">
        <v>0</v>
      </c>
      <c r="J121" s="28">
        <v>46268</v>
      </c>
      <c r="K121" s="29">
        <v>46475</v>
      </c>
      <c r="L121" s="6">
        <v>113</v>
      </c>
      <c r="M121" s="7">
        <v>900</v>
      </c>
      <c r="N121" s="7">
        <v>7654</v>
      </c>
      <c r="O121" s="8">
        <v>6888600</v>
      </c>
      <c r="P121" s="30">
        <v>21</v>
      </c>
      <c r="Q121" s="31" t="s">
        <v>50</v>
      </c>
      <c r="R121" s="27" t="s">
        <v>364</v>
      </c>
      <c r="S121" s="61"/>
      <c r="T121" s="66"/>
    </row>
    <row r="122" spans="2:20" x14ac:dyDescent="0.3">
      <c r="B122" s="13">
        <v>117</v>
      </c>
      <c r="C122" s="12" t="s">
        <v>203</v>
      </c>
      <c r="D122" s="50" t="s">
        <v>174</v>
      </c>
      <c r="E122" s="50" t="s">
        <v>368</v>
      </c>
      <c r="F122" s="63" t="s">
        <v>369</v>
      </c>
      <c r="G122" s="23" t="s">
        <v>370</v>
      </c>
      <c r="H122" s="3">
        <v>6</v>
      </c>
      <c r="I122" s="32">
        <v>0</v>
      </c>
      <c r="J122" s="28">
        <v>46322</v>
      </c>
      <c r="K122" s="29">
        <v>46525</v>
      </c>
      <c r="L122" s="6">
        <v>139</v>
      </c>
      <c r="M122" s="7">
        <v>1100</v>
      </c>
      <c r="N122" s="7">
        <v>9493</v>
      </c>
      <c r="O122" s="8">
        <v>10442300</v>
      </c>
      <c r="P122" s="30">
        <v>35</v>
      </c>
      <c r="Q122" s="31" t="s">
        <v>284</v>
      </c>
      <c r="R122" s="27" t="s">
        <v>367</v>
      </c>
      <c r="S122" s="61"/>
      <c r="T122" s="66"/>
    </row>
    <row r="123" spans="2:20" x14ac:dyDescent="0.3">
      <c r="B123" s="13">
        <v>118</v>
      </c>
      <c r="C123" s="12" t="s">
        <v>203</v>
      </c>
      <c r="D123" s="50" t="s">
        <v>174</v>
      </c>
      <c r="E123" s="50" t="s">
        <v>18</v>
      </c>
      <c r="F123" s="63" t="s">
        <v>95</v>
      </c>
      <c r="G123" s="23" t="s">
        <v>387</v>
      </c>
      <c r="H123" s="3">
        <v>1</v>
      </c>
      <c r="I123" s="32">
        <v>0</v>
      </c>
      <c r="J123" s="28">
        <v>46343</v>
      </c>
      <c r="K123" s="29">
        <v>46547</v>
      </c>
      <c r="L123" s="6">
        <v>113</v>
      </c>
      <c r="M123" s="7">
        <v>900</v>
      </c>
      <c r="N123" s="7">
        <v>7654</v>
      </c>
      <c r="O123" s="8">
        <v>6888600</v>
      </c>
      <c r="P123" s="30">
        <v>35</v>
      </c>
      <c r="Q123" s="31" t="s">
        <v>153</v>
      </c>
      <c r="R123" s="27" t="s">
        <v>379</v>
      </c>
      <c r="S123" s="61"/>
      <c r="T123" s="66"/>
    </row>
    <row r="124" spans="2:20" x14ac:dyDescent="0.3">
      <c r="B124" s="13">
        <v>119</v>
      </c>
      <c r="C124" s="12" t="s">
        <v>203</v>
      </c>
      <c r="D124" s="50" t="s">
        <v>174</v>
      </c>
      <c r="E124" s="50" t="s">
        <v>18</v>
      </c>
      <c r="F124" s="63" t="s">
        <v>95</v>
      </c>
      <c r="G124" s="23" t="s">
        <v>388</v>
      </c>
      <c r="H124" s="3">
        <v>1</v>
      </c>
      <c r="I124" s="32">
        <v>0</v>
      </c>
      <c r="J124" s="28">
        <v>46364</v>
      </c>
      <c r="K124" s="29">
        <v>46531</v>
      </c>
      <c r="L124" s="6">
        <v>113</v>
      </c>
      <c r="M124" s="7">
        <v>900</v>
      </c>
      <c r="N124" s="7">
        <v>7654</v>
      </c>
      <c r="O124" s="8">
        <v>6888600</v>
      </c>
      <c r="P124" s="30">
        <v>21</v>
      </c>
      <c r="Q124" s="31" t="s">
        <v>297</v>
      </c>
      <c r="R124" s="27" t="s">
        <v>381</v>
      </c>
      <c r="S124" s="61"/>
      <c r="T124" s="66"/>
    </row>
    <row r="125" spans="2:20" x14ac:dyDescent="0.3">
      <c r="B125" s="13">
        <v>120</v>
      </c>
      <c r="C125" s="12" t="s">
        <v>203</v>
      </c>
      <c r="D125" s="50" t="s">
        <v>174</v>
      </c>
      <c r="E125" s="50" t="s">
        <v>368</v>
      </c>
      <c r="F125" s="63" t="s">
        <v>369</v>
      </c>
      <c r="G125" s="23" t="s">
        <v>370</v>
      </c>
      <c r="H125" s="3">
        <v>7</v>
      </c>
      <c r="I125" s="32">
        <v>0</v>
      </c>
      <c r="J125" s="28">
        <v>46373</v>
      </c>
      <c r="K125" s="29">
        <v>46577</v>
      </c>
      <c r="L125" s="6">
        <v>139</v>
      </c>
      <c r="M125" s="7">
        <v>1100</v>
      </c>
      <c r="N125" s="7">
        <v>9493</v>
      </c>
      <c r="O125" s="8">
        <v>10442300</v>
      </c>
      <c r="P125" s="30">
        <v>35</v>
      </c>
      <c r="Q125" s="31" t="s">
        <v>112</v>
      </c>
      <c r="R125" s="27" t="s">
        <v>377</v>
      </c>
      <c r="S125" s="61"/>
      <c r="T125" s="66"/>
    </row>
    <row r="126" spans="2:20" x14ac:dyDescent="0.3">
      <c r="B126" s="13">
        <v>121</v>
      </c>
      <c r="C126" s="12" t="s">
        <v>200</v>
      </c>
      <c r="D126" s="50" t="s">
        <v>389</v>
      </c>
      <c r="E126" s="50" t="s">
        <v>18</v>
      </c>
      <c r="F126" s="63" t="s">
        <v>390</v>
      </c>
      <c r="G126" s="23" t="s">
        <v>391</v>
      </c>
      <c r="H126" s="3">
        <v>1</v>
      </c>
      <c r="I126" s="32">
        <v>0</v>
      </c>
      <c r="J126" s="28">
        <v>46055</v>
      </c>
      <c r="K126" s="29">
        <v>46244</v>
      </c>
      <c r="L126" s="18">
        <f>M126/8</f>
        <v>126.875</v>
      </c>
      <c r="M126" s="19">
        <v>1015</v>
      </c>
      <c r="N126" s="19">
        <v>7290</v>
      </c>
      <c r="O126" s="20">
        <f t="shared" ref="O126:O141" si="10">M126*N126</f>
        <v>7399350</v>
      </c>
      <c r="P126" s="30">
        <v>30</v>
      </c>
      <c r="Q126" s="31" t="s">
        <v>62</v>
      </c>
      <c r="R126" s="27" t="s">
        <v>392</v>
      </c>
      <c r="S126" s="64"/>
      <c r="T126" s="22"/>
    </row>
    <row r="127" spans="2:20" x14ac:dyDescent="0.3">
      <c r="B127" s="13">
        <v>122</v>
      </c>
      <c r="C127" s="12" t="s">
        <v>200</v>
      </c>
      <c r="D127" s="50" t="s">
        <v>389</v>
      </c>
      <c r="E127" s="50" t="s">
        <v>18</v>
      </c>
      <c r="F127" s="63" t="s">
        <v>393</v>
      </c>
      <c r="G127" s="23" t="s">
        <v>394</v>
      </c>
      <c r="H127" s="3">
        <v>1</v>
      </c>
      <c r="I127" s="32">
        <v>0</v>
      </c>
      <c r="J127" s="28">
        <v>46048</v>
      </c>
      <c r="K127" s="29">
        <v>46216</v>
      </c>
      <c r="L127" s="18">
        <f t="shared" ref="L127:L130" si="11">M127/8</f>
        <v>111.25</v>
      </c>
      <c r="M127" s="19">
        <v>890</v>
      </c>
      <c r="N127" s="19">
        <v>7290</v>
      </c>
      <c r="O127" s="20">
        <f t="shared" si="10"/>
        <v>6488100</v>
      </c>
      <c r="P127" s="30">
        <v>22</v>
      </c>
      <c r="Q127" s="31" t="s">
        <v>77</v>
      </c>
      <c r="R127" s="27" t="s">
        <v>395</v>
      </c>
      <c r="S127" s="64"/>
      <c r="T127" s="22"/>
    </row>
    <row r="128" spans="2:20" x14ac:dyDescent="0.3">
      <c r="B128" s="13">
        <v>123</v>
      </c>
      <c r="C128" s="12" t="s">
        <v>200</v>
      </c>
      <c r="D128" s="2" t="s">
        <v>389</v>
      </c>
      <c r="E128" s="2" t="s">
        <v>18</v>
      </c>
      <c r="F128" s="23" t="s">
        <v>393</v>
      </c>
      <c r="G128" s="23" t="s">
        <v>396</v>
      </c>
      <c r="H128" s="3">
        <v>1</v>
      </c>
      <c r="I128" s="32">
        <v>0</v>
      </c>
      <c r="J128" s="28">
        <v>46119</v>
      </c>
      <c r="K128" s="29" t="s">
        <v>397</v>
      </c>
      <c r="L128" s="18">
        <f t="shared" si="11"/>
        <v>111.25</v>
      </c>
      <c r="M128" s="19">
        <v>890</v>
      </c>
      <c r="N128" s="19">
        <v>7290</v>
      </c>
      <c r="O128" s="20">
        <f t="shared" si="10"/>
        <v>6488100</v>
      </c>
      <c r="P128" s="30">
        <v>22</v>
      </c>
      <c r="Q128" s="31" t="s">
        <v>195</v>
      </c>
      <c r="R128" s="27" t="s">
        <v>398</v>
      </c>
      <c r="S128" s="61"/>
      <c r="T128" s="1"/>
    </row>
    <row r="129" spans="2:26" x14ac:dyDescent="0.3">
      <c r="B129" s="13">
        <v>124</v>
      </c>
      <c r="C129" s="12" t="s">
        <v>200</v>
      </c>
      <c r="D129" s="2" t="s">
        <v>389</v>
      </c>
      <c r="E129" s="2" t="s">
        <v>18</v>
      </c>
      <c r="F129" s="23" t="s">
        <v>393</v>
      </c>
      <c r="G129" s="23" t="s">
        <v>399</v>
      </c>
      <c r="H129" s="3">
        <v>1</v>
      </c>
      <c r="I129" s="32">
        <v>0</v>
      </c>
      <c r="J129" s="28">
        <v>46217</v>
      </c>
      <c r="K129" s="29">
        <v>46379</v>
      </c>
      <c r="L129" s="18">
        <f t="shared" si="11"/>
        <v>111.25</v>
      </c>
      <c r="M129" s="19">
        <v>890</v>
      </c>
      <c r="N129" s="19">
        <v>7290</v>
      </c>
      <c r="O129" s="20">
        <f t="shared" si="10"/>
        <v>6488100</v>
      </c>
      <c r="P129" s="30">
        <v>22</v>
      </c>
      <c r="Q129" s="31" t="s">
        <v>77</v>
      </c>
      <c r="R129" s="27" t="s">
        <v>395</v>
      </c>
      <c r="S129" s="61"/>
      <c r="T129" s="1"/>
    </row>
    <row r="130" spans="2:26" x14ac:dyDescent="0.3">
      <c r="B130" s="13">
        <v>125</v>
      </c>
      <c r="C130" s="12" t="s">
        <v>200</v>
      </c>
      <c r="D130" s="2" t="s">
        <v>389</v>
      </c>
      <c r="E130" s="2" t="s">
        <v>18</v>
      </c>
      <c r="F130" s="23" t="s">
        <v>201</v>
      </c>
      <c r="G130" s="23" t="s">
        <v>400</v>
      </c>
      <c r="H130" s="3">
        <v>1</v>
      </c>
      <c r="I130" s="32">
        <v>0</v>
      </c>
      <c r="J130" s="28">
        <v>46220</v>
      </c>
      <c r="K130" s="29">
        <v>46386</v>
      </c>
      <c r="L130" s="18">
        <f t="shared" si="11"/>
        <v>112.5</v>
      </c>
      <c r="M130" s="19">
        <v>900</v>
      </c>
      <c r="N130" s="19">
        <v>7290</v>
      </c>
      <c r="O130" s="20">
        <f t="shared" si="10"/>
        <v>6561000</v>
      </c>
      <c r="P130" s="30">
        <v>30</v>
      </c>
      <c r="Q130" s="31" t="s">
        <v>401</v>
      </c>
      <c r="R130" s="27" t="s">
        <v>402</v>
      </c>
      <c r="S130" s="61"/>
      <c r="T130" s="1"/>
    </row>
    <row r="131" spans="2:26" x14ac:dyDescent="0.3">
      <c r="B131" s="13">
        <v>126</v>
      </c>
      <c r="C131" s="12" t="s">
        <v>200</v>
      </c>
      <c r="D131" s="2" t="s">
        <v>389</v>
      </c>
      <c r="E131" s="2" t="s">
        <v>39</v>
      </c>
      <c r="F131" s="23" t="s">
        <v>201</v>
      </c>
      <c r="G131" s="23" t="s">
        <v>403</v>
      </c>
      <c r="H131" s="3">
        <v>1</v>
      </c>
      <c r="I131" s="32">
        <v>0</v>
      </c>
      <c r="J131" s="28">
        <v>46062</v>
      </c>
      <c r="K131" s="65">
        <v>46219</v>
      </c>
      <c r="L131" s="18">
        <v>120</v>
      </c>
      <c r="M131" s="19">
        <v>835</v>
      </c>
      <c r="N131" s="19">
        <v>7290</v>
      </c>
      <c r="O131" s="20">
        <f t="shared" si="10"/>
        <v>6087150</v>
      </c>
      <c r="P131" s="30">
        <v>22</v>
      </c>
      <c r="Q131" s="31" t="s">
        <v>128</v>
      </c>
      <c r="R131" s="27" t="s">
        <v>404</v>
      </c>
      <c r="S131" s="61"/>
      <c r="T131" s="1"/>
    </row>
    <row r="132" spans="2:26" x14ac:dyDescent="0.3">
      <c r="B132" s="13">
        <v>127</v>
      </c>
      <c r="C132" s="12" t="s">
        <v>200</v>
      </c>
      <c r="D132" s="2" t="s">
        <v>72</v>
      </c>
      <c r="E132" s="2" t="s">
        <v>19</v>
      </c>
      <c r="F132" s="23" t="s">
        <v>95</v>
      </c>
      <c r="G132" s="23" t="s">
        <v>405</v>
      </c>
      <c r="H132" s="3">
        <v>0</v>
      </c>
      <c r="I132" s="32">
        <v>0</v>
      </c>
      <c r="J132" s="28">
        <v>46203</v>
      </c>
      <c r="K132" s="29">
        <v>46366</v>
      </c>
      <c r="L132" s="6">
        <v>113</v>
      </c>
      <c r="M132" s="7">
        <v>900</v>
      </c>
      <c r="N132" s="7">
        <v>7290</v>
      </c>
      <c r="O132" s="8">
        <f t="shared" si="10"/>
        <v>6561000</v>
      </c>
      <c r="P132" s="30">
        <v>20</v>
      </c>
      <c r="Q132" s="31" t="s">
        <v>401</v>
      </c>
      <c r="R132" s="27" t="s">
        <v>406</v>
      </c>
      <c r="S132" s="64"/>
      <c r="T132" s="22"/>
    </row>
    <row r="133" spans="2:26" x14ac:dyDescent="0.3">
      <c r="B133" s="13">
        <v>128</v>
      </c>
      <c r="C133" s="156" t="s">
        <v>200</v>
      </c>
      <c r="D133" s="157" t="s">
        <v>72</v>
      </c>
      <c r="E133" s="157" t="s">
        <v>19</v>
      </c>
      <c r="F133" s="158" t="s">
        <v>95</v>
      </c>
      <c r="G133" s="158" t="s">
        <v>407</v>
      </c>
      <c r="H133" s="159">
        <v>0</v>
      </c>
      <c r="I133" s="160">
        <v>0</v>
      </c>
      <c r="J133" s="161">
        <v>46342</v>
      </c>
      <c r="K133" s="162">
        <v>46505</v>
      </c>
      <c r="L133" s="163">
        <v>113</v>
      </c>
      <c r="M133" s="164">
        <v>900</v>
      </c>
      <c r="N133" s="164">
        <v>7290</v>
      </c>
      <c r="O133" s="165">
        <f t="shared" si="10"/>
        <v>6561000</v>
      </c>
      <c r="P133" s="166">
        <v>20</v>
      </c>
      <c r="Q133" s="167" t="s">
        <v>128</v>
      </c>
      <c r="R133" s="168" t="s">
        <v>408</v>
      </c>
      <c r="S133" s="169" t="s">
        <v>409</v>
      </c>
      <c r="T133" s="22"/>
    </row>
    <row r="134" spans="2:26" x14ac:dyDescent="0.3">
      <c r="B134" s="13">
        <v>129</v>
      </c>
      <c r="C134" s="12" t="s">
        <v>200</v>
      </c>
      <c r="D134" s="2" t="s">
        <v>72</v>
      </c>
      <c r="E134" s="2" t="s">
        <v>19</v>
      </c>
      <c r="F134" s="23" t="s">
        <v>95</v>
      </c>
      <c r="G134" s="23" t="s">
        <v>410</v>
      </c>
      <c r="H134" s="3">
        <v>0</v>
      </c>
      <c r="I134" s="32">
        <v>0</v>
      </c>
      <c r="J134" s="28">
        <v>46301</v>
      </c>
      <c r="K134" s="29">
        <v>46465</v>
      </c>
      <c r="L134" s="6">
        <v>113</v>
      </c>
      <c r="M134" s="7">
        <v>900</v>
      </c>
      <c r="N134" s="7">
        <v>7290</v>
      </c>
      <c r="O134" s="8">
        <f t="shared" si="10"/>
        <v>6561000</v>
      </c>
      <c r="P134" s="30">
        <v>20</v>
      </c>
      <c r="Q134" s="31" t="s">
        <v>143</v>
      </c>
      <c r="R134" s="27" t="s">
        <v>411</v>
      </c>
      <c r="S134" s="61"/>
      <c r="T134" s="1"/>
    </row>
    <row r="135" spans="2:26" x14ac:dyDescent="0.3">
      <c r="B135" s="13">
        <v>130</v>
      </c>
      <c r="C135" s="12" t="s">
        <v>200</v>
      </c>
      <c r="D135" s="2" t="s">
        <v>72</v>
      </c>
      <c r="E135" s="2" t="s">
        <v>19</v>
      </c>
      <c r="F135" s="23" t="s">
        <v>95</v>
      </c>
      <c r="G135" s="23" t="s">
        <v>412</v>
      </c>
      <c r="H135" s="3">
        <v>0</v>
      </c>
      <c r="I135" s="32">
        <v>0</v>
      </c>
      <c r="J135" s="28">
        <v>46378</v>
      </c>
      <c r="K135" s="29">
        <v>46545</v>
      </c>
      <c r="L135" s="6">
        <v>113</v>
      </c>
      <c r="M135" s="7">
        <v>900</v>
      </c>
      <c r="N135" s="7">
        <v>7290</v>
      </c>
      <c r="O135" s="8">
        <f t="shared" si="10"/>
        <v>6561000</v>
      </c>
      <c r="P135" s="30">
        <v>20</v>
      </c>
      <c r="Q135" s="31" t="s">
        <v>401</v>
      </c>
      <c r="R135" s="27" t="s">
        <v>406</v>
      </c>
      <c r="S135" s="61"/>
      <c r="T135" s="1"/>
    </row>
    <row r="136" spans="2:26" x14ac:dyDescent="0.3">
      <c r="B136" s="13">
        <v>131</v>
      </c>
      <c r="C136" s="12" t="s">
        <v>200</v>
      </c>
      <c r="D136" s="2" t="s">
        <v>72</v>
      </c>
      <c r="E136" s="2" t="s">
        <v>19</v>
      </c>
      <c r="F136" s="23" t="s">
        <v>413</v>
      </c>
      <c r="G136" s="23" t="s">
        <v>414</v>
      </c>
      <c r="H136" s="3">
        <v>0</v>
      </c>
      <c r="I136" s="32">
        <v>0</v>
      </c>
      <c r="J136" s="28">
        <v>46098</v>
      </c>
      <c r="K136" s="29">
        <v>46288</v>
      </c>
      <c r="L136" s="6">
        <f>1050/8</f>
        <v>131.25</v>
      </c>
      <c r="M136" s="7">
        <v>1050</v>
      </c>
      <c r="N136" s="7">
        <v>7290</v>
      </c>
      <c r="O136" s="8">
        <f t="shared" si="10"/>
        <v>7654500</v>
      </c>
      <c r="P136" s="30">
        <v>20</v>
      </c>
      <c r="Q136" s="31" t="s">
        <v>143</v>
      </c>
      <c r="R136" s="27" t="s">
        <v>415</v>
      </c>
      <c r="S136" s="61"/>
      <c r="T136" s="1"/>
    </row>
    <row r="137" spans="2:26" x14ac:dyDescent="0.3">
      <c r="B137" s="13">
        <v>132</v>
      </c>
      <c r="C137" s="12" t="s">
        <v>200</v>
      </c>
      <c r="D137" s="2" t="s">
        <v>72</v>
      </c>
      <c r="E137" s="2" t="s">
        <v>19</v>
      </c>
      <c r="F137" s="23" t="s">
        <v>416</v>
      </c>
      <c r="G137" s="23" t="s">
        <v>417</v>
      </c>
      <c r="H137" s="3">
        <v>0</v>
      </c>
      <c r="I137" s="32">
        <v>0</v>
      </c>
      <c r="J137" s="28">
        <v>46294</v>
      </c>
      <c r="K137" s="29">
        <v>46451</v>
      </c>
      <c r="L137" s="6">
        <f>850/8</f>
        <v>106.25</v>
      </c>
      <c r="M137" s="7">
        <v>850</v>
      </c>
      <c r="N137" s="7">
        <v>7290</v>
      </c>
      <c r="O137" s="8">
        <f t="shared" si="10"/>
        <v>6196500</v>
      </c>
      <c r="P137" s="30">
        <v>20</v>
      </c>
      <c r="Q137" s="31" t="s">
        <v>195</v>
      </c>
      <c r="R137" s="27" t="s">
        <v>415</v>
      </c>
      <c r="S137" s="61"/>
      <c r="T137" s="1"/>
    </row>
    <row r="138" spans="2:26" x14ac:dyDescent="0.3">
      <c r="B138" s="13">
        <v>133</v>
      </c>
      <c r="C138" s="12" t="s">
        <v>200</v>
      </c>
      <c r="D138" s="2" t="s">
        <v>72</v>
      </c>
      <c r="E138" s="2" t="s">
        <v>19</v>
      </c>
      <c r="F138" s="23" t="s">
        <v>418</v>
      </c>
      <c r="G138" s="23" t="s">
        <v>419</v>
      </c>
      <c r="H138" s="3">
        <v>0</v>
      </c>
      <c r="I138" s="32">
        <v>0</v>
      </c>
      <c r="J138" s="28">
        <v>46119</v>
      </c>
      <c r="K138" s="29">
        <v>46282</v>
      </c>
      <c r="L138" s="6">
        <f>900/8</f>
        <v>112.5</v>
      </c>
      <c r="M138" s="7">
        <v>900</v>
      </c>
      <c r="N138" s="7">
        <v>7290</v>
      </c>
      <c r="O138" s="8">
        <f t="shared" si="10"/>
        <v>6561000</v>
      </c>
      <c r="P138" s="30">
        <v>20</v>
      </c>
      <c r="Q138" s="31" t="s">
        <v>195</v>
      </c>
      <c r="R138" s="27" t="s">
        <v>420</v>
      </c>
      <c r="S138" s="61"/>
      <c r="T138" s="1"/>
    </row>
    <row r="139" spans="2:26" x14ac:dyDescent="0.3">
      <c r="B139" s="13">
        <v>134</v>
      </c>
      <c r="C139" s="12" t="s">
        <v>200</v>
      </c>
      <c r="D139" s="2" t="s">
        <v>72</v>
      </c>
      <c r="E139" s="2" t="s">
        <v>39</v>
      </c>
      <c r="F139" s="23" t="s">
        <v>421</v>
      </c>
      <c r="G139" s="23" t="s">
        <v>422</v>
      </c>
      <c r="H139" s="3">
        <v>0</v>
      </c>
      <c r="I139" s="32">
        <v>0</v>
      </c>
      <c r="J139" s="28">
        <v>46077</v>
      </c>
      <c r="K139" s="29">
        <v>46233</v>
      </c>
      <c r="L139" s="6">
        <v>108</v>
      </c>
      <c r="M139" s="7">
        <v>864</v>
      </c>
      <c r="N139" s="7">
        <v>7290</v>
      </c>
      <c r="O139" s="8">
        <f t="shared" si="10"/>
        <v>6298560</v>
      </c>
      <c r="P139" s="30">
        <v>20</v>
      </c>
      <c r="Q139" s="31" t="s">
        <v>62</v>
      </c>
      <c r="R139" s="27" t="s">
        <v>423</v>
      </c>
      <c r="S139" s="61"/>
      <c r="T139" s="1"/>
    </row>
    <row r="140" spans="2:26" x14ac:dyDescent="0.3">
      <c r="B140" s="13">
        <v>135</v>
      </c>
      <c r="C140" s="12" t="s">
        <v>200</v>
      </c>
      <c r="D140" s="2" t="s">
        <v>72</v>
      </c>
      <c r="E140" s="2" t="s">
        <v>39</v>
      </c>
      <c r="F140" s="23" t="s">
        <v>421</v>
      </c>
      <c r="G140" s="23" t="s">
        <v>424</v>
      </c>
      <c r="H140" s="3">
        <v>0</v>
      </c>
      <c r="I140" s="32">
        <v>0</v>
      </c>
      <c r="J140" s="28">
        <v>46259</v>
      </c>
      <c r="K140" s="29">
        <v>46416</v>
      </c>
      <c r="L140" s="6">
        <v>108</v>
      </c>
      <c r="M140" s="7">
        <v>864</v>
      </c>
      <c r="N140" s="7">
        <v>7290</v>
      </c>
      <c r="O140" s="8">
        <f t="shared" si="10"/>
        <v>6298560</v>
      </c>
      <c r="P140" s="30">
        <v>20</v>
      </c>
      <c r="Q140" s="31" t="s">
        <v>62</v>
      </c>
      <c r="R140" s="27" t="s">
        <v>423</v>
      </c>
      <c r="S140" s="61"/>
      <c r="T140" s="1"/>
    </row>
    <row r="141" spans="2:26" x14ac:dyDescent="0.3">
      <c r="B141" s="13">
        <v>136</v>
      </c>
      <c r="C141" s="12" t="s">
        <v>200</v>
      </c>
      <c r="D141" s="2" t="s">
        <v>72</v>
      </c>
      <c r="E141" s="2" t="s">
        <v>39</v>
      </c>
      <c r="F141" s="23" t="s">
        <v>204</v>
      </c>
      <c r="G141" s="23" t="s">
        <v>205</v>
      </c>
      <c r="H141" s="3">
        <v>0</v>
      </c>
      <c r="I141" s="32">
        <v>0</v>
      </c>
      <c r="J141" s="28">
        <v>46175</v>
      </c>
      <c r="K141" s="29">
        <v>46332</v>
      </c>
      <c r="L141" s="6">
        <v>108</v>
      </c>
      <c r="M141" s="7">
        <v>864</v>
      </c>
      <c r="N141" s="7">
        <v>7290</v>
      </c>
      <c r="O141" s="8">
        <f t="shared" si="10"/>
        <v>6298560</v>
      </c>
      <c r="P141" s="30">
        <v>20</v>
      </c>
      <c r="Q141" s="31" t="s">
        <v>401</v>
      </c>
      <c r="R141" s="27" t="s">
        <v>127</v>
      </c>
      <c r="S141" s="61"/>
      <c r="T141" s="1"/>
    </row>
    <row r="142" spans="2:26" s="123" customFormat="1" x14ac:dyDescent="0.3">
      <c r="B142" s="13">
        <v>137</v>
      </c>
      <c r="C142" s="49" t="s">
        <v>203</v>
      </c>
      <c r="D142" s="50" t="s">
        <v>48</v>
      </c>
      <c r="E142" s="50" t="s">
        <v>54</v>
      </c>
      <c r="F142" s="63" t="s">
        <v>49</v>
      </c>
      <c r="G142" s="63" t="s">
        <v>425</v>
      </c>
      <c r="H142" s="51">
        <v>1</v>
      </c>
      <c r="I142" s="52">
        <v>1</v>
      </c>
      <c r="J142" s="53">
        <v>46050</v>
      </c>
      <c r="K142" s="54">
        <v>46174</v>
      </c>
      <c r="L142" s="55">
        <v>90</v>
      </c>
      <c r="M142" s="56">
        <v>720</v>
      </c>
      <c r="N142" s="56">
        <v>6620</v>
      </c>
      <c r="O142" s="57">
        <v>4766400</v>
      </c>
      <c r="P142" s="58">
        <v>20</v>
      </c>
      <c r="Q142" s="59" t="s">
        <v>287</v>
      </c>
      <c r="R142" s="60" t="s">
        <v>210</v>
      </c>
      <c r="S142" s="61"/>
      <c r="T142" s="66"/>
      <c r="U142" s="25"/>
      <c r="V142" s="25"/>
      <c r="W142" s="25"/>
      <c r="X142" s="25"/>
      <c r="Y142" s="25"/>
      <c r="Z142" s="25"/>
    </row>
    <row r="143" spans="2:26" s="123" customFormat="1" x14ac:dyDescent="0.3">
      <c r="B143" s="13">
        <v>138</v>
      </c>
      <c r="C143" s="49" t="s">
        <v>203</v>
      </c>
      <c r="D143" s="50" t="s">
        <v>48</v>
      </c>
      <c r="E143" s="50" t="s">
        <v>54</v>
      </c>
      <c r="F143" s="63" t="s">
        <v>49</v>
      </c>
      <c r="G143" s="63" t="s">
        <v>426</v>
      </c>
      <c r="H143" s="51">
        <v>1</v>
      </c>
      <c r="I143" s="52">
        <v>1</v>
      </c>
      <c r="J143" s="53">
        <v>46071</v>
      </c>
      <c r="K143" s="54">
        <v>46205</v>
      </c>
      <c r="L143" s="55">
        <v>90</v>
      </c>
      <c r="M143" s="56">
        <v>720</v>
      </c>
      <c r="N143" s="56">
        <v>6620</v>
      </c>
      <c r="O143" s="57">
        <v>4766400</v>
      </c>
      <c r="P143" s="58">
        <v>30</v>
      </c>
      <c r="Q143" s="59" t="s">
        <v>47</v>
      </c>
      <c r="R143" s="60" t="s">
        <v>427</v>
      </c>
      <c r="S143" s="61"/>
      <c r="T143" s="66"/>
      <c r="U143" s="25"/>
      <c r="V143" s="25"/>
      <c r="W143" s="25"/>
      <c r="X143" s="25"/>
      <c r="Y143" s="25"/>
      <c r="Z143" s="25"/>
    </row>
    <row r="144" spans="2:26" s="123" customFormat="1" x14ac:dyDescent="0.3">
      <c r="B144" s="13">
        <v>139</v>
      </c>
      <c r="C144" s="49" t="s">
        <v>203</v>
      </c>
      <c r="D144" s="50" t="s">
        <v>48</v>
      </c>
      <c r="E144" s="50" t="s">
        <v>54</v>
      </c>
      <c r="F144" s="63" t="s">
        <v>49</v>
      </c>
      <c r="G144" s="63" t="s">
        <v>428</v>
      </c>
      <c r="H144" s="51">
        <v>1</v>
      </c>
      <c r="I144" s="52">
        <v>1</v>
      </c>
      <c r="J144" s="53">
        <v>46085</v>
      </c>
      <c r="K144" s="54">
        <v>46211</v>
      </c>
      <c r="L144" s="55">
        <v>90</v>
      </c>
      <c r="M144" s="56">
        <v>720</v>
      </c>
      <c r="N144" s="56">
        <v>6620</v>
      </c>
      <c r="O144" s="57">
        <v>4766400</v>
      </c>
      <c r="P144" s="58">
        <v>20</v>
      </c>
      <c r="Q144" s="59" t="s">
        <v>51</v>
      </c>
      <c r="R144" s="60" t="s">
        <v>429</v>
      </c>
      <c r="S144" s="61"/>
      <c r="T144" s="66"/>
      <c r="U144" s="25"/>
      <c r="V144" s="25"/>
      <c r="W144" s="25"/>
      <c r="X144" s="25"/>
      <c r="Y144" s="25"/>
      <c r="Z144" s="25"/>
    </row>
    <row r="145" spans="2:26" s="123" customFormat="1" x14ac:dyDescent="0.3">
      <c r="B145" s="13">
        <v>140</v>
      </c>
      <c r="C145" s="49" t="s">
        <v>203</v>
      </c>
      <c r="D145" s="50" t="s">
        <v>48</v>
      </c>
      <c r="E145" s="50" t="s">
        <v>18</v>
      </c>
      <c r="F145" s="63" t="s">
        <v>95</v>
      </c>
      <c r="G145" s="63" t="s">
        <v>430</v>
      </c>
      <c r="H145" s="51">
        <v>1</v>
      </c>
      <c r="I145" s="52">
        <v>0</v>
      </c>
      <c r="J145" s="53">
        <v>46163</v>
      </c>
      <c r="K145" s="54">
        <v>46330</v>
      </c>
      <c r="L145" s="55">
        <v>113</v>
      </c>
      <c r="M145" s="56">
        <v>900</v>
      </c>
      <c r="N145" s="56">
        <v>7290</v>
      </c>
      <c r="O145" s="57">
        <v>6561000</v>
      </c>
      <c r="P145" s="58">
        <v>30</v>
      </c>
      <c r="Q145" s="59" t="s">
        <v>297</v>
      </c>
      <c r="R145" s="60" t="s">
        <v>431</v>
      </c>
      <c r="S145" s="61"/>
      <c r="T145" s="66"/>
      <c r="U145" s="25"/>
      <c r="V145" s="25"/>
      <c r="W145" s="25"/>
      <c r="X145" s="25"/>
      <c r="Y145" s="25"/>
      <c r="Z145" s="25"/>
    </row>
    <row r="146" spans="2:26" s="123" customFormat="1" x14ac:dyDescent="0.3">
      <c r="B146" s="13">
        <v>141</v>
      </c>
      <c r="C146" s="49" t="s">
        <v>203</v>
      </c>
      <c r="D146" s="50" t="s">
        <v>48</v>
      </c>
      <c r="E146" s="50" t="s">
        <v>39</v>
      </c>
      <c r="F146" s="63" t="s">
        <v>49</v>
      </c>
      <c r="G146" s="63" t="s">
        <v>432</v>
      </c>
      <c r="H146" s="51">
        <v>1</v>
      </c>
      <c r="I146" s="52">
        <v>1</v>
      </c>
      <c r="J146" s="53">
        <v>46189</v>
      </c>
      <c r="K146" s="54">
        <v>46315</v>
      </c>
      <c r="L146" s="55">
        <v>86</v>
      </c>
      <c r="M146" s="56">
        <v>600</v>
      </c>
      <c r="N146" s="56">
        <v>7290</v>
      </c>
      <c r="O146" s="57">
        <v>4374000</v>
      </c>
      <c r="P146" s="58">
        <v>20</v>
      </c>
      <c r="Q146" s="59" t="s">
        <v>287</v>
      </c>
      <c r="R146" s="60" t="s">
        <v>210</v>
      </c>
      <c r="S146" s="61"/>
      <c r="T146" s="66"/>
      <c r="U146" s="25"/>
      <c r="V146" s="25"/>
      <c r="W146" s="25"/>
      <c r="X146" s="25"/>
      <c r="Y146" s="25"/>
      <c r="Z146" s="25"/>
    </row>
    <row r="147" spans="2:26" s="123" customFormat="1" x14ac:dyDescent="0.3">
      <c r="B147" s="13">
        <v>142</v>
      </c>
      <c r="C147" s="49" t="s">
        <v>203</v>
      </c>
      <c r="D147" s="50" t="s">
        <v>48</v>
      </c>
      <c r="E147" s="50" t="s">
        <v>18</v>
      </c>
      <c r="F147" s="63" t="s">
        <v>95</v>
      </c>
      <c r="G147" s="63" t="s">
        <v>433</v>
      </c>
      <c r="H147" s="51">
        <v>1</v>
      </c>
      <c r="I147" s="52">
        <v>0</v>
      </c>
      <c r="J147" s="53">
        <v>46219</v>
      </c>
      <c r="K147" s="54">
        <v>46385</v>
      </c>
      <c r="L147" s="55">
        <v>113</v>
      </c>
      <c r="M147" s="56">
        <v>900</v>
      </c>
      <c r="N147" s="56">
        <v>7290</v>
      </c>
      <c r="O147" s="57">
        <v>6561000</v>
      </c>
      <c r="P147" s="58">
        <v>30</v>
      </c>
      <c r="Q147" s="59" t="s">
        <v>47</v>
      </c>
      <c r="R147" s="60" t="s">
        <v>427</v>
      </c>
      <c r="S147" s="61"/>
      <c r="T147" s="66"/>
      <c r="U147" s="25"/>
      <c r="V147" s="25"/>
      <c r="W147" s="25"/>
      <c r="X147" s="25"/>
      <c r="Y147" s="25"/>
      <c r="Z147" s="25"/>
    </row>
    <row r="148" spans="2:26" s="123" customFormat="1" x14ac:dyDescent="0.3">
      <c r="B148" s="13">
        <v>143</v>
      </c>
      <c r="C148" s="49" t="s">
        <v>203</v>
      </c>
      <c r="D148" s="50" t="s">
        <v>48</v>
      </c>
      <c r="E148" s="50" t="s">
        <v>39</v>
      </c>
      <c r="F148" s="63" t="s">
        <v>49</v>
      </c>
      <c r="G148" s="63" t="s">
        <v>434</v>
      </c>
      <c r="H148" s="51">
        <v>1</v>
      </c>
      <c r="I148" s="52">
        <v>1</v>
      </c>
      <c r="J148" s="53">
        <v>46225</v>
      </c>
      <c r="K148" s="54">
        <v>46351</v>
      </c>
      <c r="L148" s="55">
        <v>86</v>
      </c>
      <c r="M148" s="56">
        <v>600</v>
      </c>
      <c r="N148" s="56">
        <v>7290</v>
      </c>
      <c r="O148" s="57">
        <v>4374000</v>
      </c>
      <c r="P148" s="58">
        <v>20</v>
      </c>
      <c r="Q148" s="59" t="s">
        <v>51</v>
      </c>
      <c r="R148" s="60" t="s">
        <v>429</v>
      </c>
      <c r="S148" s="61"/>
      <c r="T148" s="66"/>
      <c r="U148" s="25"/>
      <c r="V148" s="25"/>
      <c r="W148" s="25"/>
      <c r="X148" s="25"/>
      <c r="Y148" s="25"/>
      <c r="Z148" s="25"/>
    </row>
    <row r="149" spans="2:26" s="123" customFormat="1" x14ac:dyDescent="0.3">
      <c r="B149" s="13">
        <v>144</v>
      </c>
      <c r="C149" s="49" t="s">
        <v>200</v>
      </c>
      <c r="D149" s="50" t="s">
        <v>435</v>
      </c>
      <c r="E149" s="50" t="s">
        <v>18</v>
      </c>
      <c r="F149" s="63" t="s">
        <v>436</v>
      </c>
      <c r="G149" s="63" t="s">
        <v>437</v>
      </c>
      <c r="H149" s="51">
        <v>1</v>
      </c>
      <c r="I149" s="52"/>
      <c r="J149" s="53" t="s">
        <v>438</v>
      </c>
      <c r="K149" s="54" t="s">
        <v>439</v>
      </c>
      <c r="L149" s="55">
        <v>118</v>
      </c>
      <c r="M149" s="56">
        <v>937</v>
      </c>
      <c r="N149" s="56">
        <v>8019</v>
      </c>
      <c r="O149" s="57">
        <f t="shared" ref="O149:O171" si="12">M149*N149</f>
        <v>7513803</v>
      </c>
      <c r="P149" s="58">
        <v>25</v>
      </c>
      <c r="Q149" s="59" t="s">
        <v>128</v>
      </c>
      <c r="R149" s="60" t="s">
        <v>440</v>
      </c>
      <c r="S149" s="64"/>
      <c r="T149" s="22"/>
      <c r="U149" s="25"/>
      <c r="V149" s="25"/>
      <c r="W149" s="25"/>
      <c r="X149" s="25"/>
      <c r="Y149" s="25"/>
      <c r="Z149" s="25"/>
    </row>
    <row r="150" spans="2:26" x14ac:dyDescent="0.3">
      <c r="B150" s="13">
        <v>145</v>
      </c>
      <c r="C150" s="12" t="s">
        <v>200</v>
      </c>
      <c r="D150" s="2" t="s">
        <v>435</v>
      </c>
      <c r="E150" s="2" t="s">
        <v>52</v>
      </c>
      <c r="F150" s="23" t="s">
        <v>49</v>
      </c>
      <c r="G150" s="23" t="s">
        <v>441</v>
      </c>
      <c r="H150" s="3">
        <v>1</v>
      </c>
      <c r="I150" s="32"/>
      <c r="J150" s="28" t="s">
        <v>442</v>
      </c>
      <c r="K150" s="29" t="s">
        <v>443</v>
      </c>
      <c r="L150" s="6">
        <v>20</v>
      </c>
      <c r="M150" s="7">
        <v>80</v>
      </c>
      <c r="N150" s="7">
        <v>6620</v>
      </c>
      <c r="O150" s="8">
        <f t="shared" si="12"/>
        <v>529600</v>
      </c>
      <c r="P150" s="30">
        <v>21</v>
      </c>
      <c r="Q150" s="31" t="s">
        <v>143</v>
      </c>
      <c r="R150" s="27" t="s">
        <v>75</v>
      </c>
      <c r="S150" s="64"/>
      <c r="T150" s="22"/>
    </row>
    <row r="151" spans="2:26" x14ac:dyDescent="0.3">
      <c r="B151" s="13">
        <v>146</v>
      </c>
      <c r="C151" s="12" t="s">
        <v>200</v>
      </c>
      <c r="D151" s="2" t="s">
        <v>435</v>
      </c>
      <c r="E151" s="2" t="s">
        <v>52</v>
      </c>
      <c r="F151" s="23" t="s">
        <v>49</v>
      </c>
      <c r="G151" s="23" t="s">
        <v>444</v>
      </c>
      <c r="H151" s="3">
        <v>1</v>
      </c>
      <c r="I151" s="32"/>
      <c r="J151" s="28" t="s">
        <v>445</v>
      </c>
      <c r="K151" s="29" t="s">
        <v>446</v>
      </c>
      <c r="L151" s="6">
        <v>70</v>
      </c>
      <c r="M151" s="7">
        <v>280</v>
      </c>
      <c r="N151" s="7">
        <v>6620</v>
      </c>
      <c r="O151" s="8">
        <f t="shared" si="12"/>
        <v>1853600</v>
      </c>
      <c r="P151" s="30">
        <v>21</v>
      </c>
      <c r="Q151" s="31" t="s">
        <v>143</v>
      </c>
      <c r="R151" s="27" t="s">
        <v>75</v>
      </c>
      <c r="S151" s="61"/>
      <c r="T151" s="1"/>
    </row>
    <row r="152" spans="2:26" x14ac:dyDescent="0.3">
      <c r="B152" s="13">
        <v>147</v>
      </c>
      <c r="C152" s="12" t="s">
        <v>200</v>
      </c>
      <c r="D152" s="2" t="s">
        <v>435</v>
      </c>
      <c r="E152" s="2" t="s">
        <v>39</v>
      </c>
      <c r="F152" s="23" t="s">
        <v>95</v>
      </c>
      <c r="G152" s="23" t="s">
        <v>447</v>
      </c>
      <c r="H152" s="3">
        <v>1</v>
      </c>
      <c r="I152" s="32"/>
      <c r="J152" s="28" t="s">
        <v>448</v>
      </c>
      <c r="K152" s="29" t="s">
        <v>449</v>
      </c>
      <c r="L152" s="6">
        <v>105</v>
      </c>
      <c r="M152" s="7">
        <v>835</v>
      </c>
      <c r="N152" s="7">
        <v>7290</v>
      </c>
      <c r="O152" s="8">
        <f t="shared" si="12"/>
        <v>6087150</v>
      </c>
      <c r="P152" s="30">
        <v>25</v>
      </c>
      <c r="Q152" s="31" t="s">
        <v>62</v>
      </c>
      <c r="R152" s="27" t="s">
        <v>450</v>
      </c>
      <c r="S152" s="64"/>
      <c r="T152" s="22"/>
    </row>
    <row r="153" spans="2:26" x14ac:dyDescent="0.3">
      <c r="B153" s="13">
        <v>148</v>
      </c>
      <c r="C153" s="12" t="s">
        <v>200</v>
      </c>
      <c r="D153" s="2" t="s">
        <v>435</v>
      </c>
      <c r="E153" s="2" t="s">
        <v>39</v>
      </c>
      <c r="F153" s="23" t="s">
        <v>95</v>
      </c>
      <c r="G153" s="23" t="s">
        <v>451</v>
      </c>
      <c r="H153" s="3">
        <v>1</v>
      </c>
      <c r="I153" s="32"/>
      <c r="J153" s="28" t="s">
        <v>452</v>
      </c>
      <c r="K153" s="29" t="s">
        <v>453</v>
      </c>
      <c r="L153" s="6">
        <v>105</v>
      </c>
      <c r="M153" s="7">
        <v>835</v>
      </c>
      <c r="N153" s="7">
        <v>7290</v>
      </c>
      <c r="O153" s="8">
        <f t="shared" si="12"/>
        <v>6087150</v>
      </c>
      <c r="P153" s="30">
        <v>25</v>
      </c>
      <c r="Q153" s="31" t="s">
        <v>62</v>
      </c>
      <c r="R153" s="27" t="s">
        <v>450</v>
      </c>
      <c r="S153" s="64"/>
      <c r="T153" s="22"/>
    </row>
    <row r="154" spans="2:26" x14ac:dyDescent="0.3">
      <c r="B154" s="13">
        <v>149</v>
      </c>
      <c r="C154" s="12" t="s">
        <v>200</v>
      </c>
      <c r="D154" s="2" t="s">
        <v>435</v>
      </c>
      <c r="E154" s="2" t="s">
        <v>54</v>
      </c>
      <c r="F154" s="23" t="s">
        <v>49</v>
      </c>
      <c r="G154" s="23" t="s">
        <v>454</v>
      </c>
      <c r="H154" s="3">
        <v>1</v>
      </c>
      <c r="I154" s="32"/>
      <c r="J154" s="28" t="s">
        <v>455</v>
      </c>
      <c r="K154" s="29" t="s">
        <v>456</v>
      </c>
      <c r="L154" s="6">
        <v>120</v>
      </c>
      <c r="M154" s="7">
        <v>960</v>
      </c>
      <c r="N154" s="7">
        <v>6620</v>
      </c>
      <c r="O154" s="8">
        <f t="shared" si="12"/>
        <v>6355200</v>
      </c>
      <c r="P154" s="30">
        <v>25</v>
      </c>
      <c r="Q154" s="31" t="s">
        <v>128</v>
      </c>
      <c r="R154" s="27" t="s">
        <v>440</v>
      </c>
      <c r="S154" s="61"/>
      <c r="T154" s="1"/>
    </row>
    <row r="155" spans="2:26" x14ac:dyDescent="0.3">
      <c r="B155" s="13">
        <v>150</v>
      </c>
      <c r="C155" s="12" t="s">
        <v>200</v>
      </c>
      <c r="D155" s="2" t="s">
        <v>435</v>
      </c>
      <c r="E155" s="2" t="s">
        <v>54</v>
      </c>
      <c r="F155" s="23" t="s">
        <v>457</v>
      </c>
      <c r="G155" s="23" t="s">
        <v>458</v>
      </c>
      <c r="H155" s="3">
        <v>1</v>
      </c>
      <c r="I155" s="32"/>
      <c r="J155" s="28" t="s">
        <v>459</v>
      </c>
      <c r="K155" s="29" t="s">
        <v>460</v>
      </c>
      <c r="L155" s="6">
        <v>110</v>
      </c>
      <c r="M155" s="7">
        <v>880</v>
      </c>
      <c r="N155" s="7">
        <v>6620</v>
      </c>
      <c r="O155" s="8">
        <f t="shared" si="12"/>
        <v>5825600</v>
      </c>
      <c r="P155" s="30">
        <v>30</v>
      </c>
      <c r="Q155" s="31" t="s">
        <v>401</v>
      </c>
      <c r="R155" s="27" t="s">
        <v>461</v>
      </c>
      <c r="S155" s="61"/>
      <c r="T155" s="1"/>
    </row>
    <row r="156" spans="2:26" x14ac:dyDescent="0.3">
      <c r="B156" s="13">
        <v>151</v>
      </c>
      <c r="C156" s="12" t="s">
        <v>200</v>
      </c>
      <c r="D156" s="2" t="s">
        <v>435</v>
      </c>
      <c r="E156" s="2" t="s">
        <v>54</v>
      </c>
      <c r="F156" s="23" t="s">
        <v>457</v>
      </c>
      <c r="G156" s="23" t="s">
        <v>458</v>
      </c>
      <c r="H156" s="3">
        <v>2</v>
      </c>
      <c r="I156" s="32"/>
      <c r="J156" s="28" t="s">
        <v>462</v>
      </c>
      <c r="K156" s="29" t="s">
        <v>463</v>
      </c>
      <c r="L156" s="6">
        <v>110</v>
      </c>
      <c r="M156" s="7">
        <v>880</v>
      </c>
      <c r="N156" s="7">
        <v>6620</v>
      </c>
      <c r="O156" s="8">
        <f t="shared" si="12"/>
        <v>5825600</v>
      </c>
      <c r="P156" s="30">
        <v>30</v>
      </c>
      <c r="Q156" s="31" t="s">
        <v>401</v>
      </c>
      <c r="R156" s="27" t="s">
        <v>461</v>
      </c>
      <c r="S156" s="61"/>
      <c r="T156" s="1"/>
    </row>
    <row r="157" spans="2:26" x14ac:dyDescent="0.3">
      <c r="B157" s="13">
        <v>152</v>
      </c>
      <c r="C157" s="156" t="s">
        <v>200</v>
      </c>
      <c r="D157" s="157" t="s">
        <v>435</v>
      </c>
      <c r="E157" s="157" t="s">
        <v>54</v>
      </c>
      <c r="F157" s="158" t="s">
        <v>49</v>
      </c>
      <c r="G157" s="158" t="s">
        <v>464</v>
      </c>
      <c r="H157" s="159" t="s">
        <v>535</v>
      </c>
      <c r="I157" s="160"/>
      <c r="J157" s="161"/>
      <c r="K157" s="162"/>
      <c r="L157" s="163">
        <v>107</v>
      </c>
      <c r="M157" s="164">
        <v>852</v>
      </c>
      <c r="N157" s="164">
        <v>6620</v>
      </c>
      <c r="O157" s="165">
        <f t="shared" si="12"/>
        <v>5640240</v>
      </c>
      <c r="P157" s="166">
        <v>25</v>
      </c>
      <c r="Q157" s="167" t="s">
        <v>128</v>
      </c>
      <c r="R157" s="168"/>
      <c r="S157" s="170"/>
      <c r="T157" s="1"/>
      <c r="U157" s="152" t="s">
        <v>534</v>
      </c>
    </row>
    <row r="158" spans="2:26" x14ac:dyDescent="0.3">
      <c r="B158" s="13">
        <v>153</v>
      </c>
      <c r="C158" s="12" t="s">
        <v>200</v>
      </c>
      <c r="D158" s="2" t="s">
        <v>435</v>
      </c>
      <c r="E158" s="2" t="s">
        <v>54</v>
      </c>
      <c r="F158" s="23" t="s">
        <v>49</v>
      </c>
      <c r="G158" s="23" t="s">
        <v>465</v>
      </c>
      <c r="H158" s="3" t="s">
        <v>535</v>
      </c>
      <c r="I158" s="32"/>
      <c r="J158" s="28" t="s">
        <v>438</v>
      </c>
      <c r="K158" s="29" t="s">
        <v>466</v>
      </c>
      <c r="L158" s="6">
        <v>108</v>
      </c>
      <c r="M158" s="7">
        <v>860</v>
      </c>
      <c r="N158" s="7">
        <v>6620</v>
      </c>
      <c r="O158" s="8">
        <f t="shared" si="12"/>
        <v>5693200</v>
      </c>
      <c r="P158" s="30">
        <v>25</v>
      </c>
      <c r="Q158" s="31" t="s">
        <v>195</v>
      </c>
      <c r="R158" s="27" t="s">
        <v>467</v>
      </c>
      <c r="S158" s="61"/>
      <c r="T158" s="1"/>
    </row>
    <row r="159" spans="2:26" x14ac:dyDescent="0.3">
      <c r="B159" s="13">
        <v>154</v>
      </c>
      <c r="C159" s="156" t="s">
        <v>200</v>
      </c>
      <c r="D159" s="157" t="s">
        <v>435</v>
      </c>
      <c r="E159" s="157" t="s">
        <v>54</v>
      </c>
      <c r="F159" s="158" t="s">
        <v>49</v>
      </c>
      <c r="G159" s="158" t="s">
        <v>468</v>
      </c>
      <c r="H159" s="159" t="s">
        <v>535</v>
      </c>
      <c r="I159" s="160"/>
      <c r="J159" s="161"/>
      <c r="K159" s="162"/>
      <c r="L159" s="163">
        <v>100</v>
      </c>
      <c r="M159" s="164">
        <v>800</v>
      </c>
      <c r="N159" s="164">
        <v>6620</v>
      </c>
      <c r="O159" s="165">
        <f t="shared" si="12"/>
        <v>5296000</v>
      </c>
      <c r="P159" s="166">
        <v>20</v>
      </c>
      <c r="Q159" s="167" t="s">
        <v>143</v>
      </c>
      <c r="R159" s="168"/>
      <c r="S159" s="170"/>
      <c r="T159" s="1"/>
      <c r="U159" s="152" t="s">
        <v>534</v>
      </c>
    </row>
    <row r="160" spans="2:26" x14ac:dyDescent="0.3">
      <c r="B160" s="13">
        <v>155</v>
      </c>
      <c r="C160" s="12" t="s">
        <v>200</v>
      </c>
      <c r="D160" s="2" t="s">
        <v>435</v>
      </c>
      <c r="E160" s="2" t="s">
        <v>54</v>
      </c>
      <c r="F160" s="23" t="s">
        <v>49</v>
      </c>
      <c r="G160" s="23" t="s">
        <v>469</v>
      </c>
      <c r="H160" s="3">
        <v>1</v>
      </c>
      <c r="I160" s="32"/>
      <c r="J160" s="28" t="s">
        <v>470</v>
      </c>
      <c r="K160" s="29" t="s">
        <v>471</v>
      </c>
      <c r="L160" s="6">
        <v>115</v>
      </c>
      <c r="M160" s="7">
        <v>920</v>
      </c>
      <c r="N160" s="7">
        <v>6620</v>
      </c>
      <c r="O160" s="8">
        <f t="shared" si="12"/>
        <v>6090400</v>
      </c>
      <c r="P160" s="30">
        <v>20</v>
      </c>
      <c r="Q160" s="31" t="s">
        <v>143</v>
      </c>
      <c r="R160" s="27" t="s">
        <v>472</v>
      </c>
      <c r="S160" s="111"/>
      <c r="T160" s="1"/>
    </row>
    <row r="161" spans="2:21" x14ac:dyDescent="0.3">
      <c r="B161" s="13">
        <v>156</v>
      </c>
      <c r="C161" s="12" t="s">
        <v>200</v>
      </c>
      <c r="D161" s="2" t="s">
        <v>180</v>
      </c>
      <c r="E161" s="2" t="s">
        <v>39</v>
      </c>
      <c r="F161" s="23" t="s">
        <v>209</v>
      </c>
      <c r="G161" s="151" t="s">
        <v>403</v>
      </c>
      <c r="H161" s="3">
        <v>1</v>
      </c>
      <c r="I161" s="32">
        <v>0</v>
      </c>
      <c r="J161" s="28">
        <v>46080</v>
      </c>
      <c r="K161" s="29">
        <v>46225</v>
      </c>
      <c r="L161" s="6">
        <v>100</v>
      </c>
      <c r="M161" s="7">
        <v>800</v>
      </c>
      <c r="N161" s="7">
        <v>7290</v>
      </c>
      <c r="O161" s="8">
        <f t="shared" si="12"/>
        <v>5832000</v>
      </c>
      <c r="P161" s="30">
        <v>20</v>
      </c>
      <c r="Q161" s="31" t="s">
        <v>401</v>
      </c>
      <c r="R161" s="27" t="s">
        <v>522</v>
      </c>
      <c r="S161" s="112"/>
      <c r="T161" s="1"/>
    </row>
    <row r="162" spans="2:21" x14ac:dyDescent="0.3">
      <c r="B162" s="13">
        <v>157</v>
      </c>
      <c r="C162" s="12" t="s">
        <v>200</v>
      </c>
      <c r="D162" s="2" t="s">
        <v>180</v>
      </c>
      <c r="E162" s="2" t="s">
        <v>54</v>
      </c>
      <c r="F162" s="23" t="s">
        <v>209</v>
      </c>
      <c r="G162" s="23" t="s">
        <v>523</v>
      </c>
      <c r="H162" s="3">
        <v>2</v>
      </c>
      <c r="I162" s="32">
        <v>1</v>
      </c>
      <c r="J162" s="28">
        <v>46086</v>
      </c>
      <c r="K162" s="29">
        <v>46259</v>
      </c>
      <c r="L162" s="6">
        <v>120</v>
      </c>
      <c r="M162" s="7">
        <v>960</v>
      </c>
      <c r="N162" s="7">
        <v>8606</v>
      </c>
      <c r="O162" s="8">
        <f t="shared" si="12"/>
        <v>8261760</v>
      </c>
      <c r="P162" s="30">
        <v>20</v>
      </c>
      <c r="Q162" s="31" t="s">
        <v>195</v>
      </c>
      <c r="R162" s="27" t="s">
        <v>524</v>
      </c>
      <c r="S162" s="110"/>
      <c r="T162" s="1"/>
    </row>
    <row r="163" spans="2:21" x14ac:dyDescent="0.3">
      <c r="B163" s="13">
        <v>158</v>
      </c>
      <c r="C163" s="12" t="s">
        <v>200</v>
      </c>
      <c r="D163" s="2" t="s">
        <v>180</v>
      </c>
      <c r="E163" s="2" t="s">
        <v>18</v>
      </c>
      <c r="F163" s="23" t="s">
        <v>209</v>
      </c>
      <c r="G163" s="23" t="s">
        <v>525</v>
      </c>
      <c r="H163" s="3">
        <v>1</v>
      </c>
      <c r="I163" s="32">
        <v>0</v>
      </c>
      <c r="J163" s="28">
        <v>46140</v>
      </c>
      <c r="K163" s="29">
        <v>46302</v>
      </c>
      <c r="L163" s="6">
        <v>110</v>
      </c>
      <c r="M163" s="7">
        <v>880</v>
      </c>
      <c r="N163" s="7">
        <v>7290</v>
      </c>
      <c r="O163" s="8">
        <f t="shared" si="12"/>
        <v>6415200</v>
      </c>
      <c r="P163" s="30">
        <v>30</v>
      </c>
      <c r="Q163" s="31" t="s">
        <v>143</v>
      </c>
      <c r="R163" s="27" t="s">
        <v>526</v>
      </c>
      <c r="S163" s="110"/>
      <c r="T163" s="1"/>
    </row>
    <row r="164" spans="2:21" x14ac:dyDescent="0.3">
      <c r="B164" s="13">
        <v>159</v>
      </c>
      <c r="C164" s="12" t="s">
        <v>200</v>
      </c>
      <c r="D164" s="2" t="s">
        <v>180</v>
      </c>
      <c r="E164" s="2" t="s">
        <v>52</v>
      </c>
      <c r="F164" s="23" t="s">
        <v>209</v>
      </c>
      <c r="G164" s="23" t="s">
        <v>527</v>
      </c>
      <c r="H164" s="3">
        <v>1</v>
      </c>
      <c r="I164" s="32">
        <v>0</v>
      </c>
      <c r="J164" s="28">
        <v>46155</v>
      </c>
      <c r="K164" s="29">
        <v>46372</v>
      </c>
      <c r="L164" s="6">
        <v>56</v>
      </c>
      <c r="M164" s="7">
        <v>280</v>
      </c>
      <c r="N164" s="7">
        <v>6620</v>
      </c>
      <c r="O164" s="8">
        <f t="shared" si="12"/>
        <v>1853600</v>
      </c>
      <c r="P164" s="30">
        <v>15</v>
      </c>
      <c r="Q164" s="31" t="s">
        <v>401</v>
      </c>
      <c r="R164" s="27" t="s">
        <v>528</v>
      </c>
      <c r="S164" s="110"/>
    </row>
    <row r="165" spans="2:21" x14ac:dyDescent="0.3">
      <c r="B165" s="13">
        <v>160</v>
      </c>
      <c r="C165" s="12" t="s">
        <v>200</v>
      </c>
      <c r="D165" s="2" t="s">
        <v>180</v>
      </c>
      <c r="E165" s="2" t="s">
        <v>39</v>
      </c>
      <c r="F165" s="23" t="s">
        <v>529</v>
      </c>
      <c r="G165" s="151" t="s">
        <v>530</v>
      </c>
      <c r="H165" s="3">
        <v>1</v>
      </c>
      <c r="I165" s="32">
        <v>0</v>
      </c>
      <c r="J165" s="28">
        <v>46170</v>
      </c>
      <c r="K165" s="29">
        <v>46317</v>
      </c>
      <c r="L165" s="6">
        <v>100</v>
      </c>
      <c r="M165" s="7">
        <v>800</v>
      </c>
      <c r="N165" s="7">
        <v>7290</v>
      </c>
      <c r="O165" s="8">
        <f t="shared" si="12"/>
        <v>5832000</v>
      </c>
      <c r="P165" s="30">
        <v>20</v>
      </c>
      <c r="Q165" s="31" t="s">
        <v>62</v>
      </c>
      <c r="R165" s="27" t="s">
        <v>127</v>
      </c>
      <c r="S165" s="110"/>
    </row>
    <row r="166" spans="2:21" x14ac:dyDescent="0.3">
      <c r="B166" s="13">
        <v>161</v>
      </c>
      <c r="C166" s="12" t="s">
        <v>200</v>
      </c>
      <c r="D166" s="2" t="s">
        <v>180</v>
      </c>
      <c r="E166" s="2" t="s">
        <v>39</v>
      </c>
      <c r="F166" s="23" t="s">
        <v>209</v>
      </c>
      <c r="G166" s="151" t="s">
        <v>476</v>
      </c>
      <c r="H166" s="3">
        <v>1</v>
      </c>
      <c r="I166" s="32">
        <v>0</v>
      </c>
      <c r="J166" s="28">
        <v>46205</v>
      </c>
      <c r="K166" s="29">
        <v>46351</v>
      </c>
      <c r="L166" s="6">
        <v>100</v>
      </c>
      <c r="M166" s="7">
        <v>800</v>
      </c>
      <c r="N166" s="7">
        <v>7290</v>
      </c>
      <c r="O166" s="8">
        <f t="shared" si="12"/>
        <v>5832000</v>
      </c>
      <c r="P166" s="30">
        <v>20</v>
      </c>
      <c r="Q166" s="31" t="s">
        <v>128</v>
      </c>
      <c r="R166" s="27" t="s">
        <v>531</v>
      </c>
      <c r="S166" s="110"/>
    </row>
    <row r="167" spans="2:21" x14ac:dyDescent="0.3">
      <c r="B167" s="13">
        <v>162</v>
      </c>
      <c r="C167" s="12" t="s">
        <v>200</v>
      </c>
      <c r="D167" s="2" t="s">
        <v>180</v>
      </c>
      <c r="E167" s="2" t="s">
        <v>54</v>
      </c>
      <c r="F167" s="23" t="s">
        <v>209</v>
      </c>
      <c r="G167" s="23" t="s">
        <v>523</v>
      </c>
      <c r="H167" s="3">
        <v>3</v>
      </c>
      <c r="I167" s="32">
        <v>0</v>
      </c>
      <c r="J167" s="28">
        <v>46273</v>
      </c>
      <c r="K167" s="29">
        <v>46451</v>
      </c>
      <c r="L167" s="6">
        <v>120</v>
      </c>
      <c r="M167" s="7">
        <v>960</v>
      </c>
      <c r="N167" s="7">
        <v>8606</v>
      </c>
      <c r="O167" s="8">
        <f t="shared" si="12"/>
        <v>8261760</v>
      </c>
      <c r="P167" s="30">
        <v>20</v>
      </c>
      <c r="Q167" s="31" t="s">
        <v>195</v>
      </c>
      <c r="R167" s="27" t="s">
        <v>522</v>
      </c>
      <c r="S167" s="110"/>
    </row>
    <row r="168" spans="2:21" x14ac:dyDescent="0.3">
      <c r="B168" s="13">
        <v>163</v>
      </c>
      <c r="C168" s="12" t="s">
        <v>200</v>
      </c>
      <c r="D168" s="2" t="s">
        <v>180</v>
      </c>
      <c r="E168" s="2" t="s">
        <v>18</v>
      </c>
      <c r="F168" s="23" t="s">
        <v>209</v>
      </c>
      <c r="G168" s="23" t="s">
        <v>525</v>
      </c>
      <c r="H168" s="3">
        <v>2</v>
      </c>
      <c r="I168" s="32">
        <v>0</v>
      </c>
      <c r="J168" s="28">
        <v>46308</v>
      </c>
      <c r="K168" s="29">
        <v>46468</v>
      </c>
      <c r="L168" s="6">
        <v>110</v>
      </c>
      <c r="M168" s="7">
        <v>880</v>
      </c>
      <c r="N168" s="7">
        <v>7290</v>
      </c>
      <c r="O168" s="8">
        <f t="shared" si="12"/>
        <v>6415200</v>
      </c>
      <c r="P168" s="30">
        <v>30</v>
      </c>
      <c r="Q168" s="31" t="s">
        <v>143</v>
      </c>
      <c r="R168" s="27" t="s">
        <v>526</v>
      </c>
      <c r="S168" s="110"/>
    </row>
    <row r="169" spans="2:21" ht="17.25" thickBot="1" x14ac:dyDescent="0.35">
      <c r="B169" s="13">
        <v>164</v>
      </c>
      <c r="C169" s="4" t="s">
        <v>200</v>
      </c>
      <c r="D169" s="4" t="s">
        <v>180</v>
      </c>
      <c r="E169" s="4" t="s">
        <v>52</v>
      </c>
      <c r="F169" s="122" t="s">
        <v>529</v>
      </c>
      <c r="G169" s="122" t="s">
        <v>532</v>
      </c>
      <c r="H169" s="5">
        <v>1</v>
      </c>
      <c r="I169" s="41">
        <v>0</v>
      </c>
      <c r="J169" s="42">
        <v>46322</v>
      </c>
      <c r="K169" s="43">
        <v>46384</v>
      </c>
      <c r="L169" s="9">
        <v>90</v>
      </c>
      <c r="M169" s="10">
        <v>360</v>
      </c>
      <c r="N169" s="10">
        <v>6620</v>
      </c>
      <c r="O169" s="11">
        <f t="shared" si="12"/>
        <v>2383200</v>
      </c>
      <c r="P169" s="44">
        <v>20</v>
      </c>
      <c r="Q169" s="45" t="s">
        <v>62</v>
      </c>
      <c r="R169" s="46" t="s">
        <v>127</v>
      </c>
      <c r="S169" s="115"/>
    </row>
    <row r="170" spans="2:21" x14ac:dyDescent="0.3">
      <c r="B170" s="13">
        <v>165</v>
      </c>
      <c r="C170" s="71" t="s">
        <v>213</v>
      </c>
      <c r="D170" s="71" t="s">
        <v>179</v>
      </c>
      <c r="E170" s="71" t="s">
        <v>52</v>
      </c>
      <c r="F170" s="73" t="s">
        <v>214</v>
      </c>
      <c r="G170" s="73" t="s">
        <v>512</v>
      </c>
      <c r="H170" s="72">
        <v>1</v>
      </c>
      <c r="I170" s="74">
        <v>4</v>
      </c>
      <c r="J170" s="75">
        <v>46151</v>
      </c>
      <c r="K170" s="76">
        <v>46306</v>
      </c>
      <c r="L170" s="77">
        <v>60</v>
      </c>
      <c r="M170" s="78">
        <v>300</v>
      </c>
      <c r="N170" s="78">
        <v>6470</v>
      </c>
      <c r="O170" s="79">
        <f t="shared" si="12"/>
        <v>1941000</v>
      </c>
      <c r="P170" s="80">
        <v>10</v>
      </c>
      <c r="Q170" s="81" t="s">
        <v>513</v>
      </c>
      <c r="R170" s="82" t="s">
        <v>514</v>
      </c>
      <c r="S170" s="114"/>
    </row>
    <row r="171" spans="2:21" x14ac:dyDescent="0.3">
      <c r="B171" s="13">
        <v>166</v>
      </c>
      <c r="C171" s="2" t="s">
        <v>213</v>
      </c>
      <c r="D171" s="2" t="s">
        <v>179</v>
      </c>
      <c r="E171" s="2" t="s">
        <v>212</v>
      </c>
      <c r="F171" s="23" t="s">
        <v>487</v>
      </c>
      <c r="G171" s="23" t="s">
        <v>515</v>
      </c>
      <c r="H171" s="3">
        <v>1</v>
      </c>
      <c r="I171" s="32"/>
      <c r="J171" s="28">
        <v>46308</v>
      </c>
      <c r="K171" s="29">
        <v>46331</v>
      </c>
      <c r="L171" s="6">
        <v>13</v>
      </c>
      <c r="M171" s="7">
        <v>39</v>
      </c>
      <c r="N171" s="7">
        <v>6470</v>
      </c>
      <c r="O171" s="8">
        <f t="shared" si="12"/>
        <v>252330</v>
      </c>
      <c r="P171" s="30">
        <v>8</v>
      </c>
      <c r="Q171" s="31" t="s">
        <v>516</v>
      </c>
      <c r="R171" s="27" t="s">
        <v>517</v>
      </c>
      <c r="S171" s="111"/>
      <c r="U171" s="152" t="s">
        <v>539</v>
      </c>
    </row>
    <row r="172" spans="2:21" x14ac:dyDescent="0.3">
      <c r="B172" s="13">
        <v>167</v>
      </c>
      <c r="C172" s="96" t="s">
        <v>213</v>
      </c>
      <c r="D172" s="96" t="s">
        <v>183</v>
      </c>
      <c r="E172" s="96" t="s">
        <v>52</v>
      </c>
      <c r="F172" s="98" t="s">
        <v>487</v>
      </c>
      <c r="G172" s="98" t="s">
        <v>488</v>
      </c>
      <c r="H172" s="97">
        <v>1</v>
      </c>
      <c r="I172" s="32" t="s">
        <v>100</v>
      </c>
      <c r="J172" s="99">
        <v>45788</v>
      </c>
      <c r="K172" s="100">
        <v>45867</v>
      </c>
      <c r="L172" s="101">
        <v>56</v>
      </c>
      <c r="M172" s="102">
        <v>280</v>
      </c>
      <c r="N172" s="102">
        <v>6470</v>
      </c>
      <c r="O172" s="103">
        <v>1811600</v>
      </c>
      <c r="P172" s="104">
        <v>12</v>
      </c>
      <c r="Q172" s="105" t="s">
        <v>489</v>
      </c>
      <c r="R172" s="106" t="s">
        <v>210</v>
      </c>
      <c r="S172" s="111"/>
      <c r="T172" s="1"/>
      <c r="U172" s="153" t="s">
        <v>540</v>
      </c>
    </row>
    <row r="173" spans="2:21" x14ac:dyDescent="0.3">
      <c r="B173" s="13">
        <v>168</v>
      </c>
      <c r="C173" s="2" t="s">
        <v>213</v>
      </c>
      <c r="D173" s="2" t="s">
        <v>48</v>
      </c>
      <c r="E173" s="2" t="s">
        <v>212</v>
      </c>
      <c r="F173" s="23" t="s">
        <v>215</v>
      </c>
      <c r="G173" s="23" t="s">
        <v>218</v>
      </c>
      <c r="H173" s="3">
        <v>1</v>
      </c>
      <c r="I173" s="32">
        <v>0</v>
      </c>
      <c r="J173" s="28">
        <v>46267</v>
      </c>
      <c r="K173" s="29">
        <v>46330</v>
      </c>
      <c r="L173" s="6">
        <v>10</v>
      </c>
      <c r="M173" s="7">
        <v>30</v>
      </c>
      <c r="N173" s="7">
        <v>6470</v>
      </c>
      <c r="O173" s="8">
        <v>194100</v>
      </c>
      <c r="P173" s="30">
        <v>12</v>
      </c>
      <c r="Q173" s="31" t="s">
        <v>490</v>
      </c>
      <c r="R173" s="27" t="s">
        <v>491</v>
      </c>
      <c r="S173" s="111"/>
      <c r="T173" s="1"/>
    </row>
    <row r="174" spans="2:21" x14ac:dyDescent="0.3">
      <c r="B174" s="13">
        <v>169</v>
      </c>
      <c r="C174" s="2" t="s">
        <v>213</v>
      </c>
      <c r="D174" s="2" t="s">
        <v>492</v>
      </c>
      <c r="E174" s="2" t="s">
        <v>212</v>
      </c>
      <c r="F174" s="23"/>
      <c r="G174" s="107" t="s">
        <v>493</v>
      </c>
      <c r="H174" s="3">
        <v>1</v>
      </c>
      <c r="I174" s="32">
        <v>1</v>
      </c>
      <c r="J174" s="28">
        <v>46090</v>
      </c>
      <c r="K174" s="29">
        <v>46181</v>
      </c>
      <c r="L174" s="6">
        <v>42</v>
      </c>
      <c r="M174" s="7">
        <v>210</v>
      </c>
      <c r="N174" s="7">
        <v>6470</v>
      </c>
      <c r="O174" s="8">
        <v>1358700</v>
      </c>
      <c r="P174" s="30">
        <v>10</v>
      </c>
      <c r="Q174" s="31" t="s">
        <v>494</v>
      </c>
      <c r="R174" s="27" t="s">
        <v>495</v>
      </c>
      <c r="S174" s="111"/>
    </row>
    <row r="175" spans="2:21" x14ac:dyDescent="0.3">
      <c r="B175" s="13">
        <v>170</v>
      </c>
      <c r="C175" s="49" t="s">
        <v>496</v>
      </c>
      <c r="D175" s="50" t="s">
        <v>174</v>
      </c>
      <c r="E175" s="50" t="s">
        <v>52</v>
      </c>
      <c r="F175" s="63" t="s">
        <v>497</v>
      </c>
      <c r="G175" s="108" t="s">
        <v>498</v>
      </c>
      <c r="H175" s="51">
        <v>1</v>
      </c>
      <c r="I175" s="32" t="s">
        <v>100</v>
      </c>
      <c r="J175" s="28">
        <v>46127</v>
      </c>
      <c r="K175" s="29">
        <v>46178</v>
      </c>
      <c r="L175" s="6">
        <v>47</v>
      </c>
      <c r="M175" s="7">
        <v>139</v>
      </c>
      <c r="N175" s="7">
        <v>7150</v>
      </c>
      <c r="O175" s="8">
        <v>1093850</v>
      </c>
      <c r="P175" s="30">
        <v>20</v>
      </c>
      <c r="Q175" s="31" t="s">
        <v>499</v>
      </c>
      <c r="R175" s="27" t="s">
        <v>500</v>
      </c>
      <c r="S175" s="111"/>
    </row>
    <row r="176" spans="2:21" x14ac:dyDescent="0.3">
      <c r="B176" s="13">
        <v>171</v>
      </c>
      <c r="C176" s="49" t="s">
        <v>496</v>
      </c>
      <c r="D176" s="50" t="s">
        <v>174</v>
      </c>
      <c r="E176" s="50" t="s">
        <v>52</v>
      </c>
      <c r="F176" s="63" t="s">
        <v>501</v>
      </c>
      <c r="G176" s="108" t="s">
        <v>502</v>
      </c>
      <c r="H176" s="109">
        <v>1</v>
      </c>
      <c r="I176" s="32" t="s">
        <v>100</v>
      </c>
      <c r="J176" s="28">
        <v>46183</v>
      </c>
      <c r="K176" s="29">
        <v>46235</v>
      </c>
      <c r="L176" s="6">
        <v>39</v>
      </c>
      <c r="M176" s="7">
        <v>152</v>
      </c>
      <c r="N176" s="7">
        <v>7150</v>
      </c>
      <c r="O176" s="8">
        <v>1148800</v>
      </c>
      <c r="P176" s="30">
        <v>20</v>
      </c>
      <c r="Q176" s="31" t="s">
        <v>503</v>
      </c>
      <c r="R176" s="27" t="s">
        <v>504</v>
      </c>
      <c r="S176" s="111"/>
    </row>
    <row r="177" spans="2:19" x14ac:dyDescent="0.3">
      <c r="B177" s="13">
        <v>172</v>
      </c>
      <c r="C177" s="49" t="s">
        <v>496</v>
      </c>
      <c r="D177" s="50" t="s">
        <v>174</v>
      </c>
      <c r="E177" s="50" t="s">
        <v>52</v>
      </c>
      <c r="F177" s="63" t="s">
        <v>505</v>
      </c>
      <c r="G177" s="108" t="s">
        <v>506</v>
      </c>
      <c r="H177" s="51">
        <v>1</v>
      </c>
      <c r="I177" s="32" t="s">
        <v>100</v>
      </c>
      <c r="J177" s="28">
        <v>46040</v>
      </c>
      <c r="K177" s="29">
        <v>46188</v>
      </c>
      <c r="L177" s="6">
        <v>38</v>
      </c>
      <c r="M177" s="7">
        <v>150</v>
      </c>
      <c r="N177" s="7">
        <v>6900</v>
      </c>
      <c r="O177" s="8">
        <v>1135000</v>
      </c>
      <c r="P177" s="30">
        <v>20</v>
      </c>
      <c r="Q177" s="31" t="s">
        <v>499</v>
      </c>
      <c r="R177" s="27" t="s">
        <v>507</v>
      </c>
      <c r="S177" s="111"/>
    </row>
    <row r="178" spans="2:19" ht="17.25" thickBot="1" x14ac:dyDescent="0.35">
      <c r="B178" s="13">
        <v>173</v>
      </c>
      <c r="C178" s="4" t="s">
        <v>508</v>
      </c>
      <c r="D178" s="4" t="s">
        <v>184</v>
      </c>
      <c r="E178" s="4" t="s">
        <v>212</v>
      </c>
      <c r="F178" s="122" t="s">
        <v>509</v>
      </c>
      <c r="G178" s="122" t="s">
        <v>510</v>
      </c>
      <c r="H178" s="5">
        <v>1</v>
      </c>
      <c r="I178" s="41">
        <v>4</v>
      </c>
      <c r="J178" s="42">
        <v>46099</v>
      </c>
      <c r="K178" s="43">
        <v>46156</v>
      </c>
      <c r="L178" s="9">
        <v>40</v>
      </c>
      <c r="M178" s="10">
        <v>120</v>
      </c>
      <c r="N178" s="10">
        <v>6900</v>
      </c>
      <c r="O178" s="11">
        <v>816000</v>
      </c>
      <c r="P178" s="44">
        <v>12</v>
      </c>
      <c r="Q178" s="45" t="s">
        <v>47</v>
      </c>
      <c r="R178" s="46" t="s">
        <v>511</v>
      </c>
      <c r="S178" s="113"/>
    </row>
    <row r="179" spans="2:19" x14ac:dyDescent="0.3">
      <c r="B179" s="116"/>
      <c r="C179" s="117"/>
      <c r="D179" s="117"/>
      <c r="E179" s="117"/>
      <c r="F179" s="119"/>
      <c r="G179" s="119"/>
      <c r="H179" s="118"/>
      <c r="I179" s="118"/>
      <c r="J179" s="120"/>
      <c r="K179" s="120"/>
      <c r="L179" s="121"/>
      <c r="M179" s="121"/>
      <c r="N179" s="121"/>
      <c r="O179" s="121"/>
      <c r="P179" s="117"/>
      <c r="Q179" s="117"/>
      <c r="R179" s="117"/>
      <c r="S179" s="66"/>
    </row>
  </sheetData>
  <autoFilter ref="B4:Z76" xr:uid="{00000000-0009-0000-0000-000000000000}">
    <filterColumn colId="8" showButton="0"/>
  </autoFilter>
  <mergeCells count="19">
    <mergeCell ref="J4:K4"/>
    <mergeCell ref="B2:S2"/>
    <mergeCell ref="S4:S5"/>
    <mergeCell ref="B1:S1"/>
    <mergeCell ref="P4:P5"/>
    <mergeCell ref="Q4:Q5"/>
    <mergeCell ref="R4:R5"/>
    <mergeCell ref="L4:L5"/>
    <mergeCell ref="M4:M5"/>
    <mergeCell ref="N4:N5"/>
    <mergeCell ref="O4:O5"/>
    <mergeCell ref="B4:B5"/>
    <mergeCell ref="C4:C5"/>
    <mergeCell ref="D4:D5"/>
    <mergeCell ref="E4:E5"/>
    <mergeCell ref="F4:F5"/>
    <mergeCell ref="G4:G5"/>
    <mergeCell ref="H4:H5"/>
    <mergeCell ref="I4:I5"/>
  </mergeCells>
  <phoneticPr fontId="10" type="noConversion"/>
  <dataValidations count="4">
    <dataValidation type="list" allowBlank="1" showInputMessage="1" showErrorMessage="1" sqref="E76" xr:uid="{00000000-0002-0000-0000-000001000000}">
      <formula1>$T$4:$AB$4</formula1>
    </dataValidation>
    <dataValidation type="list" allowBlank="1" showInputMessage="1" showErrorMessage="1" sqref="E6:E75" xr:uid="{00000000-0002-0000-0000-000000000000}">
      <formula1>$T$4:$Z$4</formula1>
    </dataValidation>
    <dataValidation type="list" allowBlank="1" showInputMessage="1" showErrorMessage="1" sqref="E126:E141 E149:E169" xr:uid="{53775D3C-F3B8-4D26-A3DA-2423D2684AFC}">
      <formula1>$U$4:$AA$4</formula1>
    </dataValidation>
    <dataValidation type="list" allowBlank="1" showInputMessage="1" showErrorMessage="1" sqref="S161:S169" xr:uid="{55A8C9DC-7237-461B-8515-F10CE10B7ABF}">
      <formula1>$U$5:$V$5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"/>
  <sheetViews>
    <sheetView topLeftCell="A2" zoomScaleNormal="100" workbookViewId="0">
      <selection activeCell="M22" sqref="M22"/>
    </sheetView>
  </sheetViews>
  <sheetFormatPr defaultRowHeight="16.5" x14ac:dyDescent="0.3"/>
  <cols>
    <col min="1" max="1" width="5.75" customWidth="1"/>
    <col min="2" max="2" width="4.125" customWidth="1"/>
    <col min="3" max="4" width="5.625" bestFit="1" customWidth="1"/>
    <col min="5" max="5" width="10.375" customWidth="1"/>
    <col min="6" max="6" width="19.125" customWidth="1"/>
    <col min="7" max="7" width="44.625" customWidth="1"/>
    <col min="8" max="10" width="6.25" customWidth="1"/>
    <col min="11" max="11" width="13.375" customWidth="1"/>
    <col min="12" max="12" width="56.25" bestFit="1" customWidth="1"/>
    <col min="13" max="13" width="13.625" style="15" customWidth="1"/>
    <col min="14" max="15" width="5.625" style="15" bestFit="1" customWidth="1"/>
    <col min="16" max="17" width="6.375" style="15" bestFit="1" customWidth="1"/>
    <col min="18" max="18" width="5.625" style="15" bestFit="1" customWidth="1"/>
    <col min="19" max="19" width="4" style="15" bestFit="1" customWidth="1"/>
  </cols>
  <sheetData>
    <row r="1" spans="1:28" ht="26.25" x14ac:dyDescent="0.3">
      <c r="A1" s="1"/>
      <c r="B1" s="181" t="s">
        <v>17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28" ht="52.5" customHeight="1" x14ac:dyDescent="0.3">
      <c r="A2" s="1"/>
      <c r="B2" s="209" t="s">
        <v>33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P2" s="16"/>
    </row>
    <row r="3" spans="1:28" ht="12.75" customHeight="1" thickBot="1" x14ac:dyDescent="0.35">
      <c r="A3" s="1"/>
      <c r="B3" s="1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28" x14ac:dyDescent="0.3">
      <c r="A4" s="1"/>
      <c r="B4" s="195" t="s">
        <v>15</v>
      </c>
      <c r="C4" s="197" t="s">
        <v>0</v>
      </c>
      <c r="D4" s="197" t="s">
        <v>1</v>
      </c>
      <c r="E4" s="198" t="s">
        <v>28</v>
      </c>
      <c r="F4" s="204" t="s">
        <v>31</v>
      </c>
      <c r="G4" s="202" t="s">
        <v>2</v>
      </c>
      <c r="H4" s="188" t="s">
        <v>11</v>
      </c>
      <c r="I4" s="190" t="s">
        <v>13</v>
      </c>
      <c r="J4" s="190" t="s">
        <v>4</v>
      </c>
      <c r="K4" s="193" t="s">
        <v>12</v>
      </c>
      <c r="L4" s="212" t="s">
        <v>32</v>
      </c>
      <c r="M4" s="15" t="s">
        <v>19</v>
      </c>
      <c r="N4" s="15" t="s">
        <v>20</v>
      </c>
      <c r="O4" s="15" t="s">
        <v>21</v>
      </c>
    </row>
    <row r="5" spans="1:28" ht="17.25" thickBot="1" x14ac:dyDescent="0.35">
      <c r="A5" s="1"/>
      <c r="B5" s="196"/>
      <c r="C5" s="191"/>
      <c r="D5" s="191"/>
      <c r="E5" s="199"/>
      <c r="F5" s="203"/>
      <c r="G5" s="203"/>
      <c r="H5" s="189"/>
      <c r="I5" s="191"/>
      <c r="J5" s="192"/>
      <c r="K5" s="194"/>
      <c r="L5" s="213"/>
    </row>
    <row r="6" spans="1:28" s="123" customFormat="1" x14ac:dyDescent="0.3">
      <c r="A6" s="1"/>
      <c r="B6" s="138">
        <v>1</v>
      </c>
      <c r="C6" s="139" t="s">
        <v>45</v>
      </c>
      <c r="D6" s="140" t="s">
        <v>90</v>
      </c>
      <c r="E6" s="140" t="s">
        <v>18</v>
      </c>
      <c r="F6" s="141" t="s">
        <v>95</v>
      </c>
      <c r="G6" s="142" t="s">
        <v>105</v>
      </c>
      <c r="H6" s="143">
        <v>131</v>
      </c>
      <c r="I6" s="144">
        <v>650</v>
      </c>
      <c r="J6" s="144">
        <v>7290</v>
      </c>
      <c r="K6" s="145">
        <v>4738500</v>
      </c>
      <c r="L6" s="146" t="s">
        <v>106</v>
      </c>
      <c r="M6" s="25"/>
      <c r="N6" s="25"/>
      <c r="O6" s="25"/>
      <c r="P6" s="25"/>
      <c r="Q6" s="25"/>
      <c r="R6" s="25"/>
      <c r="S6" s="25"/>
    </row>
    <row r="7" spans="1:28" s="123" customFormat="1" x14ac:dyDescent="0.3">
      <c r="A7" s="1"/>
      <c r="B7" s="126">
        <v>2</v>
      </c>
      <c r="C7" s="49" t="s">
        <v>45</v>
      </c>
      <c r="D7" s="50" t="s">
        <v>90</v>
      </c>
      <c r="E7" s="50" t="s">
        <v>18</v>
      </c>
      <c r="F7" s="51" t="s">
        <v>95</v>
      </c>
      <c r="G7" s="63" t="s">
        <v>107</v>
      </c>
      <c r="H7" s="55">
        <v>131</v>
      </c>
      <c r="I7" s="56">
        <v>650</v>
      </c>
      <c r="J7" s="56">
        <v>7290</v>
      </c>
      <c r="K7" s="57">
        <v>4738500</v>
      </c>
      <c r="L7" s="61" t="s">
        <v>106</v>
      </c>
      <c r="M7" s="25"/>
      <c r="N7" s="25"/>
      <c r="O7" s="25"/>
      <c r="P7" s="25"/>
      <c r="Q7" s="25"/>
      <c r="R7" s="25"/>
      <c r="S7" s="25"/>
    </row>
    <row r="8" spans="1:28" s="123" customFormat="1" x14ac:dyDescent="0.3">
      <c r="A8" s="1"/>
      <c r="B8" s="126">
        <v>3</v>
      </c>
      <c r="C8" s="49" t="s">
        <v>45</v>
      </c>
      <c r="D8" s="50" t="s">
        <v>90</v>
      </c>
      <c r="E8" s="50" t="s">
        <v>52</v>
      </c>
      <c r="F8" s="51" t="s">
        <v>46</v>
      </c>
      <c r="G8" s="63" t="s">
        <v>108</v>
      </c>
      <c r="H8" s="55">
        <v>73</v>
      </c>
      <c r="I8" s="56">
        <v>290</v>
      </c>
      <c r="J8" s="56">
        <v>5620</v>
      </c>
      <c r="K8" s="57">
        <v>1629800</v>
      </c>
      <c r="L8" s="61" t="s">
        <v>109</v>
      </c>
      <c r="M8" s="25"/>
      <c r="N8" s="25"/>
      <c r="O8" s="25"/>
      <c r="P8" s="25"/>
      <c r="Q8" s="25"/>
      <c r="R8" s="25"/>
      <c r="S8" s="25"/>
    </row>
    <row r="9" spans="1:28" s="25" customFormat="1" x14ac:dyDescent="0.3">
      <c r="A9" s="1"/>
      <c r="B9" s="126">
        <v>4</v>
      </c>
      <c r="C9" s="49" t="s">
        <v>36</v>
      </c>
      <c r="D9" s="50" t="s">
        <v>126</v>
      </c>
      <c r="E9" s="50" t="s">
        <v>20</v>
      </c>
      <c r="F9" s="51" t="s">
        <v>130</v>
      </c>
      <c r="G9" s="63" t="s">
        <v>131</v>
      </c>
      <c r="H9" s="55">
        <v>70</v>
      </c>
      <c r="I9" s="56">
        <v>350</v>
      </c>
      <c r="J9" s="56">
        <v>6620</v>
      </c>
      <c r="K9" s="57">
        <f t="shared" ref="K9:K10" si="0">I9*J9</f>
        <v>2317000</v>
      </c>
      <c r="L9" s="61" t="s">
        <v>129</v>
      </c>
      <c r="T9" s="123"/>
      <c r="U9" s="123"/>
      <c r="V9" s="123"/>
      <c r="W9" s="123"/>
      <c r="X9" s="123"/>
      <c r="Y9" s="123"/>
      <c r="Z9" s="123"/>
      <c r="AA9" s="123"/>
      <c r="AB9" s="123"/>
    </row>
    <row r="10" spans="1:28" s="25" customFormat="1" x14ac:dyDescent="0.3">
      <c r="A10" s="1"/>
      <c r="B10" s="126">
        <v>5</v>
      </c>
      <c r="C10" s="49" t="s">
        <v>36</v>
      </c>
      <c r="D10" s="50" t="s">
        <v>271</v>
      </c>
      <c r="E10" s="50" t="s">
        <v>20</v>
      </c>
      <c r="F10" s="51" t="s">
        <v>43</v>
      </c>
      <c r="G10" s="63" t="s">
        <v>272</v>
      </c>
      <c r="H10" s="55">
        <v>75</v>
      </c>
      <c r="I10" s="56">
        <v>300</v>
      </c>
      <c r="J10" s="56">
        <v>6920</v>
      </c>
      <c r="K10" s="57">
        <f t="shared" si="0"/>
        <v>2076000</v>
      </c>
      <c r="L10" s="61" t="s">
        <v>34</v>
      </c>
      <c r="T10" s="123"/>
      <c r="U10" s="123"/>
      <c r="V10" s="123"/>
      <c r="W10" s="123"/>
      <c r="X10" s="123"/>
      <c r="Y10" s="123"/>
      <c r="Z10" s="123"/>
      <c r="AA10" s="123"/>
      <c r="AB10" s="123"/>
    </row>
    <row r="11" spans="1:28" s="25" customFormat="1" x14ac:dyDescent="0.3">
      <c r="A11" s="1"/>
      <c r="B11" s="126">
        <v>6</v>
      </c>
      <c r="C11" s="49" t="s">
        <v>45</v>
      </c>
      <c r="D11" s="50" t="s">
        <v>150</v>
      </c>
      <c r="E11" s="50" t="s">
        <v>52</v>
      </c>
      <c r="F11" s="51" t="s">
        <v>122</v>
      </c>
      <c r="G11" s="63" t="s">
        <v>155</v>
      </c>
      <c r="H11" s="55">
        <v>88</v>
      </c>
      <c r="I11" s="56">
        <v>350</v>
      </c>
      <c r="J11" s="56">
        <v>6620</v>
      </c>
      <c r="K11" s="57">
        <v>2317000</v>
      </c>
      <c r="L11" s="61" t="s">
        <v>156</v>
      </c>
      <c r="T11" s="123"/>
      <c r="U11" s="123"/>
      <c r="V11" s="123"/>
      <c r="W11" s="123"/>
      <c r="X11" s="123"/>
      <c r="Y11" s="123"/>
      <c r="Z11" s="123"/>
      <c r="AA11" s="123"/>
      <c r="AB11" s="123"/>
    </row>
    <row r="12" spans="1:28" s="25" customFormat="1" x14ac:dyDescent="0.3">
      <c r="A12" s="1"/>
      <c r="B12" s="126">
        <v>7</v>
      </c>
      <c r="C12" s="49" t="s">
        <v>168</v>
      </c>
      <c r="D12" s="50" t="s">
        <v>37</v>
      </c>
      <c r="E12" s="50" t="s">
        <v>52</v>
      </c>
      <c r="F12" s="51" t="s">
        <v>169</v>
      </c>
      <c r="G12" s="63" t="s">
        <v>177</v>
      </c>
      <c r="H12" s="55">
        <v>93</v>
      </c>
      <c r="I12" s="56">
        <v>370</v>
      </c>
      <c r="J12" s="56">
        <v>6240</v>
      </c>
      <c r="K12" s="57">
        <f t="shared" ref="K12" si="1">I12*J12</f>
        <v>2308800</v>
      </c>
      <c r="L12" s="61" t="s">
        <v>176</v>
      </c>
      <c r="T12" s="123"/>
      <c r="U12" s="123"/>
      <c r="V12" s="123"/>
      <c r="W12" s="123"/>
      <c r="X12" s="123"/>
      <c r="Y12" s="123"/>
      <c r="Z12" s="123"/>
      <c r="AA12" s="123"/>
      <c r="AB12" s="123"/>
    </row>
    <row r="13" spans="1:28" s="25" customFormat="1" x14ac:dyDescent="0.3">
      <c r="A13" s="1"/>
      <c r="B13" s="126">
        <v>8</v>
      </c>
      <c r="C13" s="49" t="s">
        <v>173</v>
      </c>
      <c r="D13" s="50" t="s">
        <v>178</v>
      </c>
      <c r="E13" s="50" t="s">
        <v>52</v>
      </c>
      <c r="F13" s="51" t="s">
        <v>175</v>
      </c>
      <c r="G13" s="63" t="s">
        <v>473</v>
      </c>
      <c r="H13" s="55">
        <v>97</v>
      </c>
      <c r="I13" s="56">
        <v>370</v>
      </c>
      <c r="J13" s="56">
        <v>6240</v>
      </c>
      <c r="K13" s="57">
        <v>2308800</v>
      </c>
      <c r="L13" s="61" t="s">
        <v>474</v>
      </c>
      <c r="T13" s="123"/>
      <c r="U13" s="123"/>
      <c r="V13" s="123"/>
      <c r="W13" s="123"/>
      <c r="X13" s="123"/>
      <c r="Y13" s="123"/>
      <c r="Z13" s="123"/>
      <c r="AA13" s="123"/>
      <c r="AB13" s="123"/>
    </row>
    <row r="14" spans="1:28" s="25" customFormat="1" x14ac:dyDescent="0.3">
      <c r="A14" s="1"/>
      <c r="B14" s="126">
        <v>9</v>
      </c>
      <c r="C14" s="49" t="s">
        <v>173</v>
      </c>
      <c r="D14" s="50" t="s">
        <v>90</v>
      </c>
      <c r="E14" s="50" t="s">
        <v>18</v>
      </c>
      <c r="F14" s="51" t="s">
        <v>175</v>
      </c>
      <c r="G14" s="63" t="s">
        <v>186</v>
      </c>
      <c r="H14" s="127">
        <v>175</v>
      </c>
      <c r="I14" s="128">
        <v>870</v>
      </c>
      <c r="J14" s="128">
        <v>6240</v>
      </c>
      <c r="K14" s="129">
        <v>5428800</v>
      </c>
      <c r="L14" s="61" t="s">
        <v>176</v>
      </c>
      <c r="T14" s="123"/>
      <c r="U14" s="123"/>
      <c r="V14" s="123"/>
      <c r="W14" s="123"/>
      <c r="X14" s="123"/>
      <c r="Y14" s="123"/>
      <c r="Z14" s="123"/>
      <c r="AA14" s="123"/>
      <c r="AB14" s="123"/>
    </row>
    <row r="15" spans="1:28" s="25" customFormat="1" x14ac:dyDescent="0.3">
      <c r="A15" s="1"/>
      <c r="B15" s="126">
        <v>10</v>
      </c>
      <c r="C15" s="49" t="s">
        <v>173</v>
      </c>
      <c r="D15" s="50" t="s">
        <v>181</v>
      </c>
      <c r="E15" s="50" t="s">
        <v>52</v>
      </c>
      <c r="F15" s="51" t="s">
        <v>187</v>
      </c>
      <c r="G15" s="63" t="s">
        <v>188</v>
      </c>
      <c r="H15" s="55">
        <v>93</v>
      </c>
      <c r="I15" s="56">
        <v>370</v>
      </c>
      <c r="J15" s="56">
        <v>6240</v>
      </c>
      <c r="K15" s="57">
        <v>2308800</v>
      </c>
      <c r="L15" s="61" t="s">
        <v>189</v>
      </c>
      <c r="T15" s="123"/>
      <c r="U15" s="123"/>
      <c r="V15" s="123"/>
      <c r="W15" s="123"/>
      <c r="X15" s="123"/>
      <c r="Y15" s="123"/>
      <c r="Z15" s="123"/>
      <c r="AA15" s="123"/>
      <c r="AB15" s="123"/>
    </row>
    <row r="16" spans="1:28" s="25" customFormat="1" x14ac:dyDescent="0.3">
      <c r="A16" s="1"/>
      <c r="B16" s="126">
        <v>11</v>
      </c>
      <c r="C16" s="49" t="s">
        <v>173</v>
      </c>
      <c r="D16" s="50" t="s">
        <v>48</v>
      </c>
      <c r="E16" s="50" t="s">
        <v>52</v>
      </c>
      <c r="F16" s="51" t="s">
        <v>190</v>
      </c>
      <c r="G16" s="63" t="s">
        <v>475</v>
      </c>
      <c r="H16" s="55">
        <v>120</v>
      </c>
      <c r="I16" s="56">
        <v>370</v>
      </c>
      <c r="J16" s="56">
        <v>6240</v>
      </c>
      <c r="K16" s="57">
        <v>2308800</v>
      </c>
      <c r="L16" s="61" t="s">
        <v>176</v>
      </c>
      <c r="T16" s="123"/>
      <c r="U16" s="123"/>
      <c r="V16" s="123"/>
      <c r="W16" s="123"/>
      <c r="X16" s="123"/>
      <c r="Y16" s="123"/>
      <c r="Z16" s="123"/>
      <c r="AA16" s="123"/>
      <c r="AB16" s="123"/>
    </row>
    <row r="17" spans="1:28" s="25" customFormat="1" x14ac:dyDescent="0.3">
      <c r="A17" s="1"/>
      <c r="B17" s="126">
        <v>12</v>
      </c>
      <c r="C17" s="49" t="s">
        <v>173</v>
      </c>
      <c r="D17" s="50" t="s">
        <v>183</v>
      </c>
      <c r="E17" s="50" t="s">
        <v>52</v>
      </c>
      <c r="F17" s="51" t="s">
        <v>175</v>
      </c>
      <c r="G17" s="63" t="s">
        <v>194</v>
      </c>
      <c r="H17" s="55">
        <v>124</v>
      </c>
      <c r="I17" s="56">
        <v>370</v>
      </c>
      <c r="J17" s="56">
        <v>6240</v>
      </c>
      <c r="K17" s="57">
        <v>2308800</v>
      </c>
      <c r="L17" s="61" t="s">
        <v>193</v>
      </c>
      <c r="T17" s="123"/>
      <c r="U17" s="123"/>
      <c r="V17" s="123"/>
      <c r="W17" s="123"/>
      <c r="X17" s="123"/>
      <c r="Y17" s="123"/>
      <c r="Z17" s="123"/>
      <c r="AA17" s="123"/>
      <c r="AB17" s="123"/>
    </row>
    <row r="18" spans="1:28" s="25" customFormat="1" x14ac:dyDescent="0.3">
      <c r="A18" s="1"/>
      <c r="B18" s="126">
        <v>13</v>
      </c>
      <c r="C18" s="49" t="s">
        <v>168</v>
      </c>
      <c r="D18" s="50" t="s">
        <v>147</v>
      </c>
      <c r="E18" s="50" t="s">
        <v>20</v>
      </c>
      <c r="F18" s="51" t="s">
        <v>169</v>
      </c>
      <c r="G18" s="63" t="s">
        <v>196</v>
      </c>
      <c r="H18" s="55">
        <v>62</v>
      </c>
      <c r="I18" s="56">
        <v>370</v>
      </c>
      <c r="J18" s="56">
        <v>6240</v>
      </c>
      <c r="K18" s="57">
        <f t="shared" ref="K18" si="2">I18*J18</f>
        <v>2308800</v>
      </c>
      <c r="L18" s="61" t="s">
        <v>34</v>
      </c>
      <c r="T18" s="123"/>
      <c r="U18" s="123"/>
      <c r="V18" s="123"/>
      <c r="W18" s="123"/>
      <c r="X18" s="123"/>
      <c r="Y18" s="123"/>
      <c r="Z18" s="123"/>
      <c r="AA18" s="123"/>
      <c r="AB18" s="123"/>
    </row>
    <row r="19" spans="1:28" s="25" customFormat="1" x14ac:dyDescent="0.3">
      <c r="A19" s="1"/>
      <c r="B19" s="126">
        <v>14</v>
      </c>
      <c r="C19" s="49" t="s">
        <v>173</v>
      </c>
      <c r="D19" s="50" t="s">
        <v>184</v>
      </c>
      <c r="E19" s="50" t="s">
        <v>52</v>
      </c>
      <c r="F19" s="51" t="s">
        <v>175</v>
      </c>
      <c r="G19" s="63" t="s">
        <v>197</v>
      </c>
      <c r="H19" s="55">
        <v>93</v>
      </c>
      <c r="I19" s="56">
        <v>370</v>
      </c>
      <c r="J19" s="56">
        <v>6240</v>
      </c>
      <c r="K19" s="57">
        <v>2308800</v>
      </c>
      <c r="L19" s="61" t="s">
        <v>176</v>
      </c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1:28" s="25" customFormat="1" x14ac:dyDescent="0.3">
      <c r="A20" s="1"/>
      <c r="B20" s="126">
        <v>15</v>
      </c>
      <c r="C20" s="49" t="s">
        <v>173</v>
      </c>
      <c r="D20" s="50" t="s">
        <v>185</v>
      </c>
      <c r="E20" s="50" t="s">
        <v>52</v>
      </c>
      <c r="F20" s="51" t="s">
        <v>175</v>
      </c>
      <c r="G20" s="63" t="s">
        <v>198</v>
      </c>
      <c r="H20" s="55">
        <v>124</v>
      </c>
      <c r="I20" s="56">
        <v>370</v>
      </c>
      <c r="J20" s="56">
        <v>6240</v>
      </c>
      <c r="K20" s="57">
        <v>2308800</v>
      </c>
      <c r="L20" s="61" t="s">
        <v>199</v>
      </c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1:28" s="25" customFormat="1" x14ac:dyDescent="0.3">
      <c r="A21" s="1"/>
      <c r="B21" s="172">
        <v>16</v>
      </c>
      <c r="C21" s="173" t="s">
        <v>168</v>
      </c>
      <c r="D21" s="174" t="s">
        <v>544</v>
      </c>
      <c r="E21" s="174" t="s">
        <v>20</v>
      </c>
      <c r="F21" s="175" t="s">
        <v>169</v>
      </c>
      <c r="G21" s="176" t="s">
        <v>546</v>
      </c>
      <c r="H21" s="177">
        <v>214</v>
      </c>
      <c r="I21" s="178">
        <v>370</v>
      </c>
      <c r="J21" s="178">
        <v>6240</v>
      </c>
      <c r="K21" s="179">
        <v>2308800</v>
      </c>
      <c r="L21" s="180" t="s">
        <v>545</v>
      </c>
      <c r="M21" s="25" t="s">
        <v>547</v>
      </c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1:28" s="25" customFormat="1" x14ac:dyDescent="0.3">
      <c r="A22" s="1"/>
      <c r="B22" s="126">
        <v>17</v>
      </c>
      <c r="C22" s="49" t="s">
        <v>200</v>
      </c>
      <c r="D22" s="50" t="s">
        <v>37</v>
      </c>
      <c r="E22" s="50" t="s">
        <v>18</v>
      </c>
      <c r="F22" s="51" t="s">
        <v>201</v>
      </c>
      <c r="G22" s="63" t="s">
        <v>206</v>
      </c>
      <c r="H22" s="55">
        <v>113</v>
      </c>
      <c r="I22" s="56">
        <v>900</v>
      </c>
      <c r="J22" s="56">
        <v>7654</v>
      </c>
      <c r="K22" s="57">
        <f t="shared" ref="K22:K28" si="3">I22*J22</f>
        <v>6888600</v>
      </c>
      <c r="L22" s="61" t="s">
        <v>207</v>
      </c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1:28" s="25" customFormat="1" x14ac:dyDescent="0.3">
      <c r="A23" s="1"/>
      <c r="B23" s="126">
        <v>18</v>
      </c>
      <c r="C23" s="49" t="s">
        <v>200</v>
      </c>
      <c r="D23" s="50" t="s">
        <v>37</v>
      </c>
      <c r="E23" s="50" t="s">
        <v>18</v>
      </c>
      <c r="F23" s="51" t="s">
        <v>201</v>
      </c>
      <c r="G23" s="63" t="s">
        <v>208</v>
      </c>
      <c r="H23" s="55">
        <v>113</v>
      </c>
      <c r="I23" s="56">
        <v>900</v>
      </c>
      <c r="J23" s="56">
        <v>7654</v>
      </c>
      <c r="K23" s="57">
        <f t="shared" si="3"/>
        <v>6888600</v>
      </c>
      <c r="L23" s="61" t="s">
        <v>207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1:28" s="25" customFormat="1" x14ac:dyDescent="0.3">
      <c r="A24" s="1"/>
      <c r="B24" s="126">
        <v>19</v>
      </c>
      <c r="C24" s="49" t="s">
        <v>200</v>
      </c>
      <c r="D24" s="50" t="s">
        <v>389</v>
      </c>
      <c r="E24" s="50" t="s">
        <v>18</v>
      </c>
      <c r="F24" s="51" t="s">
        <v>201</v>
      </c>
      <c r="G24" s="63" t="s">
        <v>478</v>
      </c>
      <c r="H24" s="127">
        <v>120</v>
      </c>
      <c r="I24" s="128">
        <v>835</v>
      </c>
      <c r="J24" s="128">
        <v>7290</v>
      </c>
      <c r="K24" s="129">
        <f t="shared" si="3"/>
        <v>6087150</v>
      </c>
      <c r="L24" s="61" t="s">
        <v>477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1:28" s="25" customFormat="1" x14ac:dyDescent="0.3">
      <c r="A25" s="1"/>
      <c r="B25" s="126">
        <v>20</v>
      </c>
      <c r="C25" s="49" t="s">
        <v>203</v>
      </c>
      <c r="D25" s="50" t="s">
        <v>179</v>
      </c>
      <c r="E25" s="50" t="s">
        <v>18</v>
      </c>
      <c r="F25" s="51" t="s">
        <v>95</v>
      </c>
      <c r="G25" s="63" t="s">
        <v>479</v>
      </c>
      <c r="H25" s="55">
        <v>113</v>
      </c>
      <c r="I25" s="56">
        <v>900</v>
      </c>
      <c r="J25" s="56">
        <v>7290</v>
      </c>
      <c r="K25" s="57">
        <f t="shared" si="3"/>
        <v>6561000</v>
      </c>
      <c r="L25" s="61" t="s">
        <v>176</v>
      </c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1:28" s="25" customFormat="1" x14ac:dyDescent="0.3">
      <c r="A26" s="1"/>
      <c r="B26" s="126">
        <v>21</v>
      </c>
      <c r="C26" s="49" t="s">
        <v>203</v>
      </c>
      <c r="D26" s="50" t="s">
        <v>179</v>
      </c>
      <c r="E26" s="50" t="s">
        <v>18</v>
      </c>
      <c r="F26" s="51" t="s">
        <v>480</v>
      </c>
      <c r="G26" s="63" t="s">
        <v>481</v>
      </c>
      <c r="H26" s="55">
        <v>113.75</v>
      </c>
      <c r="I26" s="56">
        <v>910</v>
      </c>
      <c r="J26" s="56">
        <v>7290</v>
      </c>
      <c r="K26" s="57">
        <v>6633900</v>
      </c>
      <c r="L26" s="61" t="s">
        <v>176</v>
      </c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1:28" s="25" customFormat="1" x14ac:dyDescent="0.3">
      <c r="A27" s="1"/>
      <c r="B27" s="126">
        <v>22</v>
      </c>
      <c r="C27" s="49" t="s">
        <v>203</v>
      </c>
      <c r="D27" s="50" t="s">
        <v>179</v>
      </c>
      <c r="E27" s="50" t="s">
        <v>52</v>
      </c>
      <c r="F27" s="51" t="s">
        <v>482</v>
      </c>
      <c r="G27" s="63" t="s">
        <v>483</v>
      </c>
      <c r="H27" s="55">
        <v>37.5</v>
      </c>
      <c r="I27" s="56">
        <v>300</v>
      </c>
      <c r="J27" s="56">
        <v>6240</v>
      </c>
      <c r="K27" s="57">
        <v>1872000</v>
      </c>
      <c r="L27" s="61" t="s">
        <v>176</v>
      </c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1:28" s="123" customFormat="1" x14ac:dyDescent="0.3">
      <c r="A28" s="1"/>
      <c r="B28" s="126">
        <v>23</v>
      </c>
      <c r="C28" s="49" t="s">
        <v>200</v>
      </c>
      <c r="D28" s="50" t="s">
        <v>435</v>
      </c>
      <c r="E28" s="50" t="s">
        <v>52</v>
      </c>
      <c r="F28" s="51" t="s">
        <v>484</v>
      </c>
      <c r="G28" s="63" t="s">
        <v>485</v>
      </c>
      <c r="H28" s="55">
        <v>48</v>
      </c>
      <c r="I28" s="56">
        <v>190</v>
      </c>
      <c r="J28" s="56">
        <v>7330</v>
      </c>
      <c r="K28" s="57">
        <f t="shared" si="3"/>
        <v>1392700</v>
      </c>
      <c r="L28" s="61" t="s">
        <v>486</v>
      </c>
      <c r="M28" s="25"/>
      <c r="N28" s="25"/>
      <c r="O28" s="25"/>
      <c r="P28" s="25"/>
      <c r="Q28" s="25"/>
      <c r="R28" s="25"/>
      <c r="S28" s="25"/>
    </row>
    <row r="29" spans="1:28" s="25" customFormat="1" x14ac:dyDescent="0.3">
      <c r="A29" s="1"/>
      <c r="B29" s="126">
        <v>24</v>
      </c>
      <c r="C29" s="49" t="s">
        <v>203</v>
      </c>
      <c r="D29" s="50" t="s">
        <v>48</v>
      </c>
      <c r="E29" s="50" t="s">
        <v>52</v>
      </c>
      <c r="F29" s="51" t="s">
        <v>49</v>
      </c>
      <c r="G29" s="63" t="s">
        <v>211</v>
      </c>
      <c r="H29" s="55">
        <v>70</v>
      </c>
      <c r="I29" s="56">
        <v>280</v>
      </c>
      <c r="J29" s="56">
        <v>6620</v>
      </c>
      <c r="K29" s="57">
        <v>1853600</v>
      </c>
      <c r="L29" s="61" t="s">
        <v>176</v>
      </c>
      <c r="M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1:28" s="25" customFormat="1" x14ac:dyDescent="0.3">
      <c r="A30" s="1"/>
      <c r="B30" s="126">
        <v>25</v>
      </c>
      <c r="C30" s="130" t="s">
        <v>213</v>
      </c>
      <c r="D30" s="131" t="s">
        <v>183</v>
      </c>
      <c r="E30" s="131" t="s">
        <v>52</v>
      </c>
      <c r="F30" s="132" t="s">
        <v>215</v>
      </c>
      <c r="G30" s="133" t="s">
        <v>216</v>
      </c>
      <c r="H30" s="134">
        <v>52</v>
      </c>
      <c r="I30" s="135">
        <v>260</v>
      </c>
      <c r="J30" s="135">
        <v>6470</v>
      </c>
      <c r="K30" s="136">
        <f t="shared" ref="K30:K32" si="4">I30*J30</f>
        <v>1682200</v>
      </c>
      <c r="L30" s="137" t="s">
        <v>217</v>
      </c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1:28" s="25" customFormat="1" x14ac:dyDescent="0.3">
      <c r="A31" s="1"/>
      <c r="B31" s="126">
        <v>26</v>
      </c>
      <c r="C31" s="130" t="s">
        <v>213</v>
      </c>
      <c r="D31" s="131" t="s">
        <v>183</v>
      </c>
      <c r="E31" s="131" t="s">
        <v>212</v>
      </c>
      <c r="F31" s="132" t="s">
        <v>215</v>
      </c>
      <c r="G31" s="133" t="s">
        <v>218</v>
      </c>
      <c r="H31" s="134">
        <v>10</v>
      </c>
      <c r="I31" s="135">
        <v>20</v>
      </c>
      <c r="J31" s="135">
        <v>6470</v>
      </c>
      <c r="K31" s="136">
        <f t="shared" si="4"/>
        <v>129400</v>
      </c>
      <c r="L31" s="137" t="s">
        <v>219</v>
      </c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1:28" s="25" customFormat="1" ht="17.25" thickBot="1" x14ac:dyDescent="0.35">
      <c r="A32" s="1"/>
      <c r="B32" s="126">
        <v>27</v>
      </c>
      <c r="C32" s="147" t="s">
        <v>518</v>
      </c>
      <c r="D32" s="84" t="s">
        <v>72</v>
      </c>
      <c r="E32" s="84" t="s">
        <v>212</v>
      </c>
      <c r="F32" s="85" t="s">
        <v>519</v>
      </c>
      <c r="G32" s="86" t="s">
        <v>520</v>
      </c>
      <c r="H32" s="90">
        <v>13</v>
      </c>
      <c r="I32" s="91">
        <v>39</v>
      </c>
      <c r="J32" s="91">
        <v>6470</v>
      </c>
      <c r="K32" s="92">
        <f t="shared" si="4"/>
        <v>252330</v>
      </c>
      <c r="L32" s="47" t="s">
        <v>521</v>
      </c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7:7" x14ac:dyDescent="0.3">
      <c r="G33" s="125"/>
    </row>
  </sheetData>
  <mergeCells count="13">
    <mergeCell ref="B1:L1"/>
    <mergeCell ref="B4:B5"/>
    <mergeCell ref="C4:C5"/>
    <mergeCell ref="D4:D5"/>
    <mergeCell ref="E4:E5"/>
    <mergeCell ref="F4:F5"/>
    <mergeCell ref="G4:G5"/>
    <mergeCell ref="B2:L2"/>
    <mergeCell ref="L4:L5"/>
    <mergeCell ref="H4:H5"/>
    <mergeCell ref="I4:I5"/>
    <mergeCell ref="J4:J5"/>
    <mergeCell ref="K4:K5"/>
  </mergeCells>
  <phoneticPr fontId="10" type="noConversion"/>
  <dataValidations count="2">
    <dataValidation type="list" allowBlank="1" showInputMessage="1" showErrorMessage="1" sqref="E25:E27 E6:E11 E14:E21 E29:E32" xr:uid="{00000000-0002-0000-0100-000000000000}">
      <formula1>$M$4:$S$4</formula1>
    </dataValidation>
    <dataValidation type="list" allowBlank="1" showInputMessage="1" showErrorMessage="1" sqref="E12:E13 E28 E22:E24" xr:uid="{00000000-0002-0000-0100-000001000000}">
      <formula1>$U$4:$AA$4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1.연간개설계획</vt:lpstr>
      <vt:lpstr>2.반납과정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N-04</dc:creator>
  <cp:lastModifiedBy>Admin</cp:lastModifiedBy>
  <cp:lastPrinted>2019-09-16T07:14:46Z</cp:lastPrinted>
  <dcterms:created xsi:type="dcterms:W3CDTF">2019-07-08T06:09:12Z</dcterms:created>
  <dcterms:modified xsi:type="dcterms:W3CDTF">2026-03-17T09:07:21Z</dcterms:modified>
</cp:coreProperties>
</file>